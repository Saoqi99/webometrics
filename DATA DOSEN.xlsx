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G:\My Drive\A. RANKING FILES AAN\P_SDGs\PEMERINGKATAN\"/>
    </mc:Choice>
  </mc:AlternateContent>
  <xr:revisionPtr revIDLastSave="0" documentId="13_ncr:1_{93CE87CB-D6A7-4ABB-925F-C5F4E4735693}" xr6:coauthVersionLast="47" xr6:coauthVersionMax="47" xr10:uidLastSave="{00000000-0000-0000-0000-000000000000}"/>
  <bookViews>
    <workbookView xWindow="14400" yWindow="0" windowWidth="14400" windowHeight="15480" xr2:uid="{00000000-000D-0000-FFFF-FFFF00000000}"/>
  </bookViews>
  <sheets>
    <sheet name="PEGAWAI KONTRAK BLU BARU 2025" sheetId="1" r:id="rId1"/>
    <sheet name="PEGAWAI TETAP BLU" sheetId="2" r:id="rId2"/>
    <sheet name="DOSEN P3K" sheetId="3" r:id="rId3"/>
    <sheet name="PEGAWAI P3K" sheetId="4" r:id="rId4"/>
    <sheet name="DOSEN PNS" sheetId="5" r:id="rId5"/>
    <sheet name="DATA PEGAWAI" sheetId="6" r:id="rId6"/>
    <sheet name="DOSEN TETAP BUKAN PNS" sheetId="7" r:id="rId7"/>
    <sheet name="rekap" sheetId="8" r:id="rId8"/>
    <sheet name="Sheet1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3" hidden="1">'PEGAWAI P3K'!$A$2:$N$41</definedName>
    <definedName name="BANTU" localSheetId="2">[1]bantu!A:IV</definedName>
    <definedName name="BANTU" localSheetId="6">[1]bantu!A:IV</definedName>
    <definedName name="BANTU">[1]bantu!A:IV</definedName>
    <definedName name="data" localSheetId="2">'[2]data bantu'!A:IV</definedName>
    <definedName name="data" localSheetId="6">'[2]data bantu'!A:IV</definedName>
    <definedName name="data" localSheetId="3">'[3]data bantu'!A:IV</definedName>
    <definedName name="data" localSheetId="1">'[3]data bantu'!A:IV</definedName>
    <definedName name="data">'[2]data bantu'!A:IV</definedName>
    <definedName name="Db_Jabatan" localSheetId="2">'[4]Db-Grade-Remun'!$D$3:$G$113</definedName>
    <definedName name="Db_Jabatan" localSheetId="6">'[4]Db-Grade-Remun'!$D$3:$G$113</definedName>
    <definedName name="Db_Jabatan">'[5]Db-Grade-Remun'!$D$3:$G$113</definedName>
    <definedName name="Db_Remun_Korban" localSheetId="2">'[6]Data Grade'!$A$4:$G$123</definedName>
    <definedName name="Db_Remun_Korban" localSheetId="6">'[6]Data Grade'!$A$4:$G$123</definedName>
    <definedName name="Dosen_Mei_16" localSheetId="2">#REF!</definedName>
    <definedName name="Dosen_Mei_16" localSheetId="6">#REF!</definedName>
    <definedName name="Dosen_Mei_16" localSheetId="0">#REF!</definedName>
    <definedName name="Dosen_Mei_16" localSheetId="3">#REF!</definedName>
    <definedName name="Dosen_Mei_16" localSheetId="1">#REF!</definedName>
    <definedName name="Dosen_Mei_16">#REF!</definedName>
    <definedName name="Remun_OKE" localSheetId="2">'[4]Database-Grade'!$A$3:$K$115</definedName>
    <definedName name="Remun_OKE" localSheetId="6">'[4]Database-Grade'!$A$3:$K$115</definedName>
    <definedName name="Remun_OKE">'[5]Database-Grade'!$A$3:$K$115</definedName>
  </definedNames>
  <calcPr calcId="191029"/>
  <pivotCaches>
    <pivotCache cacheId="85" r:id="rId16"/>
    <pivotCache cacheId="89" r:id="rId17"/>
    <pivotCache cacheId="94" r:id="rId18"/>
    <pivotCache cacheId="99" r:id="rId19"/>
    <pivotCache cacheId="103" r:id="rId20"/>
    <pivotCache cacheId="107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5" roundtripDataChecksum="71Xjbi5M6bjQ5CG1impdZwbhlmls7MuUeCuS5YElaxs="/>
    </ext>
  </extLst>
</workbook>
</file>

<file path=xl/calcChain.xml><?xml version="1.0" encoding="utf-8"?>
<calcChain xmlns="http://schemas.openxmlformats.org/spreadsheetml/2006/main">
  <c r="E3" i="8" l="1"/>
  <c r="M2" i="8"/>
  <c r="E2" i="8"/>
  <c r="E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393" authorId="0" shapeId="0" xr:uid="{00000000-0006-0000-0400-000001000000}">
      <text>
        <r>
          <rPr>
            <sz val="11"/>
            <color rgb="FF000000"/>
            <rFont val="Calibri"/>
            <scheme val="minor"/>
          </rPr>
          <t>======
ID#AAABc30aTU4
DELL    (2025-01-31 07:29:03)
ANGGOTA SPI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bSjsYQCW4GyH6wiiHZh0gugUjk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5" authorId="0" shapeId="0" xr:uid="{00000000-0006-0000-0500-000001000000}">
      <text>
        <r>
          <rPr>
            <sz val="11"/>
            <color rgb="FF000000"/>
            <rFont val="Calibri"/>
            <scheme val="minor"/>
          </rPr>
          <t>======
ID#AAABc30aTU8
Microsoft Office    (2025-01-31 07:29:03)
Microsoft Office: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skLtJRIyiEn1kjcCImw/nDIiuA=="/>
    </ext>
  </extLst>
</comments>
</file>

<file path=xl/sharedStrings.xml><?xml version="1.0" encoding="utf-8"?>
<sst xmlns="http://schemas.openxmlformats.org/spreadsheetml/2006/main" count="15615" uniqueCount="8264">
  <si>
    <t>No</t>
  </si>
  <si>
    <t>NO. SK</t>
  </si>
  <si>
    <t>TANGGAL SK</t>
  </si>
  <si>
    <t>TMT</t>
  </si>
  <si>
    <t>MASA TUGAS</t>
  </si>
  <si>
    <t>NAMA</t>
  </si>
  <si>
    <t>Jk</t>
  </si>
  <si>
    <t>NIP</t>
  </si>
  <si>
    <t>NIK</t>
  </si>
  <si>
    <t>TEMPAT TANGGAL LAHIR</t>
  </si>
  <si>
    <t>KUALIFIKASI AKADEMIK</t>
  </si>
  <si>
    <t>FORMASI</t>
  </si>
  <si>
    <t>UNIT KERJA</t>
  </si>
  <si>
    <t>1.31 Tahun 2025</t>
  </si>
  <si>
    <t>2 Januari 2025</t>
  </si>
  <si>
    <t>01/01/2025</t>
  </si>
  <si>
    <t>1 Januari 2025 s.d. 28 Desember 2025</t>
  </si>
  <si>
    <t>Jeffri Dian Saputra</t>
  </si>
  <si>
    <t>L</t>
  </si>
  <si>
    <t>199707190000001101</t>
  </si>
  <si>
    <t>3308031907970001</t>
  </si>
  <si>
    <t>Magelang,19 Juli 1997</t>
  </si>
  <si>
    <t>SMK Teknik Otomotif Tahun 2015</t>
  </si>
  <si>
    <t>Pengemudi</t>
  </si>
  <si>
    <t xml:space="preserve">Lembaga Penelitian dan Pengabdian Kepada Masyarakat </t>
  </si>
  <si>
    <t>1.32 Tahun 2025</t>
  </si>
  <si>
    <t>Aminto Nugroho, S.T.</t>
  </si>
  <si>
    <t>197804200000001101</t>
  </si>
  <si>
    <t>3402172004780003</t>
  </si>
  <si>
    <t>Bantul, 20 April 1978</t>
  </si>
  <si>
    <t>S1. UAD Prodi. Teknik Industri 2007</t>
  </si>
  <si>
    <t>Subbag. Perlengkapan dan Pengadaan Barang/Jasa</t>
  </si>
  <si>
    <t>1.33 Tahun 2025</t>
  </si>
  <si>
    <t>Pradito Nur Rahman</t>
  </si>
  <si>
    <t>199910200000001101</t>
  </si>
  <si>
    <t>3404092010390002</t>
  </si>
  <si>
    <t>Sleman, 20 Oktober 1999</t>
  </si>
  <si>
    <t>SMK Seni Tari Tahun 2019</t>
  </si>
  <si>
    <t>1.34 Tahun 2025</t>
  </si>
  <si>
    <t>Syafaul Amrul Azis</t>
  </si>
  <si>
    <t>199902080000001101</t>
  </si>
  <si>
    <t>3308100802990003</t>
  </si>
  <si>
    <t>Magelang,08 Februari 1999</t>
  </si>
  <si>
    <t>MAN  IPS Tahun 2017</t>
  </si>
  <si>
    <t>1.35 Tahun 2025</t>
  </si>
  <si>
    <t>Liberty Hastu Krisnamurti, S.Pd.</t>
  </si>
  <si>
    <t>P</t>
  </si>
  <si>
    <t>199806010000001101</t>
  </si>
  <si>
    <t>3404134106980007</t>
  </si>
  <si>
    <t>Sleman, 1 Juni 1998</t>
  </si>
  <si>
    <t>S1 Pendidikan Ekonomi Bidang Keahlian Khusus Pendidikan Akuntansi Univ Sanata Dharma Yogyakarta Tahun 2020</t>
  </si>
  <si>
    <t>Pengadministrasi Keuangan</t>
  </si>
  <si>
    <t>1.36 Tahun 2025</t>
  </si>
  <si>
    <t>Aswin Mafatikhul Huda</t>
  </si>
  <si>
    <t>199607200000001101</t>
  </si>
  <si>
    <t>3402152007960003</t>
  </si>
  <si>
    <t>Bantul, 20 Juli 1996</t>
  </si>
  <si>
    <t>SLTA TKJ</t>
  </si>
  <si>
    <t>Bagian Tata Usaha Fakultas Dakwah dan Komunikasi</t>
  </si>
  <si>
    <t>1.37 Tahun 2025</t>
  </si>
  <si>
    <t>Arlizza Muzayyanah, S.H.I.</t>
  </si>
  <si>
    <t>199305240000002101</t>
  </si>
  <si>
    <t>3501046405930002</t>
  </si>
  <si>
    <t>Sumenep, 24 Mei 1993</t>
  </si>
  <si>
    <t>S1 Al-Ahwal al-Syakhsiyyah  UIN Sunan Kalijaga Tahun 2015</t>
  </si>
  <si>
    <t>Pengadministrasi Akademik</t>
  </si>
  <si>
    <t>Bagian Tata Usaha Fakultas Syari'ah dan Hukum</t>
  </si>
  <si>
    <t>1.38 Tahun 2025</t>
  </si>
  <si>
    <t>Dina Husna, S.Si.</t>
  </si>
  <si>
    <t>199701230000002101</t>
  </si>
  <si>
    <t>3321136301970003</t>
  </si>
  <si>
    <t>Demak, 23 Januari 1997</t>
  </si>
  <si>
    <t>S1 Kimia UIN Sunan Kalijaga Tahun 2018</t>
  </si>
  <si>
    <t xml:space="preserve">Laboratorium Terpadu </t>
  </si>
  <si>
    <t>1.39 Tahun 2025</t>
  </si>
  <si>
    <t>Vika Artantri Munandar, S.Sos</t>
  </si>
  <si>
    <t>199301150000002101</t>
  </si>
  <si>
    <t>3308035501930001</t>
  </si>
  <si>
    <t>Magelang, 15 Januari 1993</t>
  </si>
  <si>
    <t>S1 IKS UIN Sunan Kalijaga, Yogyakarta Tahun 2017</t>
  </si>
  <si>
    <t>Pengadministrasi Umum</t>
  </si>
  <si>
    <t>Bagian Tata Usaha Fakultas Ushuluddin dan Pemikiran Islam</t>
  </si>
  <si>
    <t>1.40 Tahun 2025</t>
  </si>
  <si>
    <t>Linda Dwi Astuti,  S.E.</t>
  </si>
  <si>
    <t>199404120000002101</t>
  </si>
  <si>
    <t>3401035204940002</t>
  </si>
  <si>
    <t>Kulon Progo, 12 April 1994</t>
  </si>
  <si>
    <t>S1 Manajemen UNY  tahun 2018</t>
  </si>
  <si>
    <t>1.41 Tahun 2025</t>
  </si>
  <si>
    <t>Dwi Priantoro Pambudi</t>
  </si>
  <si>
    <t>199403050000001101</t>
  </si>
  <si>
    <t>3404070503940002</t>
  </si>
  <si>
    <t>Sleman, 5 Maret 1994</t>
  </si>
  <si>
    <t>SMK Teknik Ketenagalistrikan Tahun 2012</t>
  </si>
  <si>
    <t>Teknisi Peralatan Kantor</t>
  </si>
  <si>
    <t>1.42 Tahun 2025</t>
  </si>
  <si>
    <t>Bakhtiar Alfan, S.I.Kom.</t>
  </si>
  <si>
    <t>198711100000001101</t>
  </si>
  <si>
    <t>3404071011370003</t>
  </si>
  <si>
    <t>Purbalingga, 10 November 1987</t>
  </si>
  <si>
    <t>S1 Ilmu Komunikasi UIN Sunan Kalijaga Yogyakarta</t>
  </si>
  <si>
    <t>Pengadministrasi Data, Penyajian dan Publikasi</t>
  </si>
  <si>
    <t>Subbag. Tata Usaha dan Rumah Tangga</t>
  </si>
  <si>
    <t>1.43 Tahun 2025</t>
  </si>
  <si>
    <t>Laili Alfi Rohmah, S.Sos., M.A.</t>
  </si>
  <si>
    <t>199512020000002101</t>
  </si>
  <si>
    <t>3305104212950001</t>
  </si>
  <si>
    <t>Kebumen, 2 Desember 1995</t>
  </si>
  <si>
    <t>S2 Interdisciplinary Islamic Studies UIN Sunan Kalijaga Tahun 2021</t>
  </si>
  <si>
    <t>1.44 Tahun 2025</t>
  </si>
  <si>
    <t>Muhammad Hudalloh, S.Kom.</t>
  </si>
  <si>
    <t>199407280000001101</t>
  </si>
  <si>
    <t>3323122807940001</t>
  </si>
  <si>
    <t>Temanggung, 28 Juli 1994</t>
  </si>
  <si>
    <t>S1 Teknik Informatika UIN Sunan Kalijaga Yogyakarta Tahun 2017</t>
  </si>
  <si>
    <t>Pengelola Sistem Informasi</t>
  </si>
  <si>
    <t>UPT Pusat Teknologi Informasi dan Pangkalan Data</t>
  </si>
  <si>
    <t>1.45 Tahun 2025</t>
  </si>
  <si>
    <t>Isna Rohman Susetyo, S.Kom.</t>
  </si>
  <si>
    <t>199207250000001101</t>
  </si>
  <si>
    <t>3401112507920002</t>
  </si>
  <si>
    <t>Kulon Progo, 25 Juli 1992</t>
  </si>
  <si>
    <t>S1 Informatika Universitas Amikom Yogyakarta Tahun 2019</t>
  </si>
  <si>
    <t>1.46 Tahun 2025</t>
  </si>
  <si>
    <t>Wahyu Anita, A.Md.</t>
  </si>
  <si>
    <t>199908170000002101</t>
  </si>
  <si>
    <t>3402125708990002</t>
  </si>
  <si>
    <t>Sleman, 17 Agustus 1999</t>
  </si>
  <si>
    <t>D3 Manajemen Informatika Universitas Amikom Yogyakarta Tahun 2020</t>
  </si>
  <si>
    <t>1.47 Tahun 2025</t>
  </si>
  <si>
    <t>Thalytha Aqila Kharisma Nadia Hassany, S.S</t>
  </si>
  <si>
    <t>199609090000002101</t>
  </si>
  <si>
    <t>3471144809860001</t>
  </si>
  <si>
    <t>Yogyakarta, 9 September 1996</t>
  </si>
  <si>
    <t>S1 Sastra Inggris UIN Sunan Kalijaga Yogyakarta Tahun 2019</t>
  </si>
  <si>
    <t xml:space="preserve">Pengadministrasi Keuangan </t>
  </si>
  <si>
    <t>UPT Pusat Pengembangan Bahasa</t>
  </si>
  <si>
    <t>1.48 Tahun 2025</t>
  </si>
  <si>
    <t>Naili Isnawati Sayida, S.Sos., M.Si.</t>
  </si>
  <si>
    <t>199202210000002101</t>
  </si>
  <si>
    <t>3402126102920002</t>
  </si>
  <si>
    <t>Bantul, 21 Februari 1992</t>
  </si>
  <si>
    <t>S2 Sosiologi Universitas Jenderal Soedirman Tahun 2019</t>
  </si>
  <si>
    <t>Bagian Tata Usaha Fakultas Ekonomi dan Bisnis Islam</t>
  </si>
  <si>
    <t>1.49 Tahun 2025</t>
  </si>
  <si>
    <t>Arifah Fauziah, S. S., M. Ed</t>
  </si>
  <si>
    <t>199501010000002101</t>
  </si>
  <si>
    <t>3404094101950001</t>
  </si>
  <si>
    <t>Sleman, 1 Januari 1995</t>
  </si>
  <si>
    <t>S2 Global Education Korea National University of Education Tahun 2021</t>
  </si>
  <si>
    <t>Bagian Tata Usaha Fakultas Ilmu Tarbiyah dan Keguruan</t>
  </si>
  <si>
    <t>1.50 Tahun 2025</t>
  </si>
  <si>
    <t>Nasrul</t>
  </si>
  <si>
    <t>197602160000001201</t>
  </si>
  <si>
    <t>1301081502760001</t>
  </si>
  <si>
    <t>Surantih, 15 Februari 1976</t>
  </si>
  <si>
    <t>STM Mekanik Umum</t>
  </si>
  <si>
    <t>Pramu Bakti</t>
  </si>
  <si>
    <t>1.51 Tahun 2025</t>
  </si>
  <si>
    <t>Tsarwan Al Ghafari, S.E.</t>
  </si>
  <si>
    <t>199307300000001201</t>
  </si>
  <si>
    <t>2172043007930001</t>
  </si>
  <si>
    <t>Batam, 30 Juli 1993</t>
  </si>
  <si>
    <t>S1 Akuntansi STIE Pembangunan Tanjungpinang Tahun 2017</t>
  </si>
  <si>
    <t>UPT Pusat Pengembangan Bisnis</t>
  </si>
  <si>
    <t>1.52 Tahun 2025</t>
  </si>
  <si>
    <t>Nuzul Ramadhan, A.Md Akt.</t>
  </si>
  <si>
    <t>199901040000001201</t>
  </si>
  <si>
    <t>3404070401990003</t>
  </si>
  <si>
    <t>Kulonprogo, 4 Januari 1999</t>
  </si>
  <si>
    <t>S1 Akuntansi Universitas Negeri Yogyakarta Tahun 2021</t>
  </si>
  <si>
    <t>1.53 Tahun 2025</t>
  </si>
  <si>
    <t>Risti Asih, S.E.</t>
  </si>
  <si>
    <t>199605230000002201</t>
  </si>
  <si>
    <t>3402016305960001</t>
  </si>
  <si>
    <t>Bantul, 23 Mei 1996</t>
  </si>
  <si>
    <t>Bagian Tata Usaha Fakultas Ilmu Sosial dan Humaniora</t>
  </si>
  <si>
    <t>1.54 Tahun 2025</t>
  </si>
  <si>
    <t>Azza Nikmaturrochmah, S.E</t>
  </si>
  <si>
    <t>199907250000002201</t>
  </si>
  <si>
    <t>3404066507990001</t>
  </si>
  <si>
    <t>Sleman, 25 Juli 1999</t>
  </si>
  <si>
    <t>S1 Manajemen Keuangan Syariah UIN Sunan Kalijaga Yogyakarta Tahun 2021</t>
  </si>
  <si>
    <t>1.55 Tahun 2025</t>
  </si>
  <si>
    <t>Dzikra Azzahra S.E.</t>
  </si>
  <si>
    <t>199909130000002201</t>
  </si>
  <si>
    <t>3175065309991006</t>
  </si>
  <si>
    <t>Jakarta, 13 September 1999</t>
  </si>
  <si>
    <t>1.56 Tahun 2025</t>
  </si>
  <si>
    <t>Shifa Fauziah Yundi, S.E.</t>
  </si>
  <si>
    <t>199211220000002201</t>
  </si>
  <si>
    <t>3404126211920001</t>
  </si>
  <si>
    <t>Sleman, 22 November 1992</t>
  </si>
  <si>
    <t>S1 Akuntansi Universitas Islam Indonesia Tahun 2016</t>
  </si>
  <si>
    <t>1.57 Tahun 2025</t>
  </si>
  <si>
    <t>Novelia Nabila Nihayati, S.Ak.</t>
  </si>
  <si>
    <t>199811270000002201</t>
  </si>
  <si>
    <t>3402126711980001</t>
  </si>
  <si>
    <t>Bantul, 27 November 1998</t>
  </si>
  <si>
    <t>S1 Akuntansi Universitas Muhammadiyah Yogyakarta Tahun 2021</t>
  </si>
  <si>
    <t>Biro Administrasi Akademik, Kemahasiswaan dan Kerjasama</t>
  </si>
  <si>
    <t>1.58 Tahun 2025</t>
  </si>
  <si>
    <t>Zaki Sima Fashimado, S.Ak</t>
  </si>
  <si>
    <t>199406200000001201</t>
  </si>
  <si>
    <t>3209072006940008</t>
  </si>
  <si>
    <t>Cirebon, 20 Juni 1994</t>
  </si>
  <si>
    <t>S1 Akuntansi Universitas Teknologi Yogyakarta Tahun 2016</t>
  </si>
  <si>
    <t>Satuan Pengawasan Internal</t>
  </si>
  <si>
    <t>1.59 Tahun 2025</t>
  </si>
  <si>
    <t>Eko Musbiantoro</t>
  </si>
  <si>
    <t>198011260000001201</t>
  </si>
  <si>
    <t>3402072611800001</t>
  </si>
  <si>
    <t>Bantul, 26 November 1980</t>
  </si>
  <si>
    <t>SMK Tahun 1999</t>
  </si>
  <si>
    <t>1.60 Tahun 2025</t>
  </si>
  <si>
    <t>Sardiman Hadi Saputra, A.Md.</t>
  </si>
  <si>
    <t xml:space="preserve">197605090000001201 </t>
  </si>
  <si>
    <t>3402170905760002</t>
  </si>
  <si>
    <t>Medan, 9 Mei 1976</t>
  </si>
  <si>
    <t>D3 Ketatalaksanaan Pelayaran Niaga  Akademi Maritim Yogyakarta Tahun 1999</t>
  </si>
  <si>
    <t>1.61 Tahun 2025</t>
  </si>
  <si>
    <t>Yusfida Awalia Rohma, S.Sos.</t>
  </si>
  <si>
    <t>199505050000002201</t>
  </si>
  <si>
    <t>3404154505950001</t>
  </si>
  <si>
    <t>Sleman, 5 Mei 1995</t>
  </si>
  <si>
    <t>S1 Sosiologi Agama UIN Sunan Kalijaga Yogyakarta Tahun 2018</t>
  </si>
  <si>
    <t>Lembaga Penelitian dan Pengabdian Kepada Masyarakat</t>
  </si>
  <si>
    <t>1.62 Tahun 2025</t>
  </si>
  <si>
    <t>Aan Nurdiyanto, S.T.</t>
  </si>
  <si>
    <t>198701260000001201</t>
  </si>
  <si>
    <t>3402162601870003</t>
  </si>
  <si>
    <t>Bantul, 26 Januari 1987</t>
  </si>
  <si>
    <t>S1 Teknik Industri UIN Sunan Kalijaga Yogyakarta Tahun 2016</t>
  </si>
  <si>
    <t>1.63 Tahun 2025</t>
  </si>
  <si>
    <t>Hikmah Supriyati, S.Pd., M.Pd.</t>
  </si>
  <si>
    <t>199502280000002201</t>
  </si>
  <si>
    <t>3305126802950004</t>
  </si>
  <si>
    <t>Kebumen, 28 Februari 1995</t>
  </si>
  <si>
    <t>S2 Magister Pendidikan Biologi, UNY, Tahun 2021</t>
  </si>
  <si>
    <t>1.64 Tahun 2025</t>
  </si>
  <si>
    <t>Siti Shofiyah, S.Kom.</t>
  </si>
  <si>
    <t>199805090000002201</t>
  </si>
  <si>
    <t>3404054905980001</t>
  </si>
  <si>
    <t>Sleman, 9 Mei 1998</t>
  </si>
  <si>
    <t>S1 Teknik Informatika UIN Sunan Kalijaga Tahun 2020</t>
  </si>
  <si>
    <t>Petugas Teknologi Informasi Komputer</t>
  </si>
  <si>
    <t>Lembaga Penjaminan Mutu</t>
  </si>
  <si>
    <t>1.65 Tahun 2025</t>
  </si>
  <si>
    <t>Agung Nugroho, S.Pd.</t>
  </si>
  <si>
    <t>199602170000001201</t>
  </si>
  <si>
    <t>3471081702960002</t>
  </si>
  <si>
    <t>Magelang, 17 Februari 1996</t>
  </si>
  <si>
    <t>S1 Pendidikan Bahasa Inggris UNY Tahun 2020</t>
  </si>
  <si>
    <t>Subbag. Tata Usaha Pascasarjana</t>
  </si>
  <si>
    <t>1.66 Tahun 2025</t>
  </si>
  <si>
    <t>Festy Umu Hikmatin, S.Pd.</t>
  </si>
  <si>
    <t>199407240000002201</t>
  </si>
  <si>
    <t>3404036407940001</t>
  </si>
  <si>
    <t>Sleman, 24 Juli 1994</t>
  </si>
  <si>
    <t>S1 PGMI UIN Sunan Kalijaga Tahun 2016</t>
  </si>
  <si>
    <t>1.67 Tahun 2025</t>
  </si>
  <si>
    <t>Ulfa Syarifah, S.Tr.Gz</t>
  </si>
  <si>
    <t>199510280000002201</t>
  </si>
  <si>
    <t>340217681095001</t>
  </si>
  <si>
    <t>Bantul, 28 Oktober 1995</t>
  </si>
  <si>
    <t>S1 Gizi dan Dietetika Politeknik Kesehatan Kementerian Kesehatan Tahun 2018</t>
  </si>
  <si>
    <t>Pengadministrasi Layanan Bimbingan dan Konseling</t>
  </si>
  <si>
    <t>Klinik Pratama UIN Sunan Kalijaga Yogyakarta</t>
  </si>
  <si>
    <t>1.68 Tahun 2025</t>
  </si>
  <si>
    <t>Devi Aryani Setyaningrum, S.Pd.</t>
  </si>
  <si>
    <t>199512210000002201</t>
  </si>
  <si>
    <t>340202611950001</t>
  </si>
  <si>
    <t>Bantul, 21 Desember 1995</t>
  </si>
  <si>
    <t>S1 Pendidikan Agama Islam UIN Sunan Kalijaga Tahun 2018</t>
  </si>
  <si>
    <t>Pengadministrasi Persuratan</t>
  </si>
  <si>
    <t>1.69 Tahun 2025</t>
  </si>
  <si>
    <t>Muhammad Beny Fahri Widagdo, ST.</t>
  </si>
  <si>
    <t>199802060000001201</t>
  </si>
  <si>
    <t>3404080602980003</t>
  </si>
  <si>
    <t>Yogyakarta, 6 Februari 1998</t>
  </si>
  <si>
    <t>S1 Teknik Industri UIN Sunan Kalijaga Yogyakarta Tahun 2020</t>
  </si>
  <si>
    <t>Bagian Tata Usaha Fakultas Adab dan Ilmu Budaya</t>
  </si>
  <si>
    <t>1.70 Tahun 2025</t>
  </si>
  <si>
    <t>Fajar Fanani</t>
  </si>
  <si>
    <t>198712230000001201</t>
  </si>
  <si>
    <t>3404172312870002</t>
  </si>
  <si>
    <t>Bantul, 23 Desember 1987</t>
  </si>
  <si>
    <t>SMK, Listrik Pemakaian Tahun 2007</t>
  </si>
  <si>
    <t>Petugas Keamanan</t>
  </si>
  <si>
    <t>1.71 Tahun 2025</t>
  </si>
  <si>
    <t xml:space="preserve">Fira Kumala Sari, S.Pd. </t>
  </si>
  <si>
    <t>199702230000002201</t>
  </si>
  <si>
    <t>3304028302000001</t>
  </si>
  <si>
    <t xml:space="preserve">Banjarnegara, 23 Februari 1997 </t>
  </si>
  <si>
    <t>S1 Pendidikan Biologi UIN Sunan Kalijaga Tahun 2019</t>
  </si>
  <si>
    <t>1.72 Tahun 2025</t>
  </si>
  <si>
    <t>Natria Bunga Pradifta Nur Amina, SE.</t>
  </si>
  <si>
    <t>199908280000002201</t>
  </si>
  <si>
    <t>3310146808990002</t>
  </si>
  <si>
    <t>Solo, 28 Agustus 1999</t>
  </si>
  <si>
    <t>S1 Manajemen Keuangan Syari'ah UIN Sunan Kalijaga Tahun 2021</t>
  </si>
  <si>
    <t>1.73 Tahun 2025</t>
  </si>
  <si>
    <t>Sulistyo Budi Prabowo, SH.</t>
  </si>
  <si>
    <t>199506050000001201</t>
  </si>
  <si>
    <t>3402120506950002</t>
  </si>
  <si>
    <t>Bantul, 5 Juni 1995</t>
  </si>
  <si>
    <t>S1 Ilmu Hukum UIN Sunan Kalijaga Yogyakarta Tahun 2018</t>
  </si>
  <si>
    <t>1.74 Tahun 2025</t>
  </si>
  <si>
    <t>Muhammad Fadhillah</t>
  </si>
  <si>
    <t>199606160000001201</t>
  </si>
  <si>
    <t>3402151606960004</t>
  </si>
  <si>
    <t>Bantul, 16 Juni 1996</t>
  </si>
  <si>
    <t>SMA IPA Tahun 2014</t>
  </si>
  <si>
    <t>1.75 Tahun 2025</t>
  </si>
  <si>
    <t>Prayuda Wirawan, S.Kom.</t>
  </si>
  <si>
    <t>199110050000001201</t>
  </si>
  <si>
    <t>3404020510890001</t>
  </si>
  <si>
    <t>Jakarta, 5 Oktober 1991</t>
  </si>
  <si>
    <t>S1 Teknik Informatika Univ. Islam Indonesia Tahun 2014</t>
  </si>
  <si>
    <t xml:space="preserve">UPT Pusat Perpustakaan  </t>
  </si>
  <si>
    <t>1.76 Tahun 2025</t>
  </si>
  <si>
    <t>Jati Hikmawati, S.Kom.</t>
  </si>
  <si>
    <t>198809090000002201</t>
  </si>
  <si>
    <t>6171054909880006</t>
  </si>
  <si>
    <t>Pontianak, 9 September 1988</t>
  </si>
  <si>
    <t>S1 Teknik Informatika UIN Sunan Kalijaga Yogyakarta  Tahun 2013</t>
  </si>
  <si>
    <t xml:space="preserve">Teknisi Laboratorium  </t>
  </si>
  <si>
    <t>1.77 Tahun 2025</t>
  </si>
  <si>
    <t>Pratita Ripindha Buwana, S.Kom.</t>
  </si>
  <si>
    <t>199603290000001201</t>
  </si>
  <si>
    <t>3404102903960001</t>
  </si>
  <si>
    <t>Pekalongan, 29 Maret 1996</t>
  </si>
  <si>
    <t>S1 Informatika Univ. AMIKOM Yogyakarta Tahun 2018</t>
  </si>
  <si>
    <t>1.78 Tahun 2025</t>
  </si>
  <si>
    <t>Choirul Umam, S.Kom.</t>
  </si>
  <si>
    <t>199412270000001201</t>
  </si>
  <si>
    <t>3403032712940001</t>
  </si>
  <si>
    <t>Gunungkidul, 27 Desember 1994</t>
  </si>
  <si>
    <t>S1 Sistem Informasi Univ AMIKOM Yogyakarta Tahun 2021</t>
  </si>
  <si>
    <t>1.79 Tahun 2025</t>
  </si>
  <si>
    <t xml:space="preserve">Dewi Astuti, S.Kom.  </t>
  </si>
  <si>
    <t>199206130000002201</t>
  </si>
  <si>
    <t>3404105306920001</t>
  </si>
  <si>
    <t>Sleman, 13 Juni 1992</t>
  </si>
  <si>
    <t>S1 Teknik Informatika UIN Sunan Kalijaga Yogyakarta  Tahun 2015</t>
  </si>
  <si>
    <t>1.80 Tahun 2025</t>
  </si>
  <si>
    <t>Kawit Wintolo</t>
  </si>
  <si>
    <t xml:space="preserve">196909040000001101 </t>
  </si>
  <si>
    <t>3471030409690001</t>
  </si>
  <si>
    <t>Yogyakarta, 4 September 1969</t>
  </si>
  <si>
    <t>Program Paket C</t>
  </si>
  <si>
    <t>1 Januari 2025 s.d. 31 Maret 2025</t>
  </si>
  <si>
    <t>Jarwadi, SIP.</t>
  </si>
  <si>
    <t>196407050000001201</t>
  </si>
  <si>
    <t>3402120507640006</t>
  </si>
  <si>
    <t>Sleman, 5 Juli 1964</t>
  </si>
  <si>
    <t>S1 Stisipol Kartika Bangsa, Ilmu Administrasi Negara, Tahun 2005</t>
  </si>
  <si>
    <t>NO</t>
  </si>
  <si>
    <t>JK</t>
  </si>
  <si>
    <t>TEMPAT DAN TANGGAL LAHIR</t>
  </si>
  <si>
    <t xml:space="preserve"> TANGGAL LAHIR</t>
  </si>
  <si>
    <t>TMT PENSIUN</t>
  </si>
  <si>
    <t>PDDK</t>
  </si>
  <si>
    <t xml:space="preserve">JABATAN  </t>
  </si>
  <si>
    <t xml:space="preserve">TMT </t>
  </si>
  <si>
    <t>Eko Adi Candra Wibowo</t>
  </si>
  <si>
    <t>Bantul, 4 Agustus 1987</t>
  </si>
  <si>
    <t>198708040000001101</t>
  </si>
  <si>
    <t>D1</t>
  </si>
  <si>
    <t>D1 Manajemen Informatika Magistra Utama Tahun 2006</t>
  </si>
  <si>
    <t>Pengelola Layanan Akademik</t>
  </si>
  <si>
    <t>3404080408870001</t>
  </si>
  <si>
    <t>Bagian Akademik Biro AAKK</t>
  </si>
  <si>
    <t>Tika Uswatun, S.E.</t>
  </si>
  <si>
    <t>Bantul, 6 Agustus 1992</t>
  </si>
  <si>
    <t>199208060000002101</t>
  </si>
  <si>
    <t>S1</t>
  </si>
  <si>
    <t>S1 Manajemen Keuangan Syari'ah UIN Sunan Kalijaga Yogyakarta Tahun 2017</t>
  </si>
  <si>
    <t>3402134608920002</t>
  </si>
  <si>
    <t>Biro Administrasi Akademik, Kemahasiswaan dan Kerjasama ditugaskan pada Kopertais</t>
  </si>
  <si>
    <t>Apriani Dwi Astuti, S.Sos.</t>
  </si>
  <si>
    <t>Sampang, 17 April 1995</t>
  </si>
  <si>
    <t>199504170000002101</t>
  </si>
  <si>
    <t>S1 Ilmu Kesejahteraan Sosial UIN Sunan Kalijaga Tahun 2018</t>
  </si>
  <si>
    <t>Pengadministrasi Kerjasama</t>
  </si>
  <si>
    <t>3527095704950002</t>
  </si>
  <si>
    <t>Niswatun Umul Hidayah, Amd. Akt</t>
  </si>
  <si>
    <t>Sleman, 21 Oktober 1992</t>
  </si>
  <si>
    <t>199210210000002101</t>
  </si>
  <si>
    <t>D3</t>
  </si>
  <si>
    <t>D3 Akuntansi UNY Tahun 2014</t>
  </si>
  <si>
    <t>Pengelola Keuangan</t>
  </si>
  <si>
    <t>3404026110920002</t>
  </si>
  <si>
    <t>Biro Administrasi Umum dan Keuangan</t>
  </si>
  <si>
    <t>Ahmad Hudiyatno, S.Ag.</t>
  </si>
  <si>
    <t>Wonosobo, 12 April 1994</t>
  </si>
  <si>
    <t>199404120000001101</t>
  </si>
  <si>
    <t>S1 Ilmu Al-Qur'an dan Tafsir UIN Sunan Kalijaga Yogyakarta Tahun 2017</t>
  </si>
  <si>
    <t>3307031204940004</t>
  </si>
  <si>
    <t>Laili Hidayati, S.E.</t>
  </si>
  <si>
    <t>Klaten, 19 Mei  1995</t>
  </si>
  <si>
    <t>199505190000002101</t>
  </si>
  <si>
    <t>S1 Perbankan Syari'ah UIN Sunan Kalijaga Yogyakarta Tahun 2017</t>
  </si>
  <si>
    <t>3310035905950002</t>
  </si>
  <si>
    <t>Andika Merita Timur, SE.</t>
  </si>
  <si>
    <t>Yogyakarta, 18 Maret 1991</t>
  </si>
  <si>
    <t>199103180000002101</t>
  </si>
  <si>
    <t>S1 Akuntansi, Universitas Muhammadiyah Yogyakarta Tahun 2013</t>
  </si>
  <si>
    <t>3402165803910001</t>
  </si>
  <si>
    <t>Idha Nur Laila, SE.</t>
  </si>
  <si>
    <t>Yogyakarta, 18 Oktober 1980</t>
  </si>
  <si>
    <t>198010180000002101</t>
  </si>
  <si>
    <t>S1 Manajemen UNY Tahun 2003</t>
  </si>
  <si>
    <t>3404115810800002</t>
  </si>
  <si>
    <t xml:space="preserve">Subbag. Tata Usaha Pascasarjana </t>
  </si>
  <si>
    <t>Sugiran</t>
  </si>
  <si>
    <t>Gunung Kidul, 5 Mei 1979</t>
  </si>
  <si>
    <t>197905050000001101</t>
  </si>
  <si>
    <t>Paket C</t>
  </si>
  <si>
    <t>Paket C IPS</t>
  </si>
  <si>
    <t>3403160505790002</t>
  </si>
  <si>
    <t>Subbag. Perlengkapan Pengadaan Barang/Jasa</t>
  </si>
  <si>
    <t>Gito Taryono</t>
  </si>
  <si>
    <t>Yogyakarta, 1 Desember 1973</t>
  </si>
  <si>
    <t>197312010000001101</t>
  </si>
  <si>
    <t>Paket C IPA</t>
  </si>
  <si>
    <t>3308020112730004</t>
  </si>
  <si>
    <t>R. Danang Jaya RKPP</t>
  </si>
  <si>
    <t>Yogyakarta, 30 Mei 1986</t>
  </si>
  <si>
    <t>198605300000001101</t>
  </si>
  <si>
    <t>STM</t>
  </si>
  <si>
    <t>STM Teknik Elektro Tahun 2005</t>
  </si>
  <si>
    <t xml:space="preserve">Teknisi Peralatan Kantor </t>
  </si>
  <si>
    <t>3471083005860001</t>
  </si>
  <si>
    <t>Danu Sapto Nugroho</t>
  </si>
  <si>
    <t>Yogyakarta, 31 Januari 1987</t>
  </si>
  <si>
    <t>198701310000001101</t>
  </si>
  <si>
    <t>SMK</t>
  </si>
  <si>
    <t>SMK Teknik Mekanik Otomotif Tahun 2005</t>
  </si>
  <si>
    <t>3471133101870002</t>
  </si>
  <si>
    <t>Subbag. Tata Usaha dan Rumah Tangga pada Bagian Umum Biro AUK</t>
  </si>
  <si>
    <t>Setiawan</t>
  </si>
  <si>
    <t>Klaten, 5 Januari 1983</t>
  </si>
  <si>
    <t>198301050000001101</t>
  </si>
  <si>
    <t>SMK Jurusan Teknik Mesin Tahun 2002</t>
  </si>
  <si>
    <t>3404070501830008</t>
  </si>
  <si>
    <t>Ridwan Taufiq</t>
  </si>
  <si>
    <t>Sleman, 28 Nopember 1983</t>
  </si>
  <si>
    <t>198311280000001101</t>
  </si>
  <si>
    <t>MAN</t>
  </si>
  <si>
    <t>MAN IPS Tahun 2002</t>
  </si>
  <si>
    <t>3404072811830010</t>
  </si>
  <si>
    <t>Supiyanto</t>
  </si>
  <si>
    <t>Gunung Kidul, 5 Februari 1976</t>
  </si>
  <si>
    <t>197602050000001101</t>
  </si>
  <si>
    <t>Paket C IPS Tahun 2018</t>
  </si>
  <si>
    <t>3312010502760004</t>
  </si>
  <si>
    <t>Heri Setyanto</t>
  </si>
  <si>
    <t>Klaten, 20 Oktober 1983</t>
  </si>
  <si>
    <t>198310200000001101</t>
  </si>
  <si>
    <t>SMA</t>
  </si>
  <si>
    <t>SMA IPA Tahun 2003</t>
  </si>
  <si>
    <t>3404072010830014</t>
  </si>
  <si>
    <t>Norudin</t>
  </si>
  <si>
    <t>Bantul, 26 April 1975</t>
  </si>
  <si>
    <t>197504260000001101</t>
  </si>
  <si>
    <t>SMA IPS Tahun 1995</t>
  </si>
  <si>
    <t>3402122604750001</t>
  </si>
  <si>
    <t>Marsono</t>
  </si>
  <si>
    <t>Yogyakarta, 3 Februari 1974</t>
  </si>
  <si>
    <t>197402030000001101</t>
  </si>
  <si>
    <t>SMA IPS Tahun 2008</t>
  </si>
  <si>
    <t>3471130302740003</t>
  </si>
  <si>
    <t>Djoko Sakti</t>
  </si>
  <si>
    <t>Cimahi, 6 Maret 1972</t>
  </si>
  <si>
    <t>197203060000001101</t>
  </si>
  <si>
    <t>SMA IPA Tahun 1991</t>
  </si>
  <si>
    <t>3402130603720001</t>
  </si>
  <si>
    <t xml:space="preserve">Biro Administrasi Akademik, Kemahasiswaan dan Kerjasama ditugaskan pada UPT Pusat Perpustakaan </t>
  </si>
  <si>
    <t>Chrisma Hari Saputra</t>
  </si>
  <si>
    <t>Sleman, 14 Juli 1988</t>
  </si>
  <si>
    <t>198807140000001101</t>
  </si>
  <si>
    <t>SMK Teknik Mekanik Otomotif Tahun 2006</t>
  </si>
  <si>
    <t>3404081407860002</t>
  </si>
  <si>
    <t>Rahmat Febi Ferdiyan</t>
  </si>
  <si>
    <t>Sleman, 20 Februari 1986</t>
  </si>
  <si>
    <t>198602200000001101</t>
  </si>
  <si>
    <t>SMK Otomotif Tahun 2005</t>
  </si>
  <si>
    <t>3404092002860001</t>
  </si>
  <si>
    <t>Doni Andriyanto</t>
  </si>
  <si>
    <t>Yogyakarta, 12 Desember 1976</t>
  </si>
  <si>
    <t>197612120000001101</t>
  </si>
  <si>
    <t>SMK Mesin Produksi Tahun 1996</t>
  </si>
  <si>
    <t>3471031212760001</t>
  </si>
  <si>
    <t>Sumedi</t>
  </si>
  <si>
    <t>Yogyakarta, 15 April 1974</t>
  </si>
  <si>
    <t>197404150000001101</t>
  </si>
  <si>
    <t>SMK Kimia Industri Tahun 1994</t>
  </si>
  <si>
    <t>3471031504740003</t>
  </si>
  <si>
    <t>Wiyono</t>
  </si>
  <si>
    <t>Bantul, 8 Mei 1974</t>
  </si>
  <si>
    <t>197405080000001101</t>
  </si>
  <si>
    <t>SMK Elektronika Komunikasi Tahun 1995</t>
  </si>
  <si>
    <t>3402120805740001</t>
  </si>
  <si>
    <t>Wintoro</t>
  </si>
  <si>
    <t>Sleman, 6 Juni 1976</t>
  </si>
  <si>
    <t>197606060000001101</t>
  </si>
  <si>
    <t>STM Mesin Produksi Tahun 1995</t>
  </si>
  <si>
    <t>3404070606760002</t>
  </si>
  <si>
    <t>Yadi</t>
  </si>
  <si>
    <t>Gunung Kidul, 25 Juni 1979</t>
  </si>
  <si>
    <t>197906250000001101</t>
  </si>
  <si>
    <t xml:space="preserve">Paket C IPS </t>
  </si>
  <si>
    <t>3403162506790001</t>
  </si>
  <si>
    <t>Anang Hadiyanto</t>
  </si>
  <si>
    <t>Bantul, 28 Desember 1984</t>
  </si>
  <si>
    <t>198412280000001101</t>
  </si>
  <si>
    <t>SMK Teknik Mekanik Otomotif Tahun 2004</t>
  </si>
  <si>
    <t>3402122812840003</t>
  </si>
  <si>
    <t>Yudi Pantoro</t>
  </si>
  <si>
    <t>Sleman, 2 Mei 1981</t>
  </si>
  <si>
    <t>198205020000001101</t>
  </si>
  <si>
    <t>SMK Otomotof Tahun 2000</t>
  </si>
  <si>
    <t>3404090205810001</t>
  </si>
  <si>
    <t>Poniman</t>
  </si>
  <si>
    <t>Sleman, 23 Juni 1973</t>
  </si>
  <si>
    <t>197306230000001101</t>
  </si>
  <si>
    <t>STM Mesin Tahun 1995</t>
  </si>
  <si>
    <t>3404072306730003</t>
  </si>
  <si>
    <t>Dimas Hari Hidayanto, A.Md.</t>
  </si>
  <si>
    <t>Sleman, 26 Mei 1990</t>
  </si>
  <si>
    <t>199005260000001001</t>
  </si>
  <si>
    <t>D3 Perpustakaan dan Informasi Islam Tahun 2011</t>
  </si>
  <si>
    <t>Pranata Kearsipan</t>
  </si>
  <si>
    <t>3404062605900003</t>
  </si>
  <si>
    <t>Ikhwan Purnomo, A.Md.</t>
  </si>
  <si>
    <t>Sleman, 18 Desember 1988</t>
  </si>
  <si>
    <t>198812180000001101</t>
  </si>
  <si>
    <t>3404071812880001</t>
  </si>
  <si>
    <t>Arina Dewi Susilaningsih, S.Pd.I.</t>
  </si>
  <si>
    <t>Yogyakarta, 3 September 1992</t>
  </si>
  <si>
    <t>199209030000002101</t>
  </si>
  <si>
    <t>S1 Pendidikan Agama Islam UIN Sunan Kalijaga Yogyakarta Tahun 2016</t>
  </si>
  <si>
    <t>3404094309920002</t>
  </si>
  <si>
    <t>Anang Wahyu Nugroho</t>
  </si>
  <si>
    <t>Klaten, 10 Juli 1987</t>
  </si>
  <si>
    <t>198707100000001101</t>
  </si>
  <si>
    <t>Akuntansi UNY Tahun 2010</t>
  </si>
  <si>
    <t>3310011007870003</t>
  </si>
  <si>
    <t>Sarmin</t>
  </si>
  <si>
    <t>Wonogiri, 6 Agustus 1977</t>
  </si>
  <si>
    <t>199708060000001101</t>
  </si>
  <si>
    <t>SMP</t>
  </si>
  <si>
    <t>SMP Tahun 1993</t>
  </si>
  <si>
    <t>3404140608770001</t>
  </si>
  <si>
    <t>Bagian Tata Usaha Fak.Ushuluddin dan Pemikiran Islam</t>
  </si>
  <si>
    <t>Muhammad Ellyasa Subekti, SE.</t>
  </si>
  <si>
    <t>Sleman, 21 Juni 1982</t>
  </si>
  <si>
    <t>198206210000001101</t>
  </si>
  <si>
    <t>Manajemen, Universitas Mercu Buana Yogyakarta Tahun 2014</t>
  </si>
  <si>
    <t>3404062106820000</t>
  </si>
  <si>
    <t>Lukman Muhlasin</t>
  </si>
  <si>
    <t>Bantul, 9 Desember 1984</t>
  </si>
  <si>
    <t>198412090000001101</t>
  </si>
  <si>
    <t>Paket B 2014</t>
  </si>
  <si>
    <t>3402140912840002</t>
  </si>
  <si>
    <t>Ika Sukmawati, SIP.</t>
  </si>
  <si>
    <t>Magelang, 20 Maret 1986</t>
  </si>
  <si>
    <t>198603200000002101</t>
  </si>
  <si>
    <t>S1 Ilmu Perpustakaan UIN Sunan Kalijaga YK Tahun 2008</t>
  </si>
  <si>
    <t>Pengelola Bahan Akademik dan Pengajaran</t>
  </si>
  <si>
    <t>3308046003860001</t>
  </si>
  <si>
    <t>Sutrisno</t>
  </si>
  <si>
    <t>Sleman, 17 Februari 1978</t>
  </si>
  <si>
    <t>197802170000001101</t>
  </si>
  <si>
    <t>Paket C IPS 2015</t>
  </si>
  <si>
    <t>3404071702780001</t>
  </si>
  <si>
    <t>Sukardiman</t>
  </si>
  <si>
    <t>Sleman, 28 Februari 1982</t>
  </si>
  <si>
    <t>198202280000001101</t>
  </si>
  <si>
    <t>SMK Otomotif Tahun 2000</t>
  </si>
  <si>
    <t>3404022802820003</t>
  </si>
  <si>
    <t>Hanes Setiyo Purnomo</t>
  </si>
  <si>
    <t>Magelang, 22 November 1978</t>
  </si>
  <si>
    <t>197811220000001101</t>
  </si>
  <si>
    <t>SMK Teknik Mesin Tahun 1997</t>
  </si>
  <si>
    <t>3308202211780001</t>
  </si>
  <si>
    <t>Khabiburrahman, S.Si.</t>
  </si>
  <si>
    <t>Brebes, 17 Februari 1987</t>
  </si>
  <si>
    <t>198702170000001101</t>
  </si>
  <si>
    <t>S1 Kimia UIN Sunan Kalijaga Yogyakarta Tahun 2011</t>
  </si>
  <si>
    <t>3329090702870003</t>
  </si>
  <si>
    <t>Nur Imam Umri Saputro</t>
  </si>
  <si>
    <t>Yogyakarta, 2 November 1991</t>
  </si>
  <si>
    <t>199111020000001101</t>
  </si>
  <si>
    <t>SMK Teknik Listrik Tahun 2010</t>
  </si>
  <si>
    <t>3471010211910001</t>
  </si>
  <si>
    <t>Pramana Budi Susanta</t>
  </si>
  <si>
    <t>Gunung Kidul, 18 Januari 1985</t>
  </si>
  <si>
    <t>198501180000001101</t>
  </si>
  <si>
    <t>3403031801850004</t>
  </si>
  <si>
    <t>Edi Prasetya, S.Kom.</t>
  </si>
  <si>
    <t>Magelang, 3 Nopember 1985</t>
  </si>
  <si>
    <t>198511030000001101</t>
  </si>
  <si>
    <t>S1 Teknik Informatika STMIK AMIKOM YK Tahun 2009</t>
  </si>
  <si>
    <t>3308040311850002</t>
  </si>
  <si>
    <t>Yopi Arrasyid Mu'iz, S.Kom.</t>
  </si>
  <si>
    <t>Klaten, 8 September 1991</t>
  </si>
  <si>
    <t>199109080000001101</t>
  </si>
  <si>
    <t>S1 Sistem Informasi STMIK AMIKOM Yogyakarta Tahun 2015</t>
  </si>
  <si>
    <t>3310010809910001</t>
  </si>
  <si>
    <t>Rahman Soleh, S.Hum.</t>
  </si>
  <si>
    <t>Banyumas, 13 Juni 1985</t>
  </si>
  <si>
    <t>198506130000001101</t>
  </si>
  <si>
    <t>S1 Sejarah dan Kebudayaan Islam UIN Sunan Kalijaga Tahun 2011</t>
  </si>
  <si>
    <t>3302081306850004</t>
  </si>
  <si>
    <t>Yasmitha Lusy Ekayanti, S.Kom.</t>
  </si>
  <si>
    <t>Semarang, 26 Desember 1994</t>
  </si>
  <si>
    <t>199412260000002203</t>
  </si>
  <si>
    <t>3404106612940002</t>
  </si>
  <si>
    <t>Fera Dwi Rengganis, S.H.</t>
  </si>
  <si>
    <t>Sleman, 24 Januari 1994</t>
  </si>
  <si>
    <t>199401240000002101</t>
  </si>
  <si>
    <t>S1 Hukum Ekonomi Syari'ah UIN Sunan Kalijaga Yogyakarta Tahun  2016</t>
  </si>
  <si>
    <t>3404016401940002</t>
  </si>
  <si>
    <t>Novitasari Primadita, S.E.I.</t>
  </si>
  <si>
    <t>Temanggung, 9 April 1989</t>
  </si>
  <si>
    <t>198904090000002101</t>
  </si>
  <si>
    <t>S1 Ekonomi Islam UIN Sunan Kalijaga Yogyakarta Tahun 2012</t>
  </si>
  <si>
    <t>3404074904890006</t>
  </si>
  <si>
    <t>Haris Pramana</t>
  </si>
  <si>
    <t>Yogyakarta, 20 Juni 1989</t>
  </si>
  <si>
    <t>198906200000001101</t>
  </si>
  <si>
    <t>SMA IPS</t>
  </si>
  <si>
    <t>3471032006890001</t>
  </si>
  <si>
    <t>Setiyono</t>
  </si>
  <si>
    <t>Ngawi, 15 Juli 1978</t>
  </si>
  <si>
    <t>197807150000001101</t>
  </si>
  <si>
    <t>D1 Bahasa Inggris Perhotelan &amp; Pariwisata SPB Magistra Utama Tahun 1998</t>
  </si>
  <si>
    <t>3521101507780005</t>
  </si>
  <si>
    <t xml:space="preserve">Adika Waskary Adlyansah, S.T. </t>
  </si>
  <si>
    <t>Yogyakarta, 22 April 1980</t>
  </si>
  <si>
    <t>198004220000001101</t>
  </si>
  <si>
    <t>S1 Teknik Perminyakan UPN "Veteran" Yogyakarta Tahun 2007</t>
  </si>
  <si>
    <t>3404062204800002</t>
  </si>
  <si>
    <t>Ghulam Anif Yulianto, S.IP.</t>
  </si>
  <si>
    <t>Bantul, 27 Juli 1976</t>
  </si>
  <si>
    <t>197607270000001101</t>
  </si>
  <si>
    <t>S1 Fisipol UMY Tahun 2003</t>
  </si>
  <si>
    <t>3404012707760006</t>
  </si>
  <si>
    <t>Katrin Purnomo Sari, S.Psi.</t>
  </si>
  <si>
    <t>Yogyakarta, 25 Mei 1987</t>
  </si>
  <si>
    <t>198705250000002101</t>
  </si>
  <si>
    <t>S1 Psikologi UIN Sunan Kalijaga Yogyakarta Tahun 2010</t>
  </si>
  <si>
    <t>Pengelola Laboratorium</t>
  </si>
  <si>
    <t>3402126505870004</t>
  </si>
  <si>
    <t>Rahmat Zaenudin</t>
  </si>
  <si>
    <t>Bantul, 2 Mei 1992</t>
  </si>
  <si>
    <t>199205020000001201</t>
  </si>
  <si>
    <t>SMA IPA Tahun 2011</t>
  </si>
  <si>
    <t>3402090205920001</t>
  </si>
  <si>
    <t xml:space="preserve">Achmad Saifullah </t>
  </si>
  <si>
    <t>Bantul, 20 Juni 1991</t>
  </si>
  <si>
    <t>199106200000001101</t>
  </si>
  <si>
    <t>SMA Teknik Komputer &amp; Jaringan  Tahun 2009</t>
  </si>
  <si>
    <t>3404042006910001</t>
  </si>
  <si>
    <t>Arif Maryono</t>
  </si>
  <si>
    <t>Yogyakarta, 4 Maret 1983</t>
  </si>
  <si>
    <t>198303040000001101</t>
  </si>
  <si>
    <t>SMA IPS Tahun 2002</t>
  </si>
  <si>
    <t>Pranata Reproduksi Arsip</t>
  </si>
  <si>
    <t>3471130403830002</t>
  </si>
  <si>
    <t>Ari Kurniawan, S.H.</t>
  </si>
  <si>
    <t>Sleman, 13 Desember 1984</t>
  </si>
  <si>
    <t>198412130000001101</t>
  </si>
  <si>
    <t>S1 Hukum, Universitas Widya Mataram</t>
  </si>
  <si>
    <t>3404061212840002</t>
  </si>
  <si>
    <t>Andrias Nurdiyanto</t>
  </si>
  <si>
    <t>Bantul, 5 Maret 1978</t>
  </si>
  <si>
    <t>197803050000001101</t>
  </si>
  <si>
    <t>IPS MAN Lab Tarbiyah UIN Sunan Kalijaga</t>
  </si>
  <si>
    <t xml:space="preserve">Pengemudi </t>
  </si>
  <si>
    <t>3402140503780004</t>
  </si>
  <si>
    <t>Moh. Shoffa Faizin, S.Kom.</t>
  </si>
  <si>
    <t>Pati, 01 Agustus 1988</t>
  </si>
  <si>
    <t>198808010000001101</t>
  </si>
  <si>
    <t>S1 Teknik Informatika STMIK AKAKOM Tahun 2011</t>
  </si>
  <si>
    <t>3318020108880001</t>
  </si>
  <si>
    <t>Ahmad Azhar, ST.</t>
  </si>
  <si>
    <t>Jakarta, 1 April 1988</t>
  </si>
  <si>
    <t>198804010000001101</t>
  </si>
  <si>
    <t>S1 Teknik Industri Universitas Islam Jakarta Tahun 2011</t>
  </si>
  <si>
    <t>3175060104880021</t>
  </si>
  <si>
    <t>Dian Nurlaily Fitria, S.E.I.</t>
  </si>
  <si>
    <t>Yogyakarta, 5 Juni 1985</t>
  </si>
  <si>
    <t>198506050000002101</t>
  </si>
  <si>
    <t>S1 KUI UIN Sunan Kalijaga YK Tahun 2009</t>
  </si>
  <si>
    <t>Pengadministtrasi Akademik</t>
  </si>
  <si>
    <t>3404084506850002</t>
  </si>
  <si>
    <t>Harjana</t>
  </si>
  <si>
    <t>Bantul, 16 Desember 1983</t>
  </si>
  <si>
    <t>198312160000001101</t>
  </si>
  <si>
    <t>SMA IPS Tahun 2003</t>
  </si>
  <si>
    <t>3402171612830002</t>
  </si>
  <si>
    <t>Faisal Muarif</t>
  </si>
  <si>
    <t>Sleman, 30 Oktober 1990</t>
  </si>
  <si>
    <t>199010300000001101</t>
  </si>
  <si>
    <t>SMK Teknik Permesinan Tahun 2008</t>
  </si>
  <si>
    <t>Pengadministrasi Perpustakaan</t>
  </si>
  <si>
    <t>3404113010900001</t>
  </si>
  <si>
    <t>Apri Wahyono</t>
  </si>
  <si>
    <t>Yogyakarta, 25 Maret 1991</t>
  </si>
  <si>
    <t>199103250000001101</t>
  </si>
  <si>
    <t>SMK Kria Logam Tahun 2009</t>
  </si>
  <si>
    <t>3471132503910002</t>
  </si>
  <si>
    <t>Susanti</t>
  </si>
  <si>
    <t>Sleman, 6 April 1987</t>
  </si>
  <si>
    <t>198704060000002101</t>
  </si>
  <si>
    <t>SMKN 7 Jurusan Akuntansi Tahun 2005</t>
  </si>
  <si>
    <t>3404064604870004</t>
  </si>
  <si>
    <t xml:space="preserve">Didit Kurnia </t>
  </si>
  <si>
    <t>Bantul, 1 Januari 1985</t>
  </si>
  <si>
    <t>198501010000001101</t>
  </si>
  <si>
    <t>MAN IPS Tahun 2003</t>
  </si>
  <si>
    <t>3402150101850002</t>
  </si>
  <si>
    <t>Bagian Tata Usaha Fakultas Sains dan Teknologi</t>
  </si>
  <si>
    <t>Hasan Ashari</t>
  </si>
  <si>
    <t>Sleman, 13 Juni 1977</t>
  </si>
  <si>
    <t>197706130000001101</t>
  </si>
  <si>
    <t>MAN IPS Tahun 1998</t>
  </si>
  <si>
    <t>3404071306770005</t>
  </si>
  <si>
    <t>Nur Fitri Istianah, S.Pd.</t>
  </si>
  <si>
    <t>Pati, 2 April 1994</t>
  </si>
  <si>
    <t>199404020000002101</t>
  </si>
  <si>
    <t>S1 Pendidikan Biologi UIN Sunan Kalijaga Yogyakarta Tahun 2017</t>
  </si>
  <si>
    <t>3318094204940001</t>
  </si>
  <si>
    <t>Robi’atul Chalimah, SIP.</t>
  </si>
  <si>
    <t>Bantul, 25 Maret 1984</t>
  </si>
  <si>
    <t>198403250000002101</t>
  </si>
  <si>
    <t>S1 Ilmu Perpustakaan UIN Sunan Kalijaga YK Tahun 2011</t>
  </si>
  <si>
    <t>Pengelola Surat</t>
  </si>
  <si>
    <t>3402146503840001</t>
  </si>
  <si>
    <t xml:space="preserve">Nur Cahyono </t>
  </si>
  <si>
    <t>Sleman, 15 Maret 1983</t>
  </si>
  <si>
    <t>198303150000001101</t>
  </si>
  <si>
    <t>SMA IPS Tahun 2001</t>
  </si>
  <si>
    <t>3404051503830001</t>
  </si>
  <si>
    <t>Benedictus Heru Susanto</t>
  </si>
  <si>
    <t>Sleman, 21 Maret 1972</t>
  </si>
  <si>
    <t>197203210000001101</t>
  </si>
  <si>
    <t>SMEA</t>
  </si>
  <si>
    <t>3404092103720003</t>
  </si>
  <si>
    <t>Zainal Hasanudin</t>
  </si>
  <si>
    <t>Sleman, 1 April 1985</t>
  </si>
  <si>
    <t>198504010000001101</t>
  </si>
  <si>
    <t>SMK Teknik Mekanik Otomotif Tahun 2003</t>
  </si>
  <si>
    <t>3404070104850004</t>
  </si>
  <si>
    <t xml:space="preserve">Suwono </t>
  </si>
  <si>
    <t>Kulon Progo, 24 Januari 1984</t>
  </si>
  <si>
    <t>198401240000001101</t>
  </si>
  <si>
    <t>SMK Teknik Las Tahun 2002</t>
  </si>
  <si>
    <t>3401042401840012</t>
  </si>
  <si>
    <t>Totok Haryanto</t>
  </si>
  <si>
    <t>Sragen, 18 Mei 1972</t>
  </si>
  <si>
    <t>197205180000001101</t>
  </si>
  <si>
    <t>3404081805720003</t>
  </si>
  <si>
    <t>Faizah, SEI.</t>
  </si>
  <si>
    <t>Bantul, 13 April 1984</t>
  </si>
  <si>
    <t>198404130000002101</t>
  </si>
  <si>
    <t>S1 Keuangan Islam UIN Sunan Kalijaga Yogyakarta Tahun 2009</t>
  </si>
  <si>
    <t>3402135304840001</t>
  </si>
  <si>
    <t>Fitri Septia Andaruni, S.E.</t>
  </si>
  <si>
    <t>Sleman, 12 September 1990</t>
  </si>
  <si>
    <t>199009120000002101</t>
  </si>
  <si>
    <t>S1 Manajemen Universitas Muhammadiyah Yogyakarta Tahun 2013</t>
  </si>
  <si>
    <t>3404025209900001</t>
  </si>
  <si>
    <t>Tesdha Rahayu, S.E.I.</t>
  </si>
  <si>
    <t>Gunungkidul, 17 Maret 1988</t>
  </si>
  <si>
    <t>198803170000002101</t>
  </si>
  <si>
    <t>S1 Keuangan Islam, UIN Sunan Kalijaga Yogyakarta Tahun 2013</t>
  </si>
  <si>
    <t>3403045703880001</t>
  </si>
  <si>
    <t>Iin Ade Irianti, S.E.I.</t>
  </si>
  <si>
    <t>Kebumen, 11 Oktober 1986</t>
  </si>
  <si>
    <t>198610110000002101</t>
  </si>
  <si>
    <t>S1 Keuangan Islam  Universitas Islam Negeri Sunan Kalijaga Tahun 2012</t>
  </si>
  <si>
    <t>3305135110860006</t>
  </si>
  <si>
    <t>Budi Santoso</t>
  </si>
  <si>
    <t>Sleman, 3 Desember 1978</t>
  </si>
  <si>
    <t>197812030000001101</t>
  </si>
  <si>
    <t>SD</t>
  </si>
  <si>
    <t>SD Tahun 1995</t>
  </si>
  <si>
    <t>3404020312780002</t>
  </si>
  <si>
    <t>Danu Wijanarko</t>
  </si>
  <si>
    <t>Bantul, 29 Juni 1990</t>
  </si>
  <si>
    <t>199006290000001101</t>
  </si>
  <si>
    <t>SMA  IPS Tahun 2008</t>
  </si>
  <si>
    <t>3402012906900001</t>
  </si>
  <si>
    <t>Didik Mujiono</t>
  </si>
  <si>
    <t>Sleman, 26 Desember 1987</t>
  </si>
  <si>
    <t>198712260000001101</t>
  </si>
  <si>
    <t>SMK Otomotif Tahun 2006</t>
  </si>
  <si>
    <t>3404072612870002</t>
  </si>
  <si>
    <t>Suwarsono</t>
  </si>
  <si>
    <t>Sleman, 7 Maret 1984</t>
  </si>
  <si>
    <t>198403070000001101</t>
  </si>
  <si>
    <t>SMK Teknik Instalasi Listrik Tahun 2004</t>
  </si>
  <si>
    <t>3404080703840002</t>
  </si>
  <si>
    <t>Rahmadhani Minarta, S.Kom.</t>
  </si>
  <si>
    <t>Gunungkidul, 7 Maret 1992</t>
  </si>
  <si>
    <t>199203070000001101</t>
  </si>
  <si>
    <t>3402090703920001</t>
  </si>
  <si>
    <t>17 Januari 2022</t>
  </si>
  <si>
    <t>Retno Herawati, AMR.</t>
  </si>
  <si>
    <t>Sleman, 25 November 1979</t>
  </si>
  <si>
    <t>197911250000002101</t>
  </si>
  <si>
    <t>Teknik Radiodiagnostik dan Radioterapi ATRO Tahun 2002</t>
  </si>
  <si>
    <t>Pengadministrasi Layanan Kesehatan</t>
  </si>
  <si>
    <t>3404056511790002</t>
  </si>
  <si>
    <t>Biro Administrasi Umum dan Keuangan ditugaskan pada Poliklinik</t>
  </si>
  <si>
    <t>Arie Rahmadi, S.Kep.</t>
  </si>
  <si>
    <t>Nang Silat, 23 Juli 1990</t>
  </si>
  <si>
    <t>199007230000001101</t>
  </si>
  <si>
    <t>S1 Keperawatan, STIKES Jenderal Ahmad Yani Yogyakarta Tahun 2013</t>
  </si>
  <si>
    <t>Perawat</t>
  </si>
  <si>
    <t>3402062307900001</t>
  </si>
  <si>
    <t>Tsaniatul Ulfah, S.S.</t>
  </si>
  <si>
    <t>Sleman, 19 April 1980</t>
  </si>
  <si>
    <t>198004190000002101</t>
  </si>
  <si>
    <t>S1 Bahasa dan Sastra Arab UIN Sunan Kalijaga Yogyakarta Tahun 2003</t>
  </si>
  <si>
    <t>3402175904800003</t>
  </si>
  <si>
    <t>Aji Rustamaji, S.E.</t>
  </si>
  <si>
    <t>Bantul, 12 April 1978</t>
  </si>
  <si>
    <t>197804120000001101</t>
  </si>
  <si>
    <t>S1 Ekonomi STIE YKPN YK Tahun 2003</t>
  </si>
  <si>
    <t>Pengolah Data Pelayanan</t>
  </si>
  <si>
    <t>3402121204780002</t>
  </si>
  <si>
    <t>Biro Administrasi Akademik, Kemahasiswaan dan Kerjasama ditugaskan pada LP2M</t>
  </si>
  <si>
    <t>Dwi Sri Lestari, S.Psi.</t>
  </si>
  <si>
    <t>Jambi, 24 April 1990</t>
  </si>
  <si>
    <t>199004240000002101</t>
  </si>
  <si>
    <t>S1 Psikologi UIN Sunan Kalijaga Yogyakarta Tahun 2016</t>
  </si>
  <si>
    <t>Pengelola Pelaksanaan
Program Kelembagaan
dan Kerjasama</t>
  </si>
  <si>
    <t>1571086404900021</t>
  </si>
  <si>
    <t>Finda Indriana, S.T.</t>
  </si>
  <si>
    <t>Yogyakarta, 24 Juni 1985</t>
  </si>
  <si>
    <t>198506240000002101</t>
  </si>
  <si>
    <t>S1 Teknik Informatika UPN "Veteran" Yogyakarta Tahun 2007</t>
  </si>
  <si>
    <t>3404066406850006</t>
  </si>
  <si>
    <t>Syarip Muhammad, S.E.I.</t>
  </si>
  <si>
    <t>Simangambat, 17 Juli 1981</t>
  </si>
  <si>
    <t>198107170000001101</t>
  </si>
  <si>
    <t>S1 Ekonomi Islam UIN Sunan Kalijaga YK Tahun 2008</t>
  </si>
  <si>
    <t>3402081707810006</t>
  </si>
  <si>
    <t>Nisa Friskana Yundi, S.E.</t>
  </si>
  <si>
    <t>Sleman, 1 Februari 1996</t>
  </si>
  <si>
    <t>199602010000002101</t>
  </si>
  <si>
    <t>S1 Ekonomi Pembangunan Universitas Islam Indonesia Tahun 2018</t>
  </si>
  <si>
    <t>3404124102960003</t>
  </si>
  <si>
    <t>Dwi Riyanto</t>
  </si>
  <si>
    <t>Gunungkidul, 16 Desember 1981</t>
  </si>
  <si>
    <t>198112160000001101</t>
  </si>
  <si>
    <t>SMA IPS Tahun 2004</t>
  </si>
  <si>
    <t>3403041612810001</t>
  </si>
  <si>
    <t>Wagino</t>
  </si>
  <si>
    <t>Klaten, 12 September 1975</t>
  </si>
  <si>
    <t>197509120000001101</t>
  </si>
  <si>
    <t>SMA IPA Tahun 1994</t>
  </si>
  <si>
    <t>3310091209750001</t>
  </si>
  <si>
    <t>Sigit Budi Prasetyo</t>
  </si>
  <si>
    <t>Bantul, 27 Oktober 1988</t>
  </si>
  <si>
    <t>198810270000001101</t>
  </si>
  <si>
    <t xml:space="preserve">SMK Teknik Mesin </t>
  </si>
  <si>
    <t>3402172710880002</t>
  </si>
  <si>
    <t>Supardi</t>
  </si>
  <si>
    <t>Sleman, 8 Februari 1976</t>
  </si>
  <si>
    <t>197602080000001101</t>
  </si>
  <si>
    <t>SMK Teknik Elektronika Tahun 1997</t>
  </si>
  <si>
    <t>3404070107760030</t>
  </si>
  <si>
    <t>Eko Imam Wardianto</t>
  </si>
  <si>
    <t>Yogyakarta, 24 Mei 1971</t>
  </si>
  <si>
    <t>197105240000001101</t>
  </si>
  <si>
    <t>STM Listrik Tahun 1993</t>
  </si>
  <si>
    <t>3402122405710002</t>
  </si>
  <si>
    <t>Anggit Damaz Istoko, S.Kom.</t>
  </si>
  <si>
    <t>Magelang, 4 Juli 1993</t>
  </si>
  <si>
    <t>199307040000001101</t>
  </si>
  <si>
    <t>S1 Teknik Informatika UIN Sunan Kalijaga Yogyakarta Tahun 2018</t>
  </si>
  <si>
    <t xml:space="preserve">Pengadministrasi Data Penyajian dan Publikasi
 </t>
  </si>
  <si>
    <t>3308020407930001</t>
  </si>
  <si>
    <t>Biro Administrasi Akademik, Kemahasiswaan dan Kerjasama ditugaskan pada Pusat Admisi</t>
  </si>
  <si>
    <t>Raden Novan Aryo Seto, ST.</t>
  </si>
  <si>
    <t>Yogyakarta, 27 November 1984</t>
  </si>
  <si>
    <t>198411270000001101</t>
  </si>
  <si>
    <t>S1 Teknik Informatika UAD Tahun 2008</t>
  </si>
  <si>
    <t>3471082711840001</t>
  </si>
  <si>
    <t>Anitasari, S.E.I.</t>
  </si>
  <si>
    <t>Bantul, 4 Agustus 1990</t>
  </si>
  <si>
    <t>199008040000002101</t>
  </si>
  <si>
    <t>S1 Keuangan Islam UIN Sunan Kalijaga Yogyakarta</t>
  </si>
  <si>
    <t>3402094408900001</t>
  </si>
  <si>
    <t>Biro Administrasi Umum dan Keuangan ditugaskan pada  Satuan Pengawasan Internal</t>
  </si>
  <si>
    <t>Lucky Al Faruq, S.Kom.</t>
  </si>
  <si>
    <t>Lampung, 24 Juli 1993</t>
  </si>
  <si>
    <t>199307240000001101</t>
  </si>
  <si>
    <t>1812012407930004</t>
  </si>
  <si>
    <t>Biro Administrasi Umum dan Keuangan ditugaskan pada PTIPD</t>
  </si>
  <si>
    <t>Faqih Masyhad, SE.I, S.Pd.</t>
  </si>
  <si>
    <t>Banyumas, 2 Februari 1982</t>
  </si>
  <si>
    <t>198202020000001101</t>
  </si>
  <si>
    <t>S1 KUI UIN Sunan Kalijaga Tahun 2007 &amp; S1 Pendidikan Bahasa Jerman Universitas Negeri Yogyakarta Tahun 2007</t>
  </si>
  <si>
    <t>Pengelola Terjemahan dan Kerjasama</t>
  </si>
  <si>
    <t>3471130202820002</t>
  </si>
  <si>
    <t>Biro Administrasi Akademik, Kemahasiswaan dan Kerjasama ditugaskan pada UPT Pusat Pengembangan Bahasa</t>
  </si>
  <si>
    <t>Widianningrum, S.E.</t>
  </si>
  <si>
    <t>Sleman, 6 Desember 1983</t>
  </si>
  <si>
    <t>198312060000002101</t>
  </si>
  <si>
    <t>S1 Ekonomi Akuntansi Universitas Janabadra YK Tahun 2006</t>
  </si>
  <si>
    <t>3404074612830005</t>
  </si>
  <si>
    <t>Basuki Rohmat</t>
  </si>
  <si>
    <t>Bantul, 6 Februari 1978</t>
  </si>
  <si>
    <t>197802060000001101</t>
  </si>
  <si>
    <t>SMA IPS Tahun 2010</t>
  </si>
  <si>
    <t>3402110602780002</t>
  </si>
  <si>
    <t>Anang Sudarmadi</t>
  </si>
  <si>
    <t>Yogyakarta, 8 Januari 1971</t>
  </si>
  <si>
    <t>197101080000001101</t>
  </si>
  <si>
    <t>SMA IPS Tahun 1991</t>
  </si>
  <si>
    <t>3471120801710001</t>
  </si>
  <si>
    <t>Muhammad Nursalim, A.Md.</t>
  </si>
  <si>
    <t>Klaten, 1 Juni 1991</t>
  </si>
  <si>
    <t>199106010000001101</t>
  </si>
  <si>
    <t>D3 Manajemen Informatika STIE AUB Surakarta</t>
  </si>
  <si>
    <t>3310180106910005</t>
  </si>
  <si>
    <t>Biro Administrasi Umum dan Keuangan ditugaskan pada UPT Pusat Pengembangan Bisnis</t>
  </si>
  <si>
    <t>Puji Sri Rahayu, SE</t>
  </si>
  <si>
    <t>Bantul, 26 Maret 1982</t>
  </si>
  <si>
    <t>198203260000002101</t>
  </si>
  <si>
    <t>S1 Akuntansi Universitas Mercu Buana Yogyakarta Tahun 2005</t>
  </si>
  <si>
    <t>3404056603820004</t>
  </si>
  <si>
    <t>Lilik Kusumawati, SE.</t>
  </si>
  <si>
    <t>Pangkalanbun, 8 Mei 1981</t>
  </si>
  <si>
    <t>198105080000002101</t>
  </si>
  <si>
    <t>S1 Akuntansi STIE Widya Wiwaha Tahun 2004</t>
  </si>
  <si>
    <t>Pengelola Barang Milik Negara</t>
  </si>
  <si>
    <t>3404074805810009</t>
  </si>
  <si>
    <t>Maryanto</t>
  </si>
  <si>
    <t>Klaten, 26 April 1982</t>
  </si>
  <si>
    <t>198204260000001101</t>
  </si>
  <si>
    <t>3404072604820005</t>
  </si>
  <si>
    <t>Jarwani</t>
  </si>
  <si>
    <t>Sleman, 16 Agustus 1987</t>
  </si>
  <si>
    <t>198708160000001101</t>
  </si>
  <si>
    <t>SMK Mekanik Otomotif Tahun 2007</t>
  </si>
  <si>
    <t>3404101608870001</t>
  </si>
  <si>
    <t>Miftakhul Yazid Fuadi, SIP.</t>
  </si>
  <si>
    <t>Trenggalek, 19 Juli 1988</t>
  </si>
  <si>
    <t>198807190000001101</t>
  </si>
  <si>
    <t xml:space="preserve">S1 Ilmu Perpustakaan UIN Sunan Kalijaga Yogyakarta </t>
  </si>
  <si>
    <t>Pengelola Perpustakaan</t>
  </si>
  <si>
    <t>3503081907880002</t>
  </si>
  <si>
    <t>Minto Wasono</t>
  </si>
  <si>
    <t>Bantul, 16 Mei 1979</t>
  </si>
  <si>
    <t>197905160000001101</t>
  </si>
  <si>
    <t>SMK Elektronika Komunikasi Tahun 1998</t>
  </si>
  <si>
    <t>3402121605790001</t>
  </si>
  <si>
    <t>TEMPAT LAHIR</t>
  </si>
  <si>
    <t>TANGGAL LAHIR</t>
  </si>
  <si>
    <t>JABATAN</t>
  </si>
  <si>
    <t>GOLONGAN</t>
  </si>
  <si>
    <t>JABATAN TAMBAHAN</t>
  </si>
  <si>
    <t>JURUSAN/TEMPAT PDDK</t>
  </si>
  <si>
    <t>NIDN</t>
  </si>
  <si>
    <t>SERTIFIKASI</t>
  </si>
  <si>
    <t xml:space="preserve">PROGRAM STUDI </t>
  </si>
  <si>
    <t>MATA KULIAH/BIDANG ILMU PADA SAAT MENJADI DTPNS</t>
  </si>
  <si>
    <t>Husnul Khitam, Lc.,MH.</t>
  </si>
  <si>
    <t>198103162023211005</t>
  </si>
  <si>
    <t xml:space="preserve">L </t>
  </si>
  <si>
    <t xml:space="preserve">Bojonegoro </t>
  </si>
  <si>
    <t>Asisten Ahli - Dosen Hukum Islam di Indonesia</t>
  </si>
  <si>
    <t>1 Agustus 2023 s.d. 31 Juli 2028</t>
  </si>
  <si>
    <t>X</t>
  </si>
  <si>
    <t>S2</t>
  </si>
  <si>
    <t>Hukum Keluarga, UIN Sunan Kalijaga, 2016</t>
  </si>
  <si>
    <t>2016038103</t>
  </si>
  <si>
    <t>3522121603810008</t>
  </si>
  <si>
    <t>Fakultas Syari'ah dan Hukum</t>
  </si>
  <si>
    <t>Perbandingan Madzhab (S1)</t>
  </si>
  <si>
    <t>Fiqh Indonesia</t>
  </si>
  <si>
    <t>Izzatin Kamala, S.Pd.,M.Pd.</t>
  </si>
  <si>
    <t>198807012023212038</t>
  </si>
  <si>
    <t xml:space="preserve">P </t>
  </si>
  <si>
    <t xml:space="preserve">Pati </t>
  </si>
  <si>
    <t>Asisten Ahli - Dosen Sains dan Pembelajaran</t>
  </si>
  <si>
    <t>Pendidikan Sains, Universitas Sebelas Maret, 2014</t>
  </si>
  <si>
    <t>0701078802</t>
  </si>
  <si>
    <t>222100517745</t>
  </si>
  <si>
    <t>3318164107880090</t>
  </si>
  <si>
    <t>Fakultas Ilmu Tarbiyah dan Keguruan</t>
  </si>
  <si>
    <t>Pendidikan Guru Madrasah Ibtidaiyah (S1)</t>
  </si>
  <si>
    <t>Dosen IPA MI/SD</t>
  </si>
  <si>
    <t>Dinik Fitri Rahajeng Pangestuti, SE., M.Ak.</t>
  </si>
  <si>
    <t>198108022023212011</t>
  </si>
  <si>
    <t xml:space="preserve">Blora </t>
  </si>
  <si>
    <t>Asisten Ahli-Dosen Akuntansi</t>
  </si>
  <si>
    <t>Koordinator Divisi Keuangan dan Audit</t>
  </si>
  <si>
    <t>Akuntansi, Universitas Indonesia, 2010</t>
  </si>
  <si>
    <t>0502088101</t>
  </si>
  <si>
    <t>222100517756</t>
  </si>
  <si>
    <t>3374134208810008</t>
  </si>
  <si>
    <t>Fakultas Ekonomi dan Bisnis Islam</t>
  </si>
  <si>
    <t>Akuntansi Syari'ah  (S1)</t>
  </si>
  <si>
    <t>Akuntansi</t>
  </si>
  <si>
    <t>Anggari Marya Kresnowati, SE,ME.</t>
  </si>
  <si>
    <t>199201072023212042</t>
  </si>
  <si>
    <t xml:space="preserve">Trenggalek </t>
  </si>
  <si>
    <t>Asisten Ahli-Dosen Ilmu Ekonomi</t>
  </si>
  <si>
    <t>Plt. Sekretaris Program Studi Ekonomi Syari'ah</t>
  </si>
  <si>
    <t>Ilmu Ekonomi, Universitas Brawijaya, 2016</t>
  </si>
  <si>
    <t>2007019202</t>
  </si>
  <si>
    <t xml:space="preserve"> 3503114701920001</t>
  </si>
  <si>
    <t>Ekonomi Syari'ah  (S1)</t>
  </si>
  <si>
    <t>Ilmu Ekonomi</t>
  </si>
  <si>
    <t>Dr. Suhadi, S.Ag., M.A.</t>
  </si>
  <si>
    <t>197709132023211002</t>
  </si>
  <si>
    <t xml:space="preserve">Kediri </t>
  </si>
  <si>
    <t>Lektor-Dosen Antropplogi Agama</t>
  </si>
  <si>
    <t>XII</t>
  </si>
  <si>
    <t>S3</t>
  </si>
  <si>
    <t>Religious Studies, Radboud Universiteit Nijmegen, Belanda, 2014</t>
  </si>
  <si>
    <t>2013097703</t>
  </si>
  <si>
    <t>222100517764</t>
  </si>
  <si>
    <t>3404111309770003</t>
  </si>
  <si>
    <t>Pascasarjana</t>
  </si>
  <si>
    <t>Interdiciplinary Islamic Studies (S2)</t>
  </si>
  <si>
    <t>Studi Agama Agama</t>
  </si>
  <si>
    <t>Dr. Nasiruddin, S.Pd.I., M.Pd.</t>
  </si>
  <si>
    <t>198207112023211012</t>
  </si>
  <si>
    <t xml:space="preserve">Bangkalan </t>
  </si>
  <si>
    <t>Lektor-Dosen Bahasa Arab</t>
  </si>
  <si>
    <t>Sekretaris Program Studi Magister Pendidikan Bahasa Arab</t>
  </si>
  <si>
    <t>Pendidikan Islam, UIN Sunan Ampel Surabaya, 2015</t>
  </si>
  <si>
    <t>2111078201</t>
  </si>
  <si>
    <t>3404071107820017</t>
  </si>
  <si>
    <t>Pendidikan Bahasa Arab (S3)</t>
  </si>
  <si>
    <t>Bahasa Arab</t>
  </si>
  <si>
    <t>Dr. Nina Mariani Noor, SS., MA.</t>
  </si>
  <si>
    <t>197606112023212010</t>
  </si>
  <si>
    <t>Lektor-Dosen Islam Dan Moderitas</t>
  </si>
  <si>
    <t xml:space="preserve">Sekretaris Program Studi Program Doktor (S3) </t>
  </si>
  <si>
    <t>Agama dan Lintas Budaya, Universitas Gadjah Mada, 2016</t>
  </si>
  <si>
    <t>2011067603</t>
  </si>
  <si>
    <t>3404125106760002</t>
  </si>
  <si>
    <t>Agama dan Lintas Budaya</t>
  </si>
  <si>
    <t>Dr. Sunarwoto, S.Ag.,M.A.</t>
  </si>
  <si>
    <t>197508052023211007</t>
  </si>
  <si>
    <t xml:space="preserve">Demak </t>
  </si>
  <si>
    <t>Lektor-Dosen Sosiologi Agama</t>
  </si>
  <si>
    <t>Humanities, Tilburg University, Belanda 2015</t>
  </si>
  <si>
    <t>2005087503</t>
  </si>
  <si>
    <t>3321090508750001</t>
  </si>
  <si>
    <t>Sosiologi Islam</t>
  </si>
  <si>
    <t>Mohammad Yunus, Lc., MA., Ph.D</t>
  </si>
  <si>
    <t>198009032023211011</t>
  </si>
  <si>
    <t>Ushuluddin/Akidah Filsafat, Universitas Al Azhar Kairo, 2016</t>
  </si>
  <si>
    <t>2003098003</t>
  </si>
  <si>
    <t>3318150309800001</t>
  </si>
  <si>
    <t>Teologi dan Filsafat Islam</t>
  </si>
  <si>
    <t>Gilang Kresnanda Annas, M.H.</t>
  </si>
  <si>
    <t>199109252023211022</t>
  </si>
  <si>
    <t xml:space="preserve">Pemalang </t>
  </si>
  <si>
    <t>Asisten Ahli-Dosen Hukum Pidana</t>
  </si>
  <si>
    <t>01 Desember 2023 s.d. 30 November 2028</t>
  </si>
  <si>
    <t>Ilmu Hukum, Universitas Islam Indonesia, 2016</t>
  </si>
  <si>
    <t>2025109101</t>
  </si>
  <si>
    <t>3402152509910001</t>
  </si>
  <si>
    <t>Ilmu Hukum (S1)</t>
  </si>
  <si>
    <t>Hukum Pidana</t>
  </si>
  <si>
    <t>Abdul Jalil, M.S.I.</t>
  </si>
  <si>
    <t>198108312023211009</t>
  </si>
  <si>
    <t xml:space="preserve">Mekkah </t>
  </si>
  <si>
    <t>Asisten Ahli-Dosen Ilmu Tafsir</t>
  </si>
  <si>
    <t>Ilmu Al-qur'an, UNSIQ Jawa tengah di wonososbo, 2011</t>
  </si>
  <si>
    <t>2031088101</t>
  </si>
  <si>
    <t xml:space="preserve"> </t>
  </si>
  <si>
    <t>3329053108810001</t>
  </si>
  <si>
    <t>Fakultas Ushuluddin dan Pemikiran Islam</t>
  </si>
  <si>
    <t>Ilmu Al-Qur'an dan Tafsir (S1)</t>
  </si>
  <si>
    <t>Ilmu Tafsir</t>
  </si>
  <si>
    <t>Najib Kailani, S.Fil.I.,MA, Ph.D.</t>
  </si>
  <si>
    <t>197809242023211009</t>
  </si>
  <si>
    <t>Kab. Hulu Sungai Utara</t>
  </si>
  <si>
    <t>Lektor-Dosen Perkembangan Pemikiran Islam</t>
  </si>
  <si>
    <t>Ketua Program Studi Program Magister (S2)</t>
  </si>
  <si>
    <t>Southeast Asian Social Inquiry, University of New South Wales, Australia, 2015</t>
  </si>
  <si>
    <t>2024097801</t>
  </si>
  <si>
    <t>3471032409780003</t>
  </si>
  <si>
    <t>Antropologi Islam</t>
  </si>
  <si>
    <t>Zaen Musyrifin, S.Sos.I, M.Pd.I.</t>
  </si>
  <si>
    <t>199004282023211029</t>
  </si>
  <si>
    <t xml:space="preserve">Purbalingga </t>
  </si>
  <si>
    <t>Asisten Ahli-Dosen Bimbingan dan Konseling Islam</t>
  </si>
  <si>
    <t>Plt. Ketua Prodi Bimbingan Konseling Islam</t>
  </si>
  <si>
    <t>Pendidikan Islam Konsentrasi Bimbingan dan konseling Islam, UIN Sunan Kalijaga, 2014</t>
  </si>
  <si>
    <t>2028049002</t>
  </si>
  <si>
    <t>222100517753</t>
  </si>
  <si>
    <t>3303062804900001</t>
  </si>
  <si>
    <t>Fakultas Dakwah dan Komunikasi</t>
  </si>
  <si>
    <t>Bimbingan dan Konseling Islam (S1)</t>
  </si>
  <si>
    <t>Bimbingan &amp; Konseling Islam</t>
  </si>
  <si>
    <t>Fitri Atur Arum, S.H., M.H., M.Sc.</t>
  </si>
  <si>
    <t>199103242023212037</t>
  </si>
  <si>
    <t xml:space="preserve">Bantul </t>
  </si>
  <si>
    <t>Asisten Ahli-Dosen Hukum Tata Negara</t>
  </si>
  <si>
    <t>2024039101</t>
  </si>
  <si>
    <t>340204603910002</t>
  </si>
  <si>
    <t>Hukum Tata Negara (Siyasah) (S1)</t>
  </si>
  <si>
    <t>Hukum Tata Negara</t>
  </si>
  <si>
    <t>Mahmudah, Lc., M.S.I</t>
  </si>
  <si>
    <t>197809222024212005</t>
  </si>
  <si>
    <t>Kab. Cirebon</t>
  </si>
  <si>
    <t>Asisten Ahli</t>
  </si>
  <si>
    <t>01 Maret 2024 sampai dengan 28 Februari 2029</t>
  </si>
  <si>
    <t>S2 Pendidikan Islam Konsentrasi Manajemen dan Kebijakan Pendidikan Islam UIN Sunan Kalijaga Yogyakarta Tahun 2009</t>
  </si>
  <si>
    <t>2122097801</t>
  </si>
  <si>
    <t>‌3209266209780001</t>
  </si>
  <si>
    <t>Fak. Ilmu Tarbiyah dan Keguruan</t>
  </si>
  <si>
    <t>Pendidikan Bahasa Arab (S1)</t>
  </si>
  <si>
    <t>Pendidikan Bahasa Arab</t>
  </si>
  <si>
    <t>NOMOR SK</t>
  </si>
  <si>
    <t>MASA KONTRAK</t>
  </si>
  <si>
    <t>138.18 Tahun 2023</t>
  </si>
  <si>
    <t>31 Juli 2023</t>
  </si>
  <si>
    <t>Dewi Dwi Utari, S.Pd.</t>
  </si>
  <si>
    <t>Kulon Progo, 5 Februari 1994</t>
  </si>
  <si>
    <t>199402052023212045</t>
  </si>
  <si>
    <t>IX</t>
  </si>
  <si>
    <t>S1 Pendidikan Akuntansi Universitas Negeri Yogyakarta Tahun 2016</t>
  </si>
  <si>
    <t>Ahli Pertama-Perencana</t>
  </si>
  <si>
    <t>3401014502940001</t>
  </si>
  <si>
    <t>Biro Administrasi Akademik Kemahasiswaan dan Kerjasama</t>
  </si>
  <si>
    <t>01 Agustus 2023 s.d. 31 Juli 2028</t>
  </si>
  <si>
    <t>138.4 Tahun 2023</t>
  </si>
  <si>
    <t>Hasan Latif, S.IP.</t>
  </si>
  <si>
    <t>Magelang, 22 Februari 1983</t>
  </si>
  <si>
    <t>198302222023211009</t>
  </si>
  <si>
    <t>S1 Ilmu Perpustakaan UIN Sunan Kalijaga Tahun 2011</t>
  </si>
  <si>
    <t>Ahli Pertama-Pustakawan</t>
  </si>
  <si>
    <t>3308042202830003</t>
  </si>
  <si>
    <t>138.7 Tahun 2023</t>
  </si>
  <si>
    <t>Riyanto, S.Si.</t>
  </si>
  <si>
    <t>Boyolali, 29 Mei 1987</t>
  </si>
  <si>
    <t>198705292023211016</t>
  </si>
  <si>
    <t>S1 Matematika UIN Sunan Kalijaga Yogyakarta Tahun 2014</t>
  </si>
  <si>
    <t>Ahli Pertama - Pranata Lab. Pendidikan</t>
  </si>
  <si>
    <t>3309122905870011</t>
  </si>
  <si>
    <t>138.8 Tahun 2023</t>
  </si>
  <si>
    <t>M. Habib Ridwan, S.E.I.</t>
  </si>
  <si>
    <t>Kudus, 4 Mei 1990</t>
  </si>
  <si>
    <t>199005042023211027</t>
  </si>
  <si>
    <t>S1 Ekonomi Syari'ah STIA ALMA ATA Yogyakarta Tahun 2012</t>
  </si>
  <si>
    <t>Ahli Pertama-Pranata Lab.Pendidikan</t>
  </si>
  <si>
    <t>3319060405900008</t>
  </si>
  <si>
    <t>138.13 Tahun 2023</t>
  </si>
  <si>
    <t>Widiyastuti, S.IP.</t>
  </si>
  <si>
    <t>Bantul, 7 Juli 1983</t>
  </si>
  <si>
    <t>198307072023212034</t>
  </si>
  <si>
    <t>S1 Ilmu Perpustakaan UIN Sunan Kalijaga YK Tahun 2006</t>
  </si>
  <si>
    <t>3402134707830006</t>
  </si>
  <si>
    <t>138.12 Tahun 2023</t>
  </si>
  <si>
    <t>Nurul Fatwa Wati, A.Md.</t>
  </si>
  <si>
    <t>Yogyakarta, 22 November 1984</t>
  </si>
  <si>
    <t>198411222023212032</t>
  </si>
  <si>
    <t>VII</t>
  </si>
  <si>
    <t>Akuntansi Tahun 2006</t>
  </si>
  <si>
    <t>Terampil-Arsiparis</t>
  </si>
  <si>
    <t>3308096211840001</t>
  </si>
  <si>
    <t>Subbag. Tata Usaha dan Rumah Tangga Bagian Umum Biro AUK</t>
  </si>
  <si>
    <t>223.7 Tahun 2023</t>
  </si>
  <si>
    <t>30 November 2023</t>
  </si>
  <si>
    <t>Herwin Ardicahyo, S.Kom.</t>
  </si>
  <si>
    <t>Kulon Progo, 20 Februari 1994</t>
  </si>
  <si>
    <t>199402202023211020</t>
  </si>
  <si>
    <t>S1 Teknik Informatika STMIK AMIKOM Yogyakarta Tahun 2016</t>
  </si>
  <si>
    <t>Ahli Pertama-Pranata Komputer</t>
  </si>
  <si>
    <t>3401112002940003</t>
  </si>
  <si>
    <t xml:space="preserve">Biro Administrasi Akademik, Kemahasiswaan dan Kerjasama  </t>
  </si>
  <si>
    <t>223.13 Tahun 2023</t>
  </si>
  <si>
    <t>Novita Praci Putri, S.Kom.</t>
  </si>
  <si>
    <t>Wonogiri, 19 November 1988</t>
  </si>
  <si>
    <t>198811192023212035</t>
  </si>
  <si>
    <t>S1 Teknik Informatika UIN Sunan Kalijaga Yogyakarta Tahun 2013</t>
  </si>
  <si>
    <t>7373055911880001</t>
  </si>
  <si>
    <t>223.12 Tahun 2023</t>
  </si>
  <si>
    <t>Arizal Ashar Fauzi, S.Kom.</t>
  </si>
  <si>
    <t>Magelang, 27 Juni 1989</t>
  </si>
  <si>
    <t>198906272023211030</t>
  </si>
  <si>
    <t>S1 Sistem Informasi AMIKOM Yogyakarta Tahun 2013</t>
  </si>
  <si>
    <t>3308202706890004</t>
  </si>
  <si>
    <t>223.6 Tahun 2023</t>
  </si>
  <si>
    <t>Danang Aji Bimantoro, S.Kom.</t>
  </si>
  <si>
    <t>Kulon Progo, 5 Oktober 1995</t>
  </si>
  <si>
    <t>199510052023211016</t>
  </si>
  <si>
    <t>3401110510950003</t>
  </si>
  <si>
    <t>223.5 Tahun 2023</t>
  </si>
  <si>
    <t>Ervan Yogi Arifianto, S.Kom.</t>
  </si>
  <si>
    <t>Kotabaru, 11 Juni 1989</t>
  </si>
  <si>
    <t>198906112023211025</t>
  </si>
  <si>
    <t>S1 Teknik Irfomatika UIN Sunan Kalijaga Tahun 2014</t>
  </si>
  <si>
    <t>6302151106890001</t>
  </si>
  <si>
    <t>223.9 Tahun 2023</t>
  </si>
  <si>
    <t>Amalia Ratna Rahmaani, S.Kom.</t>
  </si>
  <si>
    <t>Sleman, 4 Maret 1988</t>
  </si>
  <si>
    <t>198803042023212035</t>
  </si>
  <si>
    <t>S1 Teknik Informatika UIN Sunan Kalijaga Yogyakarta Tahun 2014</t>
  </si>
  <si>
    <t>3310104403880001</t>
  </si>
  <si>
    <t>223.10 Tahun 2023</t>
  </si>
  <si>
    <t>Maulana Fiqi Ilhami, S.E.I.</t>
  </si>
  <si>
    <t>Ngawi, 8 Januari 1991</t>
  </si>
  <si>
    <t>199101082023211020</t>
  </si>
  <si>
    <t>S1 Keuangan Islam UIN Sunan Kalijaga Yogyakarta Tahun 2013</t>
  </si>
  <si>
    <t>3521100801910002</t>
  </si>
  <si>
    <t>223.11 Tahun 2023</t>
  </si>
  <si>
    <t>Adi Widyawinata, S.Kom.</t>
  </si>
  <si>
    <t>Jombang, 11 Desember 1987</t>
  </si>
  <si>
    <t>198712112023211015</t>
  </si>
  <si>
    <t>S1 Teknik Informatika STMIK Akakom Yogyakarta Tahun 2010</t>
  </si>
  <si>
    <t>3404101112870002</t>
  </si>
  <si>
    <t>Lembaga Penelitian dan Pengabdian kepada Masyarakat (LP2M)</t>
  </si>
  <si>
    <t>223.8 Tahun 2023</t>
  </si>
  <si>
    <t>Prasna Hestu Swasta, S.Akun</t>
  </si>
  <si>
    <t>Bantul, 13 Mei 1996</t>
  </si>
  <si>
    <t>199605132023212041</t>
  </si>
  <si>
    <t>S1 Akuntansi Syariah UIN Sunan Kalijaga Yogyakarta Tahun 2019</t>
  </si>
  <si>
    <t>3402125305960001</t>
  </si>
  <si>
    <t xml:space="preserve">Biro Administrasi Umum dan Keuangan </t>
  </si>
  <si>
    <t>223.18 Tahun 2023</t>
  </si>
  <si>
    <t>Siti Fatimah, S.Kom.</t>
  </si>
  <si>
    <t>Bantul, 13 Juli 1992</t>
  </si>
  <si>
    <t>199207132023212037</t>
  </si>
  <si>
    <t>3402135307920004</t>
  </si>
  <si>
    <t>223.17 Tahun 2023</t>
  </si>
  <si>
    <t>Miftakhul Intan Naimah, S.Pd.</t>
  </si>
  <si>
    <t>Kebumen, 29 Agustus 1993</t>
  </si>
  <si>
    <t>199308292023212048</t>
  </si>
  <si>
    <t>S1 Pendidikan Kimia, UIN Sunan Kalijaga Yogyakarta Tahun 2016</t>
  </si>
  <si>
    <t>Ahli Pertama-Arsiparis</t>
  </si>
  <si>
    <t>3305106908930001</t>
  </si>
  <si>
    <t>40.10 Tahun 2024</t>
  </si>
  <si>
    <t>29 Februari 2024</t>
  </si>
  <si>
    <t>Wahyu Santoso, S.M</t>
  </si>
  <si>
    <t>Kab. Bantul, 27 November 1995</t>
  </si>
  <si>
    <t>199511272024211023</t>
  </si>
  <si>
    <t>S-1 MANAJEMEN SUMBER DAYA MANUSIA Tahun 2021</t>
  </si>
  <si>
    <t>Analis Sumber Daya Manusia Aparatur Ahli Pertama</t>
  </si>
  <si>
    <t>‌3402132711950001</t>
  </si>
  <si>
    <t>40.11 Tahun 2024</t>
  </si>
  <si>
    <t>Sholichatun Muslich, S. Sos.</t>
  </si>
  <si>
    <t>Kab. Temanggung, 02 Maret 1996</t>
  </si>
  <si>
    <t>199603022024212033</t>
  </si>
  <si>
    <t>S-1 ILMU ADMINISTRASI NEGARA Tahun 2018</t>
  </si>
  <si>
    <t>‌3323104202960001</t>
  </si>
  <si>
    <t>40.12 Tahun 2024</t>
  </si>
  <si>
    <t>Roger Bayuki Sofyan, S.Kom.</t>
  </si>
  <si>
    <t>Kab. Banyuwangi, 6 April 1989</t>
  </si>
  <si>
    <t>198904062024211025</t>
  </si>
  <si>
    <t>S1 Teknik Informatika STMIK Amikom Yogyakarta Tahun 2012</t>
  </si>
  <si>
    <t>3510130604890002</t>
  </si>
  <si>
    <t>40.14 Tahun 2024</t>
  </si>
  <si>
    <t>Banny Suryani, A.Md.KL.</t>
  </si>
  <si>
    <t>Kab. Sleman, 05 Juli 1993</t>
  </si>
  <si>
    <t>199307052024212043</t>
  </si>
  <si>
    <t>D-III KESEHATAN LINGKUNGAN Tahun 2014</t>
  </si>
  <si>
    <t>Arsiparis Terampil</t>
  </si>
  <si>
    <t>‌3404054507930001</t>
  </si>
  <si>
    <t>40.16 Tahun 2024</t>
  </si>
  <si>
    <t>Arif Kurniyawan, SE.</t>
  </si>
  <si>
    <t>Kab. Sleman, 25 Juli 1989</t>
  </si>
  <si>
    <t>198907252024211018</t>
  </si>
  <si>
    <t>Pranata Hubungan Masyarakat Ahli Pertama</t>
  </si>
  <si>
    <t>3404072507890004</t>
  </si>
  <si>
    <t>40.23 Tahun 2024</t>
  </si>
  <si>
    <t>Ira Nurhasanah, S.Hum.</t>
  </si>
  <si>
    <t>Kab. Ciamis, 5 Februari 1992</t>
  </si>
  <si>
    <t>199202052024212049</t>
  </si>
  <si>
    <t>S1  Bahasa dan Sastra Arab UIN Sunan Kalijaga Yogyakarta Tahun 2015</t>
  </si>
  <si>
    <t>‌3207194502920004</t>
  </si>
  <si>
    <t>40.6 Tahun 2024</t>
  </si>
  <si>
    <t>dr. Lukluk Al Ulya</t>
  </si>
  <si>
    <t>Yogyakarta, 28 Mei 1995</t>
  </si>
  <si>
    <t>199505282024212037</t>
  </si>
  <si>
    <t>S1 Kedokteran UNS Tahun 2019</t>
  </si>
  <si>
    <t>Dokter Ahli Pertama / Dokter (UMUM)</t>
  </si>
  <si>
    <t>‌3404086805950001</t>
  </si>
  <si>
    <t>Pusat Poliklinik UIN Sunan Kalijaga Yogyakarta</t>
  </si>
  <si>
    <t>40.22 Tahun 2024</t>
  </si>
  <si>
    <t>drg. Chintia Arifa Priyanti</t>
  </si>
  <si>
    <t>Kab. Gunung Kidul, 21 Maret 1996</t>
  </si>
  <si>
    <t xml:space="preserve">199603212024212039 </t>
  </si>
  <si>
    <t>PROFESI DOKTER GIGI Tahun 2020</t>
  </si>
  <si>
    <t>Dokter Gigi Ahli Pertama / Dokter Gigi (Umum)</t>
  </si>
  <si>
    <t>‌3403016103960002</t>
  </si>
  <si>
    <t>40.5 Tahun 2024</t>
  </si>
  <si>
    <t>Nova Listia Dewi, A.Md.Keb.</t>
  </si>
  <si>
    <t>Kab. Gunungkidul, 29 April 1991</t>
  </si>
  <si>
    <t>199104292024212039</t>
  </si>
  <si>
    <t>D3 Kebidanan, STIKES Aisyiyah Yogyakarta Tahun 2012</t>
  </si>
  <si>
    <t>Bidan Terampil</t>
  </si>
  <si>
    <t>3402166904910001</t>
  </si>
  <si>
    <t>40.8 Tahun 2024</t>
  </si>
  <si>
    <t>Westry Prastiwi Gristie., A.Md.,RMIK</t>
  </si>
  <si>
    <t>Kab. Klaten, 7 Juni 1993</t>
  </si>
  <si>
    <t>199306072024212047</t>
  </si>
  <si>
    <t xml:space="preserve">D3 Rekam Medis dan Informasi Kesehatan Politeknik Kesehatan Permata Indonesia Tahun 2014 </t>
  </si>
  <si>
    <t>Perekam Medis Terampil</t>
  </si>
  <si>
    <t>3301094706930007</t>
  </si>
  <si>
    <t>40.9 Tahun 2024</t>
  </si>
  <si>
    <t>Asti Anindita, A.Md. AK.</t>
  </si>
  <si>
    <t>Kab. Sleman, 20 Agustus 1992</t>
  </si>
  <si>
    <t>199208202024212042</t>
  </si>
  <si>
    <t>D3 Analis Kesehatan Politeknik Kesehatan Kementerian Kesehatan Yogyakarta Tahun 2014</t>
  </si>
  <si>
    <t>Pranata Laboratorium Kesehatan Terampil</t>
  </si>
  <si>
    <t>3404076008920002</t>
  </si>
  <si>
    <t>40.4 Tahun 2024</t>
  </si>
  <si>
    <t>Sri Purwati, S.K.M</t>
  </si>
  <si>
    <t>Kab. Magetan, 20 November 1994</t>
  </si>
  <si>
    <t>199411202024212039</t>
  </si>
  <si>
    <t>S-1 KESEHATAN MASYARAKAT Tahun 2023</t>
  </si>
  <si>
    <t>Administrator Kesehatan Ahli Pertama</t>
  </si>
  <si>
    <t>‌3520016011940001</t>
  </si>
  <si>
    <t>40.7 Tahun 2024</t>
  </si>
  <si>
    <t>Rizal Kadir, A.Md.Kep</t>
  </si>
  <si>
    <t>Kab. Halmahera Utara, 24 April 1992</t>
  </si>
  <si>
    <t>199204242024211027</t>
  </si>
  <si>
    <t>D-III KEPERAWATAN Tahun 2012</t>
  </si>
  <si>
    <t xml:space="preserve">Perawat Terampil </t>
  </si>
  <si>
    <t>‌8203082404920001</t>
  </si>
  <si>
    <t>40.20 Tahun 2024</t>
  </si>
  <si>
    <t>Nur Hidayah, S.IP.</t>
  </si>
  <si>
    <t>Kab. Semarang, 13 April 1998</t>
  </si>
  <si>
    <t>199804132024212030</t>
  </si>
  <si>
    <t>S-1 ILMU PERPUSTAKAAN Tahun 2020</t>
  </si>
  <si>
    <t>Pustakawan Ahli Pertama</t>
  </si>
  <si>
    <t>‌3404165304980001</t>
  </si>
  <si>
    <t>UPT Pusat Perpustakaan UIN Sunan Kalijaga</t>
  </si>
  <si>
    <t>40.21 Tahun 2024</t>
  </si>
  <si>
    <t>M. Faris Ulinnuha, S.I.Pust.</t>
  </si>
  <si>
    <t>Kab. Kebumen, 09 September 1991</t>
  </si>
  <si>
    <t>199109092024211026</t>
  </si>
  <si>
    <t>S-1 ILMU PERPUSTAKAAN Tahun 2017</t>
  </si>
  <si>
    <t>‌3305110909910002</t>
  </si>
  <si>
    <t>40.17 Tahun 2024</t>
  </si>
  <si>
    <t>Feruzzi Graha Nursatria, S.Kom</t>
  </si>
  <si>
    <t>Kota Yogyakarta, 27 Februari 1997</t>
  </si>
  <si>
    <t>199702272024211014</t>
  </si>
  <si>
    <t>S-1 INFORMATIKA Tahun 2021</t>
  </si>
  <si>
    <t>Pranata Komputer Ahli Pertama</t>
  </si>
  <si>
    <t>‌3471092702970001</t>
  </si>
  <si>
    <t>40.18 Tahun 2024</t>
  </si>
  <si>
    <t>Heni Hapsari, S.Kom.</t>
  </si>
  <si>
    <t>Kab. Kebumen, 1 Agustus 1987</t>
  </si>
  <si>
    <t>198708012024212025</t>
  </si>
  <si>
    <t>S1 Teknik Informatika UIN Sunan Kalijaga Yogyakarta Tahun 2011</t>
  </si>
  <si>
    <t>3305074108870003</t>
  </si>
  <si>
    <t>40.19 Tahun 2024</t>
  </si>
  <si>
    <t>Ulfa Septi Muslimah, S.Kom.</t>
  </si>
  <si>
    <t>Kab. Bogor, 24 September 1994</t>
  </si>
  <si>
    <t>199409242024212052</t>
  </si>
  <si>
    <t>S1 Teknik Informatika, UIN Sunan Kalijaga Yogyakarta Tahun  2016</t>
  </si>
  <si>
    <t>3309066409949002</t>
  </si>
  <si>
    <t>40.25 Tahun 2024</t>
  </si>
  <si>
    <t>Ida Lusi Parwati, S.Pd.</t>
  </si>
  <si>
    <t>Klaten, 24 Juni 1995</t>
  </si>
  <si>
    <t>199506242024212045</t>
  </si>
  <si>
    <t>S1 Manajemen Pendidikan Islam UIN Sunan Kalijaga Tahun 2018</t>
  </si>
  <si>
    <t>Arsiparis Ahli Pertama</t>
  </si>
  <si>
    <t>3310026406950001</t>
  </si>
  <si>
    <t>40.26 Tahun 2024</t>
  </si>
  <si>
    <t>Tantri Yuniarti, A.Md.</t>
  </si>
  <si>
    <t>Yogyakarta, 6 Juni 1984</t>
  </si>
  <si>
    <t>198406062024212033</t>
  </si>
  <si>
    <t>D3 Ilmu Perpustakaan &amp; Informasi Islam UIN Sunan Kalijaga YK Tahun 2006</t>
  </si>
  <si>
    <t>3401114606840001</t>
  </si>
  <si>
    <t>40.15 Tahun 2024</t>
  </si>
  <si>
    <t>Yan Suryo Sumirat, S.Kom.</t>
  </si>
  <si>
    <t>Kab. Wonogiri, 15 Januari 1993</t>
  </si>
  <si>
    <t>199301152024211019</t>
  </si>
  <si>
    <t>S1 Teknik Informatika Universitas Ahmad Dahlan Yogyakarta Tahun 2016</t>
  </si>
  <si>
    <t>Pengelola Pengadaan Barang/Jasa Ahli Pertama</t>
  </si>
  <si>
    <t>3404021501930003</t>
  </si>
  <si>
    <t>Subbagian Perlengkapan dan Pengadaan Barang/Jasa</t>
  </si>
  <si>
    <t>40.13 Tahun 2024</t>
  </si>
  <si>
    <t>Irma Agustina, S.Ak</t>
  </si>
  <si>
    <t>Kab. Sleman, 25 Agustus 1997</t>
  </si>
  <si>
    <t>199708252024212042</t>
  </si>
  <si>
    <t>S1 Akuntansi, Universitas Mercu Buana Tahun 2023</t>
  </si>
  <si>
    <t>‌3404016508970001</t>
  </si>
  <si>
    <t>Subbagian Tata Usaha dan Rumah Tangga Bagian Umum</t>
  </si>
  <si>
    <t>DATA DOSEN  UIN SUNAN KALIJAGA YOGYAKARTA</t>
  </si>
  <si>
    <t>KEADAAN  31 JANUARI  2025</t>
  </si>
  <si>
    <t>NO.</t>
  </si>
  <si>
    <t>KARPEG</t>
  </si>
  <si>
    <t xml:space="preserve">TEMPAT </t>
  </si>
  <si>
    <t xml:space="preserve">TGL </t>
  </si>
  <si>
    <t>GOL</t>
  </si>
  <si>
    <t>TMT GOL</t>
  </si>
  <si>
    <t>TAHUN</t>
  </si>
  <si>
    <t>BULAN</t>
  </si>
  <si>
    <t>TMT JABATAN</t>
  </si>
  <si>
    <t>No Sertifikasi</t>
  </si>
  <si>
    <t>PROGRAM STUDI</t>
  </si>
  <si>
    <t>MATA KULIAH</t>
  </si>
  <si>
    <t>TUGAS TAMBAHAN</t>
  </si>
  <si>
    <t>KETERANGAN</t>
  </si>
  <si>
    <t>LAHIR</t>
  </si>
  <si>
    <t>MASA KERJA GOL</t>
  </si>
  <si>
    <t>PENSIUN</t>
  </si>
  <si>
    <t>A. FAKULTAS ADAB DAN ILMU BUDAYA</t>
  </si>
  <si>
    <t>Prof. Dr. H. Dudung Abdurahman, M.Hum.</t>
  </si>
  <si>
    <t>E. 504228</t>
  </si>
  <si>
    <t>Ciamis</t>
  </si>
  <si>
    <t>196303061989031010</t>
  </si>
  <si>
    <t>3404100603630001</t>
  </si>
  <si>
    <t>IV/e</t>
  </si>
  <si>
    <t>Guru Besar</t>
  </si>
  <si>
    <t>Sejarah dan Kebudayaan Islam IAIN Sunan Kalijaga Tahun 1988</t>
  </si>
  <si>
    <t>Sejarah UGM Tahun 1997</t>
  </si>
  <si>
    <t>Studi Islam UIN Sunan Kalijaga Tahun 2009</t>
  </si>
  <si>
    <t>092100500204</t>
  </si>
  <si>
    <t>Sejarah dan Peradaban Islam (S2)</t>
  </si>
  <si>
    <t>Sejarah Pemikiran Islam</t>
  </si>
  <si>
    <t>Prof. Dr. Bermawy Munthe, MA.</t>
  </si>
  <si>
    <t>E. 201254</t>
  </si>
  <si>
    <t>Panyabungan</t>
  </si>
  <si>
    <t>195607031985031005</t>
  </si>
  <si>
    <t>3471130307560001</t>
  </si>
  <si>
    <t>Sastra Arab IAIN Sunan Kalijaga Tahun 1983</t>
  </si>
  <si>
    <t>Pendidikan IAIN Sunan Kalijaga  Tahun 1992</t>
  </si>
  <si>
    <t xml:space="preserve"> Studi Islam UIN Sunan Kalijaga Tahun 2008</t>
  </si>
  <si>
    <t>092100500295</t>
  </si>
  <si>
    <t>Bahasa dan Sastra Arab (S2)</t>
  </si>
  <si>
    <t>Nusus Adab al-Adab al-Haditsah</t>
  </si>
  <si>
    <t>Prof. Dr. H. Ibnu Burdah, S.Ag, MA</t>
  </si>
  <si>
    <t>K. 018932</t>
  </si>
  <si>
    <t>Trenggalek</t>
  </si>
  <si>
    <t>197612032000031001</t>
  </si>
  <si>
    <t>3402150312760006</t>
  </si>
  <si>
    <t>IV/d</t>
  </si>
  <si>
    <t>Bahasa dan Sastra Arab  IAIN Sunan Kalijaga  Tahun 1999</t>
  </si>
  <si>
    <t xml:space="preserve">Ilmu Perbandingan Agama  UGM  Tahun 2003 </t>
  </si>
  <si>
    <t>Ilmu Politik  UGM  Tahun 2007</t>
  </si>
  <si>
    <t>092100500287</t>
  </si>
  <si>
    <t>Bahasa dan Sastra Arab (S1)</t>
  </si>
  <si>
    <t>Kajian Dunia Arab dan Islam Kontemporer</t>
  </si>
  <si>
    <t>Prof. Dr. H. Moh. Pribadi, MA, M.Si.</t>
  </si>
  <si>
    <t>G. 142958</t>
  </si>
  <si>
    <t>Kebumen</t>
  </si>
  <si>
    <t>195801181994031001</t>
  </si>
  <si>
    <t>3404071801580001</t>
  </si>
  <si>
    <t>Sastra Arab IAIN Sunan Kalijaga Tahun 1988</t>
  </si>
  <si>
    <t>Sosiologi UGM Tahun 2000</t>
  </si>
  <si>
    <t>Studi Islam UIN Sunan Kalijaga Tahun 2012</t>
  </si>
  <si>
    <t>092100500241</t>
  </si>
  <si>
    <t>Studi Islam / Sosiologi</t>
  </si>
  <si>
    <t>Prof. Dr. Nurdin, S.Ag., SS., MA.</t>
  </si>
  <si>
    <t>J. 139188</t>
  </si>
  <si>
    <t>Tellang</t>
  </si>
  <si>
    <t>197106012000031002</t>
  </si>
  <si>
    <t>3471030106710001</t>
  </si>
  <si>
    <t>IV/c</t>
  </si>
  <si>
    <t>Bahasa dan Sastra Arab IAIN Sunan Kalijaga  Tahun 1996 / Ilmu Perpustakaan  UI Tahun 1999</t>
  </si>
  <si>
    <t xml:space="preserve">Islamic Studies Leiden University 1999
Leiden University  Sosiologi  2000
</t>
  </si>
  <si>
    <t>Kajian Budaya dan Media  UGM Tahun 2013</t>
  </si>
  <si>
    <t>092100500286</t>
  </si>
  <si>
    <t>Ilmu Perpustakaan (S1)</t>
  </si>
  <si>
    <t>Ilmu Perpustakaan</t>
  </si>
  <si>
    <t>Dekan  Fakultas Adab dan Ilmu Budaya Masa Jabatan 2024-2028</t>
  </si>
  <si>
    <t>Prof. Dr. Yulia Nasrul Latifi, S.Ag., M.Hum.</t>
  </si>
  <si>
    <t>H. 068468</t>
  </si>
  <si>
    <t>Ponorogo</t>
  </si>
  <si>
    <t>197207061998032001</t>
  </si>
  <si>
    <t>3404024607720001</t>
  </si>
  <si>
    <t>Bahasa dan Sastra Arab IAIN Sunan Kalijaga   Tahun 1996</t>
  </si>
  <si>
    <t>Sastra UGM   Tahun 2004</t>
  </si>
  <si>
    <t>Ilmu-Ilmu Humaniora  UGM  Tahun 2020</t>
  </si>
  <si>
    <t>092100500271</t>
  </si>
  <si>
    <t>Sastra Arab</t>
  </si>
  <si>
    <t>Prof. Dr. Muhammad Wildan, MA.</t>
  </si>
  <si>
    <t>J. 012479</t>
  </si>
  <si>
    <t>Yogyakarta</t>
  </si>
  <si>
    <t>197104031996031001</t>
  </si>
  <si>
    <t>3404120304710001</t>
  </si>
  <si>
    <t>Bahasa dan Sastra Arab IAIN Sunan Kalijaga   Tahun 1995</t>
  </si>
  <si>
    <t>Sejarah Islam Rijksuniversiteit Te Leiden Tahun 1999</t>
  </si>
  <si>
    <t>Antropologi Sosial  UKM  Tahun 2009</t>
  </si>
  <si>
    <t>Ilmu Antropologi Islam</t>
  </si>
  <si>
    <t>Dr. Khairon Nahdiyyin, MA.</t>
  </si>
  <si>
    <t>F. 111339</t>
  </si>
  <si>
    <t>Pasuruan</t>
  </si>
  <si>
    <t>196804011993031005</t>
  </si>
  <si>
    <t>3404070104680002</t>
  </si>
  <si>
    <t>Lektor Kepala</t>
  </si>
  <si>
    <t>Bahasa dan Sastra Arab IAIN Sunan Kalijaga Tahun 1991</t>
  </si>
  <si>
    <t>Ilmu Perbandingan Agama UGM Tahun 2005</t>
  </si>
  <si>
    <t>Studi Islam  UIN Sunan Kalijaga  Tahun  2019</t>
  </si>
  <si>
    <t>092100500233</t>
  </si>
  <si>
    <t>Bahasa Arab / Tarih Adab</t>
  </si>
  <si>
    <t>Dr. Badrun, M.Si</t>
  </si>
  <si>
    <t>E. 946965</t>
  </si>
  <si>
    <t>196311161992031003</t>
  </si>
  <si>
    <t>3471031611630001</t>
  </si>
  <si>
    <t>Sejarah dan Kebudayaan Islam  IAIN Sunan Kalijaga  Tahun 1990</t>
  </si>
  <si>
    <t>Sosiologi UGM Tahun 1999</t>
  </si>
  <si>
    <t xml:space="preserve">Studi Islam UIN Sunan Kalijaga    Tahun 2018 </t>
  </si>
  <si>
    <t>092100500217</t>
  </si>
  <si>
    <t>Sejarah dan Kebudayaan Islam (S1)</t>
  </si>
  <si>
    <t>Sejarah Kebudayaan Islam</t>
  </si>
  <si>
    <t>Drs. Musthofa, M.A.</t>
  </si>
  <si>
    <t>F. 111340</t>
  </si>
  <si>
    <t>Klaten</t>
  </si>
  <si>
    <t>196611301993031002</t>
  </si>
  <si>
    <t>3402160301680001</t>
  </si>
  <si>
    <t>Agama dan Lintas Budaya (Kajian Timur Tengah) UGM Tahun 2009</t>
  </si>
  <si>
    <t>092100500234</t>
  </si>
  <si>
    <t>Bahasa dan Sastra Arab</t>
  </si>
  <si>
    <t>Koordinator Divisi Unit Remunerasi</t>
  </si>
  <si>
    <t>Dr. Moh. Kanif Anwari, S.Ag., M. Ag.</t>
  </si>
  <si>
    <t>G. 294461</t>
  </si>
  <si>
    <t>197107301996031002</t>
  </si>
  <si>
    <t>3404073007710002</t>
  </si>
  <si>
    <t>Bahasa dan Sastra Arab IAIN Sunan Kalijaga Tahun 1995</t>
  </si>
  <si>
    <t>Akidah Filsafat IAIN Sunan Kalijaga Tahun 2004</t>
  </si>
  <si>
    <t>Studi Islam UIN Sunan Kalijaga Tahun 2019</t>
  </si>
  <si>
    <t>092100500254</t>
  </si>
  <si>
    <t>Dr. Sujadi,  MA.</t>
  </si>
  <si>
    <t>G. 293142</t>
  </si>
  <si>
    <t>Cirebon</t>
  </si>
  <si>
    <t>197010091995031001</t>
  </si>
  <si>
    <t>3404060910700003</t>
  </si>
  <si>
    <t>Sastra Arab IAIN Sunan Kalijaga   Tahun 1993</t>
  </si>
  <si>
    <t>Teologi dan Sastra Islam Rijksuniversiteit Te Leiden Tahun 1998</t>
  </si>
  <si>
    <t>Sejarah Islam (Islam Minoritas) Universiteit Leiden  Tahun 2017</t>
  </si>
  <si>
    <t>Bahasa Arab / SPPI</t>
  </si>
  <si>
    <t>Dr. Uki Sukiman, M.Ag.</t>
  </si>
  <si>
    <t>G. 292203</t>
  </si>
  <si>
    <t>Kuningan</t>
  </si>
  <si>
    <t>196804291995031001</t>
  </si>
  <si>
    <t>3404122904680001</t>
  </si>
  <si>
    <t>Bahasa dan Sastra Arab IAIN Sunan Kalijaga  Tahun 1993</t>
  </si>
  <si>
    <t>Agama dan Filsafat IAIN Sunan Kalijaga  Tahun 2000</t>
  </si>
  <si>
    <t>Studi Islam UIN Sunan Kalijaga Tahun 2011</t>
  </si>
  <si>
    <t>092100500250</t>
  </si>
  <si>
    <t>Sastra dan Bahasa Arab</t>
  </si>
  <si>
    <t>Habib, S. Ag, M.Ag.</t>
  </si>
  <si>
    <t>H. 068464</t>
  </si>
  <si>
    <t>Boyolali</t>
  </si>
  <si>
    <t>197206131998031002</t>
  </si>
  <si>
    <t>3402151306720005</t>
  </si>
  <si>
    <t>IV/b</t>
  </si>
  <si>
    <t>Bahasa dan Sastra Arab  IAIN Sunan Kalijaga  Tahun 1997</t>
  </si>
  <si>
    <t>Hukum Islam Kons. Hukum Keluarga  IAIN Sunan Kalijaga  Tahun 2003</t>
  </si>
  <si>
    <t>092100500269</t>
  </si>
  <si>
    <t>Tarjamah</t>
  </si>
  <si>
    <t xml:space="preserve">Ketua Program Studi Bahasa dan Sastra Arab  </t>
  </si>
  <si>
    <t>Dr. H. Akhmad Patah, M.Ag.</t>
  </si>
  <si>
    <t>E. 498007</t>
  </si>
  <si>
    <t>Cilacap</t>
  </si>
  <si>
    <t>196107271988031002</t>
  </si>
  <si>
    <t>3404072707610003</t>
  </si>
  <si>
    <t>Sastra Arab IAIN Sunan Kalijaga  Tahun 1987</t>
  </si>
  <si>
    <t>Pendidikan Islam  IAIN Sunan Kalijaga Tahun 1998</t>
  </si>
  <si>
    <t>Studi Islam  UIN Sunan Kalijaga  Tahun 2014</t>
  </si>
  <si>
    <t>092100500199</t>
  </si>
  <si>
    <t>Dr. Anis Masruri, S.Ag., S.S., M.Si.</t>
  </si>
  <si>
    <t>I. 027750</t>
  </si>
  <si>
    <t>Banyumas</t>
  </si>
  <si>
    <t>197109071998031003</t>
  </si>
  <si>
    <t>3404100709710001</t>
  </si>
  <si>
    <t>Pendidikan Bahasa Arab  IAIN Sunan Kalijaga Tahun 1995 /   Ilmu Perpustakaan UI  Tahun 1997</t>
  </si>
  <si>
    <t>Ilmu Administrasi Negara (Manajemen Perpustakaan) UGM Tahun 2003</t>
  </si>
  <si>
    <t>Ilmu Pendidikan-Pendidikan PIPS  UNY Tahun 2015</t>
  </si>
  <si>
    <t>092100500248</t>
  </si>
  <si>
    <t>Katalogisasi</t>
  </si>
  <si>
    <t>Dr. Imam Muhsin, M.Ag.</t>
  </si>
  <si>
    <t>H. 068476</t>
  </si>
  <si>
    <t>197301081998031010</t>
  </si>
  <si>
    <t>3402130801730002</t>
  </si>
  <si>
    <t>Bahasa Arab IAIN Sunan Ampel   Tahun 1996</t>
  </si>
  <si>
    <t>Dirosah Islamiyah  IAIN Sunan Ampel Tahun 1998</t>
  </si>
  <si>
    <t xml:space="preserve">Studi Islam  UIN Sunan Kalijaga  Tahun 2008 </t>
  </si>
  <si>
    <t>092100500276</t>
  </si>
  <si>
    <t>Tafsir dan Budaya Lokal</t>
  </si>
  <si>
    <t>Dr. H. Jarot Wahyudi, M.H., MA.</t>
  </si>
  <si>
    <t>G. 278177</t>
  </si>
  <si>
    <t>196609191994031003</t>
  </si>
  <si>
    <t>3404081909660001</t>
  </si>
  <si>
    <t xml:space="preserve">Bahasa dan Sastra Arab  IAIN Sunan Kalijaga  Tahun 1991 </t>
  </si>
  <si>
    <t>Hukum Keperdataan UII   Tahun 1993 / Studi Islam  Mc Gill University  Tahun 1995</t>
  </si>
  <si>
    <t>Hukum UII Tahun 2022</t>
  </si>
  <si>
    <t>092100500313</t>
  </si>
  <si>
    <t>Tarikh Adab</t>
  </si>
  <si>
    <t>Dr.Maharsi, M.Hum.</t>
  </si>
  <si>
    <t>J. 088815</t>
  </si>
  <si>
    <t>197110312000031001</t>
  </si>
  <si>
    <t>3402153110710001</t>
  </si>
  <si>
    <t>Bahasa dan Sastra Jawa UGM  Tahun 1995</t>
  </si>
  <si>
    <t>Antropologi UGM  Tahun 1999</t>
  </si>
  <si>
    <t xml:space="preserve">Studi Islam  UIN Sunan Kalijaga  Tahun 2007 </t>
  </si>
  <si>
    <t>092100500283</t>
  </si>
  <si>
    <t xml:space="preserve">Islam dan Budaya </t>
  </si>
  <si>
    <t>Dr. Mustari, M.Hum.</t>
  </si>
  <si>
    <t>G. 291231</t>
  </si>
  <si>
    <t>Berakit</t>
  </si>
  <si>
    <t>196011161996031001</t>
  </si>
  <si>
    <t>3402146111160002</t>
  </si>
  <si>
    <t>Sastra Arab IAIN Sunan Kalijaga  Tahun 1991</t>
  </si>
  <si>
    <t>Sastra UGM  Tahun 2005</t>
  </si>
  <si>
    <t>Studi Islam UIN Sunan Kalijaga Yogyakarta Tahun 2021</t>
  </si>
  <si>
    <t>Bahasa Arab /Naqd al-Adab</t>
  </si>
  <si>
    <t>Dr. H. Moh. Habib, M.Ag.</t>
  </si>
  <si>
    <t>G. 211911</t>
  </si>
  <si>
    <t>196507171994031002</t>
  </si>
  <si>
    <t>3402061707650001</t>
  </si>
  <si>
    <t>Bahasa dan Sastra Arab  IAIN Sunan Kalijaga  Tahun 1993</t>
  </si>
  <si>
    <t>Pendidikan Islam IAIN Sunan Kalijaga  Tahun 2003</t>
  </si>
  <si>
    <t>Studi Islam Konsentrasi Sejarah Kebudayaan Islam UIN Sunan Kalijaga Tahun 2017</t>
  </si>
  <si>
    <t>092100500310</t>
  </si>
  <si>
    <t>Bahasa Arab / Nusus Adab</t>
  </si>
  <si>
    <t>Dr. Zamzam Afandi, M.Ag.</t>
  </si>
  <si>
    <t>G. 142957</t>
  </si>
  <si>
    <t>Roworejo</t>
  </si>
  <si>
    <t>196311111994031002</t>
  </si>
  <si>
    <t>3404071111630003</t>
  </si>
  <si>
    <t>Aqidah dan Filsafat  IAIN Sunan Kalijaga  Tahun 2000</t>
  </si>
  <si>
    <t xml:space="preserve"> Falsafah (Pengajian Arab dan Tamadun Islam) UKM Tahun 2009</t>
  </si>
  <si>
    <t>Bahasa Arab / Muthalaah</t>
  </si>
  <si>
    <t>Dr. Tatik Mariyatut Tasnimah, M.Ag.</t>
  </si>
  <si>
    <t>E. 851629</t>
  </si>
  <si>
    <t>Magelang</t>
  </si>
  <si>
    <t>196209081990012001</t>
  </si>
  <si>
    <t>3323034809620005</t>
  </si>
  <si>
    <t>Sastra Arab IAIN Sunan Kalijaga  Tahun 1988</t>
  </si>
  <si>
    <t>Aqidah dan Filsafat IAIN Sunan Kalijaga Tahun 1997</t>
  </si>
  <si>
    <t>Studi IslamUIN Sunan Kalijaga Tahun 2010</t>
  </si>
  <si>
    <t>092100500207</t>
  </si>
  <si>
    <t>Naqd al-Adab</t>
  </si>
  <si>
    <t>Fuad Arif Fudiyartanto, S.Pd., M.Hum., M.Ed., Ph.D.</t>
  </si>
  <si>
    <t>J.050003</t>
  </si>
  <si>
    <t>Bantul</t>
  </si>
  <si>
    <t>197209281999031002</t>
  </si>
  <si>
    <t>3402152809720002</t>
  </si>
  <si>
    <t>Pendidikan Bahasa Inggris  IKIP Yogyakarta  Tahun 1997</t>
  </si>
  <si>
    <t>Linguistik  UNS Tahun 2007 /  Education The Flinders University Australia Tahun  2009</t>
  </si>
  <si>
    <t>Doctor of Philosophy University of South Australia 2020</t>
  </si>
  <si>
    <t>Sastra Inggris (S1)</t>
  </si>
  <si>
    <t>Sastra Inggris</t>
  </si>
  <si>
    <t xml:space="preserve">Kepala  UPT Pusat Pengembangan Bahasa Masa Jabatan 2024-2028 </t>
  </si>
  <si>
    <t>Dr. Sri Rohyanti Zulaikha, S.Ag., SS., M.Si.</t>
  </si>
  <si>
    <t>I. 027746</t>
  </si>
  <si>
    <t>Gunung Kidul</t>
  </si>
  <si>
    <t>196807011998032001</t>
  </si>
  <si>
    <t>3402124107680001</t>
  </si>
  <si>
    <t xml:space="preserve">Tadris Bidang Bahasa Inggris IAIN Sunan Kalijaga Tahun 1992 /  Ilmu Perpustakaan  UI Tahun 1997
</t>
  </si>
  <si>
    <t>Ilmu Administrasi Negara UGM Tahun 2002</t>
  </si>
  <si>
    <t>Ilmu Pendidikan UNY  Tahun 2015</t>
  </si>
  <si>
    <t>092100500278</t>
  </si>
  <si>
    <t>Bahan Rujukan dan Literasi Informasi</t>
  </si>
  <si>
    <t>Wakil Dekan Bid. Adm. Umum, Perencanaan dan Keuangan  Fakultas Adab dan Ilmu Budaya Masa Jabatan 2024-2028</t>
  </si>
  <si>
    <t>Dr. Hisyam Zaini, MA.</t>
  </si>
  <si>
    <t>F. 101808</t>
  </si>
  <si>
    <t>196311091991031009</t>
  </si>
  <si>
    <t>3404100911630001</t>
  </si>
  <si>
    <t>Bahasa dan Sastra Arab  IAIN Sunan Kalijaga  Tahun 1990</t>
  </si>
  <si>
    <t>Arabic Studis The University of Leeds  Tahun 1992</t>
  </si>
  <si>
    <t>Studi Islam  UIN Sunan Kalijaga   Tahun 2011</t>
  </si>
  <si>
    <t>092100500215</t>
  </si>
  <si>
    <t>Dr. Ubaidillah, S.S.,M.Hum.</t>
  </si>
  <si>
    <t>P. 516618</t>
  </si>
  <si>
    <t>Metro</t>
  </si>
  <si>
    <t>198104162009011006</t>
  </si>
  <si>
    <t>1872011604810005</t>
  </si>
  <si>
    <t>Bahasa dan Sastra Arab  UIN Sunan Kalijaga  Tahun 2005</t>
  </si>
  <si>
    <t>Linguistik  UGM  Tahun 2008</t>
  </si>
  <si>
    <t>Studi Islam  UIN Sunan Kalijaga  Tahun 2010</t>
  </si>
  <si>
    <t>Teori Linguistik</t>
  </si>
  <si>
    <t>Dr. Nurul Hak, S.Ag.,M.Hum</t>
  </si>
  <si>
    <t>J. 009917</t>
  </si>
  <si>
    <t>Tasikmalaya</t>
  </si>
  <si>
    <t>197001171999031001</t>
  </si>
  <si>
    <t>3402151701700004</t>
  </si>
  <si>
    <t>Bahasa dan Sastra Arab  IAIN Sunan Kalijaga  Tahun 1998</t>
  </si>
  <si>
    <t>Sejarah UGM   Tahun 2004</t>
  </si>
  <si>
    <t>Sejarah Islam  Universiti Malaya  Kuala Lumpur  Malaysia  Tahun 2010</t>
  </si>
  <si>
    <t>Wakil Dekan Bid. Akademik  Fakultas Adab dan Ilmu Budaya Masa Jabatan 2024-2028</t>
  </si>
  <si>
    <t>Dr. Aning Ayu Kusumawati, S.Ag, M. Si.</t>
  </si>
  <si>
    <t>M. 031209</t>
  </si>
  <si>
    <t>Sragen</t>
  </si>
  <si>
    <t>197106122003122001</t>
  </si>
  <si>
    <t>3471035206710003</t>
  </si>
  <si>
    <t>IV/a</t>
  </si>
  <si>
    <t>Sosiologi  UGM Tahun 2000</t>
  </si>
  <si>
    <t>Ilmu Susastra</t>
  </si>
  <si>
    <t>Dr. Witriani, S.S., M.Hum.</t>
  </si>
  <si>
    <t>N 046754</t>
  </si>
  <si>
    <t>Bukittinggi</t>
  </si>
  <si>
    <t>197208012006042002</t>
  </si>
  <si>
    <t>3471074108720001</t>
  </si>
  <si>
    <t>Sastra Inggris UGM   Tahun 1996</t>
  </si>
  <si>
    <t>Pengkajian Amerika  UGM  Tahun 2003</t>
  </si>
  <si>
    <t>Inter Linguistik Studies UGM  Tahun  2017</t>
  </si>
  <si>
    <t>Kajian Budaya Barat</t>
  </si>
  <si>
    <t>Ketua CDCIA</t>
  </si>
  <si>
    <t>Dr. Nurain, S.Ag.,M.Ag</t>
  </si>
  <si>
    <t>J. 012485</t>
  </si>
  <si>
    <t>Bogor</t>
  </si>
  <si>
    <t>197303121999032001</t>
  </si>
  <si>
    <t>3404015203730004</t>
  </si>
  <si>
    <t>III/c</t>
  </si>
  <si>
    <t>Sastra Arab IAIN Syarif Hidayatullah   Tahun 1997</t>
  </si>
  <si>
    <t>Pendidikan Islam Kons. Sejarah Pendidikan Islam UIN Sunan Kalijaga  Tahun 2004</t>
  </si>
  <si>
    <t>Ilmu-Ilmu Humaniora UGM Tahun 2021</t>
  </si>
  <si>
    <t>Fiqh al-Lughah</t>
  </si>
  <si>
    <t>Koord. Divisi Penerjemahan dan Tes</t>
  </si>
  <si>
    <t>Dr. Syifaun Nafisah, S.T., M.T.</t>
  </si>
  <si>
    <t>P. 171414</t>
  </si>
  <si>
    <t>Brebes</t>
  </si>
  <si>
    <t>197812262008012017</t>
  </si>
  <si>
    <t>3404066612780001</t>
  </si>
  <si>
    <t>01-04-2024</t>
  </si>
  <si>
    <t>Teknik Informatika  UPN Veteran  Tahun 2001</t>
  </si>
  <si>
    <t>Teknik Elektro  UGM  Tahun 2006</t>
  </si>
  <si>
    <t>Teknik Elektro UGM   Tahun 2017</t>
  </si>
  <si>
    <t>Ilmu Teknologi Informasi</t>
  </si>
  <si>
    <t>Dr. Tafrikhuddin, S.Ag., M.Pd.</t>
  </si>
  <si>
    <t>J. 009921</t>
  </si>
  <si>
    <t>Bulakamba, Brebes</t>
  </si>
  <si>
    <t>197302051999031003</t>
  </si>
  <si>
    <t>3404130502730001</t>
  </si>
  <si>
    <t>III/d</t>
  </si>
  <si>
    <t>Lektor</t>
  </si>
  <si>
    <t xml:space="preserve">  Penerangan dan Penyiaran Agama Islam  IAIN Sunan Kalijaga Tahun  1998</t>
  </si>
  <si>
    <t>Pendidikan Ilmu Pengetahuan Sosial  UNY  Tahun 2003</t>
  </si>
  <si>
    <t>Ilmu Pendidikan UNY   Tahun 2014</t>
  </si>
  <si>
    <t>Komunikasi</t>
  </si>
  <si>
    <t>Kepala UPT Perpustakaan Masa Jabatan 2024 - 2028</t>
  </si>
  <si>
    <t>Riswinarno, SS., M.M.</t>
  </si>
  <si>
    <t>J. 069924</t>
  </si>
  <si>
    <t>197001291999031002</t>
  </si>
  <si>
    <t>3402122901700002</t>
  </si>
  <si>
    <t xml:space="preserve">Arkeologi 
UGM  Tahun 1996
</t>
  </si>
  <si>
    <t>Manajemen Sumber Daya Manusia  STIE Widya Wiwaha YogyakartaTahun 2008</t>
  </si>
  <si>
    <t>Arkeologi</t>
  </si>
  <si>
    <t>Drs. Musa, M.Si.</t>
  </si>
  <si>
    <t>F. 101811</t>
  </si>
  <si>
    <t>Bangka</t>
  </si>
  <si>
    <t>196209121992031001</t>
  </si>
  <si>
    <t>3471141209620001</t>
  </si>
  <si>
    <t>Sosiologi  UGM  Tahun 2000</t>
  </si>
  <si>
    <t>092100500222</t>
  </si>
  <si>
    <t>SKI di Indonesia</t>
  </si>
  <si>
    <t>Zuhrotul Latifah, S.Ag., M.Hum</t>
  </si>
  <si>
    <t>H. 068463</t>
  </si>
  <si>
    <t>197010081998032001</t>
  </si>
  <si>
    <t>3402134810700002</t>
  </si>
  <si>
    <t>Sejarah dan Kebudayaan Islam  IAIN Sunan Kalijaga  Tahun 1995</t>
  </si>
  <si>
    <t>Sejarah  UGM  Tahun 2005</t>
  </si>
  <si>
    <t>Sejarah Peradaban Islam</t>
  </si>
  <si>
    <t>Dra. Himayatul Ittihadiyah, M.Hum</t>
  </si>
  <si>
    <t>G. 142960</t>
  </si>
  <si>
    <t>197002161994032013</t>
  </si>
  <si>
    <t>34011191602700002</t>
  </si>
  <si>
    <t>Sejarah dan Kebudayaan Islam  IAIN Sunan Kalijaga  Tahun 1993</t>
  </si>
  <si>
    <t>Sejarah  UGM  Tahun 2002</t>
  </si>
  <si>
    <t xml:space="preserve">Ketua Program Studi Magister Sejarah Peradaban Islam </t>
  </si>
  <si>
    <t>Dr. Syamsul Arifin, S.Ag, M.Ag</t>
  </si>
  <si>
    <t>J. 091472</t>
  </si>
  <si>
    <t>Sumenep</t>
  </si>
  <si>
    <t>196802122000031001</t>
  </si>
  <si>
    <t>3529051202680002</t>
  </si>
  <si>
    <t>Sejarah dan Kebudayaan Islam  IAIN Sunan Kalijaga  Tahun 1999</t>
  </si>
  <si>
    <t>Agama dan Filsafat Kons. Hubungan Antar Agama  UIN Sunan Kalijaga   Tahun 2005</t>
  </si>
  <si>
    <t>Studi Islam  UIN Sunan Kalijaga  Tahun 2018</t>
  </si>
  <si>
    <t>Sejarah Pergerakan Nasional</t>
  </si>
  <si>
    <t>Wakil Dekan  Bid. Kemahasiswaan dan Kerjasama Fakultas Adab dan Ilmu Budaya Masa Jabatan 2024-2028</t>
  </si>
  <si>
    <t>Herawati, S. Ag., M.Pd.</t>
  </si>
  <si>
    <t>J. 012480</t>
  </si>
  <si>
    <t>Sukoarjo</t>
  </si>
  <si>
    <t>197204241999032003</t>
  </si>
  <si>
    <t>3404066404720001</t>
  </si>
  <si>
    <t>Sejarah Kebudayaan Islam  IAIN Sunan Kalijaga  Tahun 1997</t>
  </si>
  <si>
    <t>Pendidikan Ilmu Pengetahuan Sosial UNY   Tahun 2010</t>
  </si>
  <si>
    <t>Sejarah Islam di Indonesia</t>
  </si>
  <si>
    <t>Marwiyah, S.Ag., SS, M.LIS.</t>
  </si>
  <si>
    <t>J. 139189</t>
  </si>
  <si>
    <t>Padang Timur Kodya, Padang</t>
  </si>
  <si>
    <t>196909052000032001</t>
  </si>
  <si>
    <t>3404024509690002</t>
  </si>
  <si>
    <t>01-05-2008</t>
  </si>
  <si>
    <t>Perbandingan Agama  IAIN Sunan Kalijaga Tahun 1995 /  Ilmu Perpustakaan  UI Tahun 1999</t>
  </si>
  <si>
    <t>Master of Library and Information Studies  McGill University  Tahun 2004</t>
  </si>
  <si>
    <t>Temu Kembali informasi</t>
  </si>
  <si>
    <t>Drs. Djazim Rohmadi, M.Si.</t>
  </si>
  <si>
    <t>G. 141826</t>
  </si>
  <si>
    <t>196301281994031001</t>
  </si>
  <si>
    <t>3404102801630001</t>
  </si>
  <si>
    <t>Perbandingan Agama  IAIN Sunan Kalijaga Tahun 1989</t>
  </si>
  <si>
    <t>Administrasi Negara (Manajemen Perpustakaan)   UGM  Tahun 2001</t>
  </si>
  <si>
    <t>092100500249</t>
  </si>
  <si>
    <t>Ilmu Pelestarian Bahan Pustaka  dan Pelayanan Umum</t>
  </si>
  <si>
    <t>Dr. Ening Herniti, M.Hum.</t>
  </si>
  <si>
    <t>M. 031210</t>
  </si>
  <si>
    <t>Pekalongan</t>
  </si>
  <si>
    <t>197311102003122002</t>
  </si>
  <si>
    <t>3402125011730006</t>
  </si>
  <si>
    <t>Bahasa dan Sastra Indonesia  Univ. Diponegoro  Tahun 1997</t>
  </si>
  <si>
    <t>Sastra (Linguistik) UGM   Tahun 2001</t>
  </si>
  <si>
    <t>linguistik</t>
  </si>
  <si>
    <t>Muh. Solihin Arianto, S. Ag., SS, M.Lis.</t>
  </si>
  <si>
    <t>J. 090943</t>
  </si>
  <si>
    <t>Baligay</t>
  </si>
  <si>
    <t>197009061999031012</t>
  </si>
  <si>
    <t>3404100607700002</t>
  </si>
  <si>
    <t>Perbandingan Agama  IAIN Sunan Kalijaga Tahun 1996 /  Ilmu Perpustakaan  UI Tahun 1998</t>
  </si>
  <si>
    <t>Information Comunication Technology  International Islamic University Malaysia Tahun 2006</t>
  </si>
  <si>
    <t>Pembinaan &amp; Pengembangan Koleksi</t>
  </si>
  <si>
    <t>Dr. Dwi Margo Yuwono, M.Hum.</t>
  </si>
  <si>
    <t>M. 135262</t>
  </si>
  <si>
    <t>Probolinggo</t>
  </si>
  <si>
    <t>197704192005011002</t>
  </si>
  <si>
    <t>3404141904770004</t>
  </si>
  <si>
    <t>Pendidikan Bahasa Perancis  UNY  Tahun 2001</t>
  </si>
  <si>
    <t>Linguistik Terapan UNY   Tahun 2004</t>
  </si>
  <si>
    <t>Penelitian dan Evaluasi Pendidikan UNY Tahun 2023</t>
  </si>
  <si>
    <t>linguistik dan Terjemah</t>
  </si>
  <si>
    <t>Sekretaris Program Studi Sastra Inggris</t>
  </si>
  <si>
    <t>Dra. Soraya Adnani, M.Si</t>
  </si>
  <si>
    <t>F. 111344</t>
  </si>
  <si>
    <t>196509281993032001</t>
  </si>
  <si>
    <t>3471136809650003</t>
  </si>
  <si>
    <t>Antropologi dan Sejarah Dunia  UGM  Tahun 1991</t>
  </si>
  <si>
    <t>Sosiologi  UGM  Tahun 2004</t>
  </si>
  <si>
    <t>Sosiologi</t>
  </si>
  <si>
    <t>Dr. Ridwan, S.Ag., M.Hum.</t>
  </si>
  <si>
    <t>G. 292209</t>
  </si>
  <si>
    <t>Lamongan</t>
  </si>
  <si>
    <t>197307101997031007</t>
  </si>
  <si>
    <t>3404081007730005</t>
  </si>
  <si>
    <t>Bahasa dan Sastra Arab  IAIN Sunan Kalijaga  Tahun 1996</t>
  </si>
  <si>
    <t>Ilmu Susastra  UI Tahun 2002</t>
  </si>
  <si>
    <t>Pengkajian Islam  UIN Syarif Hidayatullah Tahun 2010</t>
  </si>
  <si>
    <t>Bahasa Arab/Tarjamah</t>
  </si>
  <si>
    <t>Puji Lestari, M.Kom.</t>
  </si>
  <si>
    <t>M 027832</t>
  </si>
  <si>
    <t>197901162005012001</t>
  </si>
  <si>
    <t>3404015601790002</t>
  </si>
  <si>
    <t>Teknik Informatika  Institut Sains Teknologi AKPRIND Yogyakarta  Tahun 2001</t>
  </si>
  <si>
    <t xml:space="preserve">Ilmu Komputer  UGM  Tahun 2005 </t>
  </si>
  <si>
    <t>Aplikasi Komputer DEA</t>
  </si>
  <si>
    <t>Siti Rohaya, S.Ag., M.T.</t>
  </si>
  <si>
    <t>N. 044385</t>
  </si>
  <si>
    <t>Pontianak</t>
  </si>
  <si>
    <t>22-06-1979</t>
  </si>
  <si>
    <t>197906222006042003</t>
  </si>
  <si>
    <t>3471036206790001</t>
  </si>
  <si>
    <t>Komunikasi dan Penyiaran Islam  IAIN Sunan Kalijaga Tahun  2000</t>
  </si>
  <si>
    <t>Teknik Elektro (Teknologi Informasi) UGM  Tahun 2006</t>
  </si>
  <si>
    <t>Dasar-dasar Komunikasi dan Teknologi Informasi</t>
  </si>
  <si>
    <t>Koordinator Divisi Pengembangan Kewirausahaan dan Inovasi pada CENDI</t>
  </si>
  <si>
    <t>Dr. Ulyati Retno Sari, SS, M.Hum</t>
  </si>
  <si>
    <t>M. 135264</t>
  </si>
  <si>
    <t>197711152005012002</t>
  </si>
  <si>
    <t>3404105511770006</t>
  </si>
  <si>
    <t>Sastra Inggris  UGM  Tahun 2001</t>
  </si>
  <si>
    <t>Pengkajian Amerika  UGM  Tahun 2005</t>
  </si>
  <si>
    <t>UNY Ilmu Pendidikan Bahasa Tahun 2024</t>
  </si>
  <si>
    <t>Bahasa Inggris</t>
  </si>
  <si>
    <t>Ketua Program Studi Sastra Inggris</t>
  </si>
  <si>
    <t>Dr. Labibah, M.LIS.</t>
  </si>
  <si>
    <t>I. 141720</t>
  </si>
  <si>
    <t>196811031994032005</t>
  </si>
  <si>
    <t>3402144311680003</t>
  </si>
  <si>
    <t>Tadris IAIN Sunan Kalijaga  Tahun 1992</t>
  </si>
  <si>
    <t>Master of Library and Information Studies McGill University  Tahun  1999</t>
  </si>
  <si>
    <t>Studi Islam UIN Sunan Kalijaga Tahun 2022</t>
  </si>
  <si>
    <t>Managemen Perpustakaan</t>
  </si>
  <si>
    <t>Siti Maimunah, S.Ag.,M.Hum.</t>
  </si>
  <si>
    <t>G. 068460</t>
  </si>
  <si>
    <t>Gresik</t>
  </si>
  <si>
    <t>197104301997032002</t>
  </si>
  <si>
    <t>3404077004710001</t>
  </si>
  <si>
    <t>Sejarah  UGM  Tahun 2004</t>
  </si>
  <si>
    <t>Metode Penelitian Sejarah</t>
  </si>
  <si>
    <t>Febriyanti Dwiratna Lestari, SS., MA.</t>
  </si>
  <si>
    <t>P. 512925</t>
  </si>
  <si>
    <t>Madiun</t>
  </si>
  <si>
    <t>198102032009012007</t>
  </si>
  <si>
    <t>3404124302810004</t>
  </si>
  <si>
    <t>Bahasa dan Sastra Inggris  UNY  Tahun 2005</t>
  </si>
  <si>
    <t>Pengkajian Amerika  UGM  Tahun 2008</t>
  </si>
  <si>
    <t>0503028102</t>
  </si>
  <si>
    <t>Bambang Hariyanto, SS., MA., Ph.D.</t>
  </si>
  <si>
    <t>P. 623364</t>
  </si>
  <si>
    <t>Kediri</t>
  </si>
  <si>
    <t>198004112009121003</t>
  </si>
  <si>
    <t>3506011104800003</t>
  </si>
  <si>
    <t>Bahasa Inggris  STAIN Malang  Tahun 2003</t>
  </si>
  <si>
    <t>Linguistik, Western Sydney University Australia Tahun 2023</t>
  </si>
  <si>
    <t>Linguistik</t>
  </si>
  <si>
    <t>Moh. Wakhid Hidayat, S.S.,M.A.</t>
  </si>
  <si>
    <t>P. 516616</t>
  </si>
  <si>
    <t>198009032009011011</t>
  </si>
  <si>
    <t>3305080309800003</t>
  </si>
  <si>
    <t>Bahasa dan Sastra Arab  IAIN Sunan Kalijaga  Tahun 2004</t>
  </si>
  <si>
    <t>Pengkajian Islam  UIN Syarif Hidayatullah Tahun  2007</t>
  </si>
  <si>
    <t>Nusus Adab</t>
  </si>
  <si>
    <t>Dr. Danial Hidayatullah, SS., M.Hum.</t>
  </si>
  <si>
    <t>P. 516617</t>
  </si>
  <si>
    <t>Nganjuk</t>
  </si>
  <si>
    <t>197604052009011016</t>
  </si>
  <si>
    <t>3404110504760001</t>
  </si>
  <si>
    <t xml:space="preserve">Sastra Inggris  UGM  Tahun 2000 </t>
  </si>
  <si>
    <t>Pengkajian Amerika UGM   Tahun 2005</t>
  </si>
  <si>
    <t>Ilmu-Ilmu Humaniora UGM Tahun 2020</t>
  </si>
  <si>
    <t>Teori Sastra</t>
  </si>
  <si>
    <t>Koord. Divisi Kerjasama, media dan informasi</t>
  </si>
  <si>
    <t>Dr. Arif Budiman, S.S., M.A.</t>
  </si>
  <si>
    <t>Q. 149187</t>
  </si>
  <si>
    <t>197803092011011003</t>
  </si>
  <si>
    <t>3308050903780001</t>
  </si>
  <si>
    <t>Bahasa Sastra Inggris  UNS  Tahun 2003</t>
  </si>
  <si>
    <t>Linguistik UGM   Tahun 2009</t>
  </si>
  <si>
    <t>Ilmu Linguistik</t>
  </si>
  <si>
    <t>Fatiyah, S.Hum., M.A.</t>
  </si>
  <si>
    <t>Q. 149186</t>
  </si>
  <si>
    <t>Sleman</t>
  </si>
  <si>
    <t>198112062011012003</t>
  </si>
  <si>
    <t>3404124812810002</t>
  </si>
  <si>
    <t>Sejarah Peradaban Islam  UIN Sunan Kalijaga  Tahun 2004</t>
  </si>
  <si>
    <t>Ilmu Sejarah  UGM  Tahun 2009</t>
  </si>
  <si>
    <t xml:space="preserve">Ketua Program Studi Sejarah Kebudayaan Islam </t>
  </si>
  <si>
    <t>Umi Nurun Ni'mah, S.S., M.Hum.</t>
  </si>
  <si>
    <t>B 01030127</t>
  </si>
  <si>
    <t>Semarang</t>
  </si>
  <si>
    <t>198001022015032002</t>
  </si>
  <si>
    <t>3322054201800002</t>
  </si>
  <si>
    <t>Bahasa dan Sastra Arab UIN Sunan Kalijaga   Tahun 2005</t>
  </si>
  <si>
    <t>Agama dan Filsafat  UIN Sunan Kalijaga   Tahun 2010</t>
  </si>
  <si>
    <t>2002018001</t>
  </si>
  <si>
    <t>Arudl Wal Qawafi/Balaghah</t>
  </si>
  <si>
    <t>Aninda Aji Siwi, S.Pd., M.Pd.</t>
  </si>
  <si>
    <t>Surakarta</t>
  </si>
  <si>
    <t>198510112015032004</t>
  </si>
  <si>
    <t>3311105110850002</t>
  </si>
  <si>
    <t>Bahasa Inggris  UNS  Pendidikan Tahun 2008</t>
  </si>
  <si>
    <t>Linguistik Terapan UNY   Tahun 2013</t>
  </si>
  <si>
    <t>2011108801</t>
  </si>
  <si>
    <t>Linguistik Terapan</t>
  </si>
  <si>
    <t>Thoriq Tri Prabowo, M.IP.</t>
  </si>
  <si>
    <t xml:space="preserve">Temanggung </t>
  </si>
  <si>
    <t>199303142018011001</t>
  </si>
  <si>
    <t>3323191403930001</t>
  </si>
  <si>
    <t>Interdisciplinary Islamic Studies Konsentrasi Ilmu Perpustakaan dan Informasi  UIN Sunan Kalijaga Tahun 2016</t>
  </si>
  <si>
    <t>222100517748</t>
  </si>
  <si>
    <t>2014039301</t>
  </si>
  <si>
    <t>Presevarsi Informasi</t>
  </si>
  <si>
    <t>TUGAS BELAJAR</t>
  </si>
  <si>
    <t>Arina Faila Saufa, M.A.</t>
  </si>
  <si>
    <t>Kudus</t>
  </si>
  <si>
    <t xml:space="preserve">199402132019032016 </t>
  </si>
  <si>
    <t>3319045302940002</t>
  </si>
  <si>
    <t>UNDIP Tahun 2015</t>
  </si>
  <si>
    <t>Ilmu Perpustakaan UIN Sunan Kalijaga Tahun 2018</t>
  </si>
  <si>
    <t xml:space="preserve">232100519183 </t>
  </si>
  <si>
    <t>2013029401</t>
  </si>
  <si>
    <t>M. Ainul Yaqin, S.Pd., M.Ed.</t>
  </si>
  <si>
    <t>M. 031208</t>
  </si>
  <si>
    <t>197406122003121001</t>
  </si>
  <si>
    <t>3306101202740005</t>
  </si>
  <si>
    <t>Pendidikan Bahasa Inggris  UNISMA Malang  Tahun 1997</t>
  </si>
  <si>
    <t xml:space="preserve"> Curiculum And Instruction  George Mason University Tahun 2001</t>
  </si>
  <si>
    <t>Ketua Program Studi Ilmu Perpustakaan</t>
  </si>
  <si>
    <t>Khairunnisa Etika Sari, M.IP.</t>
  </si>
  <si>
    <t xml:space="preserve">198702062019082001 </t>
  </si>
  <si>
    <t>3471064602870001</t>
  </si>
  <si>
    <t>IIS Konsentrasi Ilmu Perpustakaan dan Informasi UIN Sunan Kalijaga Tahun 2013</t>
  </si>
  <si>
    <t>2006028702</t>
  </si>
  <si>
    <t>Faisal Syarifudin, S.Ag., S.S., M.Si.</t>
  </si>
  <si>
    <t>L 031076</t>
  </si>
  <si>
    <t>Kandangan</t>
  </si>
  <si>
    <t>197506142001121004</t>
  </si>
  <si>
    <t>2404071406750005</t>
  </si>
  <si>
    <t>III/b</t>
  </si>
  <si>
    <t>Muamalat Jinayat  IAIN Antasari  Tahun 1998 / Ilmu Perpustakaan  UI  Tahun 2002</t>
  </si>
  <si>
    <t>Sosiologi UGM   Tahun 2007</t>
  </si>
  <si>
    <t>Manajemen Terbitan Berseri</t>
  </si>
  <si>
    <t>Iryanto Chandra, M.Eng.</t>
  </si>
  <si>
    <t>Jayapura</t>
  </si>
  <si>
    <t>198508092019031008</t>
  </si>
  <si>
    <t>9171030908850003</t>
  </si>
  <si>
    <t>ITN Malang Tahun 2010</t>
  </si>
  <si>
    <t>Teknik Elektro UGM Tahun 2017</t>
  </si>
  <si>
    <t>2009088501</t>
  </si>
  <si>
    <t xml:space="preserve">Manajemen Informasi </t>
  </si>
  <si>
    <t>Harsiwi Fajar Sari, S.S.,M.A.</t>
  </si>
  <si>
    <t>Kulon Progo</t>
  </si>
  <si>
    <t>198503232015032004</t>
  </si>
  <si>
    <t>3401126303850001</t>
  </si>
  <si>
    <t>Sastra Inggris  UGM  Tahun 2007</t>
  </si>
  <si>
    <t>Pengkajian Amerika UGM   Tahun 2014</t>
  </si>
  <si>
    <t>222100517752</t>
  </si>
  <si>
    <t>2023038501</t>
  </si>
  <si>
    <t>Poetry</t>
  </si>
  <si>
    <t>Tika Fitriyah, M.Hum.</t>
  </si>
  <si>
    <t>B 01034876</t>
  </si>
  <si>
    <t>199104152018012001</t>
  </si>
  <si>
    <t>3278015504910013</t>
  </si>
  <si>
    <t>Bahasa dan Sastra Arab UIN Sunan Kalijaga  Tahun 2013</t>
  </si>
  <si>
    <t>Bahasa dan Sastra Arab UIN Sunan Kalijaga   Tahun 2015</t>
  </si>
  <si>
    <t>2015049101</t>
  </si>
  <si>
    <t xml:space="preserve">Tarjamah </t>
  </si>
  <si>
    <t>Andriyana Fatmawati, M.Pd.</t>
  </si>
  <si>
    <t xml:space="preserve">199109202019032020 </t>
  </si>
  <si>
    <t>3402026009910001</t>
  </si>
  <si>
    <t>UNY Tahun 2014</t>
  </si>
  <si>
    <t>Pendidikan Bahasa Jawa  UNY  Tahun 2018</t>
  </si>
  <si>
    <t>2020099101</t>
  </si>
  <si>
    <t xml:space="preserve">Katalogisasi Literatur Aksara Jawa </t>
  </si>
  <si>
    <t xml:space="preserve">Plt. Sekretaris Program Studi Magister Sejarah Peradaban Islam </t>
  </si>
  <si>
    <t>Muhammad Bagus Febriyanto, M.Hum.</t>
  </si>
  <si>
    <t xml:space="preserve">199002152019031005 </t>
  </si>
  <si>
    <t>3402131502900001</t>
  </si>
  <si>
    <t>UGM Tahun 2012</t>
  </si>
  <si>
    <t>Ilmu Susastra UI   Tahun 2018</t>
  </si>
  <si>
    <t>2015029002</t>
  </si>
  <si>
    <t xml:space="preserve"> Katalogisasi Literatur Aksara Jawa </t>
  </si>
  <si>
    <t>Lilih Deva Martias, M.Sc.</t>
  </si>
  <si>
    <t xml:space="preserve">198703112019032010 </t>
  </si>
  <si>
    <t>3308105103870001</t>
  </si>
  <si>
    <t>UNS Tahun 2009</t>
  </si>
  <si>
    <t>Matematika UGM   Tahun 2014</t>
  </si>
  <si>
    <t>Statistik</t>
  </si>
  <si>
    <t>Amalia Azka Rahmayani, M.Sc.</t>
  </si>
  <si>
    <t>Jakarta</t>
  </si>
  <si>
    <t xml:space="preserve">199212052019032009 </t>
  </si>
  <si>
    <t>3175074512920006</t>
  </si>
  <si>
    <t>UII Tahun 2015</t>
  </si>
  <si>
    <t>Magister Teknik Industri   UGM Tahun 2018</t>
  </si>
  <si>
    <t>2005129201</t>
  </si>
  <si>
    <t>Ergonomi</t>
  </si>
  <si>
    <t>Ahmad Anwar, M.A.</t>
  </si>
  <si>
    <t xml:space="preserve">199202142019031013 </t>
  </si>
  <si>
    <t>3404141402920001</t>
  </si>
  <si>
    <t>IIS Konsentrasi Ilmu Perpustakaan dan Informasi UIN Sunan Kalijaga Tahun 2017</t>
  </si>
  <si>
    <t>2014029201</t>
  </si>
  <si>
    <t>Nur Riani, M.A.</t>
  </si>
  <si>
    <t>Purworejo</t>
  </si>
  <si>
    <t>199202212019082001</t>
  </si>
  <si>
    <t>3404096102920005</t>
  </si>
  <si>
    <t>IIS Konsentrasi Ilmu Perpustakaan dan Informasi UIN Sunan Kalijaga Tahun 2018</t>
  </si>
  <si>
    <t>2021029202</t>
  </si>
  <si>
    <t xml:space="preserve">Plt. Sekretaris Program Studi Ilmu Perpustakaan (IP)  </t>
  </si>
  <si>
    <t>Kholili Badriza, Lc., M.Hum.</t>
  </si>
  <si>
    <t>Magetan</t>
  </si>
  <si>
    <t>199210032020121003</t>
  </si>
  <si>
    <t>3520130310920001</t>
  </si>
  <si>
    <t>Sejarah Peradaban Islam UIN Sunan Kalijaga Tahun 2019</t>
  </si>
  <si>
    <t>2003109201</t>
  </si>
  <si>
    <t>Asisten Ahli - Dosen Sejarah dan Kebudayaan Islam</t>
  </si>
  <si>
    <t>Nurul Leyly Rachmawati, Lc.,M.Hum.</t>
  </si>
  <si>
    <t>199105092020122008</t>
  </si>
  <si>
    <t>3308074905910001</t>
  </si>
  <si>
    <t>Bahasa dan Sastra Arab UIN Sunan Kalijaga Tahun 2019</t>
  </si>
  <si>
    <t>2009059101</t>
  </si>
  <si>
    <t>Asisten Ahli-Dosen Bahasa dan Sastra Arab</t>
  </si>
  <si>
    <t xml:space="preserve">Plt. Sekretaris Program Studi Bahasa dan Sastra Arab  </t>
  </si>
  <si>
    <t>Nini Salwa Istiqamah, S.IP., MIR.</t>
  </si>
  <si>
    <t>Bone</t>
  </si>
  <si>
    <t>199202082022032001</t>
  </si>
  <si>
    <t>'7308224802920001</t>
  </si>
  <si>
    <t>Hubungan Internasional The University of Melbourne Australia Tahun 2021</t>
  </si>
  <si>
    <t>2008029203</t>
  </si>
  <si>
    <t>Asisten Ahli - Dosen Hubungan Internasional</t>
  </si>
  <si>
    <t>Anisah Durrotul Fajri, SS., M.Hum.</t>
  </si>
  <si>
    <t>199102232020122009</t>
  </si>
  <si>
    <t>3402156302910001</t>
  </si>
  <si>
    <t>Ilmu Linguistik UI Tahun 2017</t>
  </si>
  <si>
    <t>2023029103</t>
  </si>
  <si>
    <t>M. Salwa Arraid, M.Hum.</t>
  </si>
  <si>
    <t>Gunungkidul</t>
  </si>
  <si>
    <t>198808212020121002</t>
  </si>
  <si>
    <t>3403012108880001</t>
  </si>
  <si>
    <t>2021088803</t>
  </si>
  <si>
    <t>Dosen Bahasa dan Sastra Arab</t>
  </si>
  <si>
    <t>Plt. Sekretaris Program Studi Magister (S2) Bahasa dan Sastra Arab</t>
  </si>
  <si>
    <t>Maylisa Oktavira, M.Pd.I.</t>
  </si>
  <si>
    <t>199005222022032002</t>
  </si>
  <si>
    <t>'6171036205900009</t>
  </si>
  <si>
    <t>Bahasa dan Sastra Arab Universitas Islam Negeri Maulana Malik Ibrahim Malang</t>
  </si>
  <si>
    <t>2022059003</t>
  </si>
  <si>
    <t>Anggota ADMISI</t>
  </si>
  <si>
    <t>B. FAKULTAS DAKWAH DAN KOMUNIKASI</t>
  </si>
  <si>
    <t>Prof. Alimatul Qibtiyah, S.Ag, M.Si, Ph.D.</t>
  </si>
  <si>
    <t>G.289535</t>
  </si>
  <si>
    <t>Ngawi</t>
  </si>
  <si>
    <t>197109191996032001</t>
  </si>
  <si>
    <t>3402125909710005</t>
  </si>
  <si>
    <t>Penerangan dan Penyiaran Agama Islam  IAIN Sunan Kalijaga  Tahun 1995</t>
  </si>
  <si>
    <t>Psikologi UGM Tahun 2000 / University of Northern IOWA Tahun 2005</t>
  </si>
  <si>
    <t>Doctor of Philosophy  University of Western Sydney  Tahun 2013</t>
  </si>
  <si>
    <t>Komunikasi dan Penyiaran Islam (S2)</t>
  </si>
  <si>
    <t>Kajian Gender</t>
  </si>
  <si>
    <t>Komisioner Komnas Perempuan TMT 1 Jan 20</t>
  </si>
  <si>
    <t>Prof. Dr. Casmini, S.Ag, M.Si.</t>
  </si>
  <si>
    <t>C.289536</t>
  </si>
  <si>
    <t>Batang</t>
  </si>
  <si>
    <t>197110051996032002</t>
  </si>
  <si>
    <t>3404104510710001</t>
  </si>
  <si>
    <t>Bimbingan dan Penyuluhan Agama Islam  IAIN Sunan Kalijaga  Tahun 1995</t>
  </si>
  <si>
    <t>Psikologi  UGM  Tahun 2003</t>
  </si>
  <si>
    <t>Psikologi UGM  Tahun 2011</t>
  </si>
  <si>
    <t>092100500255</t>
  </si>
  <si>
    <t>Bimbingan dan Konseling Islam (S2)</t>
  </si>
  <si>
    <t>Psikologi Umum</t>
  </si>
  <si>
    <t>Prof. Dr. Arif Maftuhin, M.Ag</t>
  </si>
  <si>
    <t>L 031077</t>
  </si>
  <si>
    <t>Blitar</t>
  </si>
  <si>
    <t>197402022001121002</t>
  </si>
  <si>
    <t>3402120202740008</t>
  </si>
  <si>
    <t>Muammalat Jinayat  STAIN Surakarta   Tahun 1998</t>
  </si>
  <si>
    <t>IAIN Sunan Kalijaga Hukum Islam Kons. Muamalat  Tahun 2000</t>
  </si>
  <si>
    <t>Studi Islam  UIN Sunan Kalijaga  Tahun 2016</t>
  </si>
  <si>
    <t>Ilmu Kesejahteraan Sosial (S1)</t>
  </si>
  <si>
    <t>Fiqh Sosial</t>
  </si>
  <si>
    <t>Dekan Fakultas  Dakwah dan Komunikasi Masa Jabatan 2024 - 2028</t>
  </si>
  <si>
    <t>Dr. H. Akhmad Rifa'i, M.Phil.</t>
  </si>
  <si>
    <t>E. 189730</t>
  </si>
  <si>
    <t>196009051986031006</t>
  </si>
  <si>
    <t>3404060509600001</t>
  </si>
  <si>
    <t>Dakwah  IAIN Sunan Kalijaga  Tahun 1985</t>
  </si>
  <si>
    <t>Demography  The Cairo Demographic Center Tahun 1996</t>
  </si>
  <si>
    <t>Sosiologi  UGM  Tahun  2006</t>
  </si>
  <si>
    <t>092100500193</t>
  </si>
  <si>
    <t>Prof. Dr. H. Nurjannah, M.Si.</t>
  </si>
  <si>
    <t>E.498006</t>
  </si>
  <si>
    <t>Rembang</t>
  </si>
  <si>
    <t>196003101987032001</t>
  </si>
  <si>
    <t>3404075003600001</t>
  </si>
  <si>
    <t>Dakwah  IAIN Sunan Kalijaga  Tahun 1986</t>
  </si>
  <si>
    <t>Psikologi  Sosial  UGM  Tahun 2000</t>
  </si>
  <si>
    <t>Ilmu Psikologi UGM   Tahun 2011</t>
  </si>
  <si>
    <t>092100500198</t>
  </si>
  <si>
    <t>Ilmu Konseling Islam</t>
  </si>
  <si>
    <t>Dr. Hamdan Dly, M.Si.</t>
  </si>
  <si>
    <t>G.142966</t>
  </si>
  <si>
    <t>Matondang Tap Sel</t>
  </si>
  <si>
    <t>196612091994031004</t>
  </si>
  <si>
    <t>3404070912660004</t>
  </si>
  <si>
    <t>Penerangan dan Penyiaran Agama Islam  IAIN Sunan KalijagaTahun 1992</t>
  </si>
  <si>
    <t>Ketahanan Nasional UGM   Tahun 2000</t>
  </si>
  <si>
    <t>Ilmu Politik  UGM  Tahun 2011</t>
  </si>
  <si>
    <t>092100500247</t>
  </si>
  <si>
    <t>Politik dan Media</t>
  </si>
  <si>
    <t>Drs. Abdul Rozak, M.Pd</t>
  </si>
  <si>
    <t>G.160963</t>
  </si>
  <si>
    <t>196710061994031003</t>
  </si>
  <si>
    <t>3402150610670007</t>
  </si>
  <si>
    <t>Komunikasi Massa  UNS  Tahun 1992</t>
  </si>
  <si>
    <t>Penelitian dan Evaluasi Pendidikan  UNY  Tahun 2000</t>
  </si>
  <si>
    <t>092100500245</t>
  </si>
  <si>
    <t>Komunikasi dan Penyiaran Islam (S1)</t>
  </si>
  <si>
    <t>Ilmu Komunikasi</t>
  </si>
  <si>
    <t>Ketua Program Studi S-2 Komunikasi dan Penyiaran Islam</t>
  </si>
  <si>
    <t>Drs. Moh. Abu Suhud, M.Pd.</t>
  </si>
  <si>
    <t>E-882125</t>
  </si>
  <si>
    <t>Sojomerto Kendal</t>
  </si>
  <si>
    <t>196104101990011001</t>
  </si>
  <si>
    <t>3404101004610002</t>
  </si>
  <si>
    <t>Dakwah  IAIN Sunan Kalijaga  Tahun 1988</t>
  </si>
  <si>
    <t>Pendidikan Luar Sekolah  UNY  Tahun 2003</t>
  </si>
  <si>
    <t>092100500304</t>
  </si>
  <si>
    <t>Pengembangan Masyarakat Islam (S1)</t>
  </si>
  <si>
    <t>Ilmu Dakwah</t>
  </si>
  <si>
    <t>Drs. Mukhammad Sahlan, M.Si</t>
  </si>
  <si>
    <t>G.013073</t>
  </si>
  <si>
    <t>Pati</t>
  </si>
  <si>
    <t>196805011993031006</t>
  </si>
  <si>
    <t>3402120105680001</t>
  </si>
  <si>
    <t>Penerangan dan Penyiaran Agama Islam  IAIN Sunan Kalijaga  Tahun 1992</t>
  </si>
  <si>
    <t>092100500235</t>
  </si>
  <si>
    <t>Public Relation</t>
  </si>
  <si>
    <t>Dr. Sriharini, S.Ag, M.Si</t>
  </si>
  <si>
    <t>H.066443</t>
  </si>
  <si>
    <t>197105261997032001</t>
  </si>
  <si>
    <t>3402126605700004</t>
  </si>
  <si>
    <t>Bimbingan dan Penyuluhan Agama Islam  IAIN Sunan Kalijaga  Tahun 1996</t>
  </si>
  <si>
    <t>Studi Pembangunan  Univ. Satya Wacana Salatiga Tahun 2009</t>
  </si>
  <si>
    <t>092100500268</t>
  </si>
  <si>
    <t>Pengembangan Masyarakat Islam (S2)</t>
  </si>
  <si>
    <t xml:space="preserve">Sosiologi Pembangunan  </t>
  </si>
  <si>
    <t>Ketua Program Studi Magister (S2) Pengembangan Masyarakat Islam</t>
  </si>
  <si>
    <t>Dr. Irsyadunnas, M.Ag</t>
  </si>
  <si>
    <t>J 009915</t>
  </si>
  <si>
    <t>Padang</t>
  </si>
  <si>
    <t>197104131998031006</t>
  </si>
  <si>
    <t>3404071304710006</t>
  </si>
  <si>
    <t>Tafsir Hadist  IAIN Syarif Hidayatullah  Tahun 1995</t>
  </si>
  <si>
    <t>Pengkajian Islam Kons. Tafsir Hadis IAIN Imam Bonjol   Tahun 2001</t>
  </si>
  <si>
    <t>Pengkajian Islam Kons. Tafsir Hadits  UIN Syarif Hidayatullah  Tahun  2013</t>
  </si>
  <si>
    <t>Tafsir</t>
  </si>
  <si>
    <t>Wakil Dekan Bid. Administrasi Umum, Perencanaan dan Keuangan  Fakultas Dakwah dan Komunikasi Masa Jabatan 2024-2028</t>
  </si>
  <si>
    <t>Dr. Andy Dermawan, M.Ag</t>
  </si>
  <si>
    <t>J. 139190</t>
  </si>
  <si>
    <t>197009082000031001</t>
  </si>
  <si>
    <t>3402120809700004</t>
  </si>
  <si>
    <t>Aqidah dan Filsafat  IAIN Sunan Kalijaga Tahun 1996</t>
  </si>
  <si>
    <t>Studi Islam  UMS  Tahun 1998</t>
  </si>
  <si>
    <t xml:space="preserve"> Politik Islam  UMY Tahun 2018</t>
  </si>
  <si>
    <t>092100500158</t>
  </si>
  <si>
    <t>Manajemen Dakwah (S1)</t>
  </si>
  <si>
    <t>Metodelogi Study Islam</t>
  </si>
  <si>
    <t>Nailul Falah, S.Ag, M.Si</t>
  </si>
  <si>
    <t>I.027747</t>
  </si>
  <si>
    <t>197210011998031003</t>
  </si>
  <si>
    <t>3404100110720001</t>
  </si>
  <si>
    <t>Psikologi</t>
  </si>
  <si>
    <t>Dr. Hikmah Endraswati, SE., M.Si.</t>
  </si>
  <si>
    <t>J 048065</t>
  </si>
  <si>
    <t>197705072000032001</t>
  </si>
  <si>
    <t>3471044705770002</t>
  </si>
  <si>
    <t>Ekonomi  UGM  Tahun 1999</t>
  </si>
  <si>
    <t>Manajemen  UGM  Tahun 2004</t>
  </si>
  <si>
    <t>Manajemen  UNS  Tahun 2016</t>
  </si>
  <si>
    <t>092102 300508</t>
  </si>
  <si>
    <t>2007057701</t>
  </si>
  <si>
    <t>Koordinator Pusat Akreditasi dan Sertifikasi pada LPM Masa Jabatan 2024 - 2028</t>
  </si>
  <si>
    <t>Dr. Zainudin, M.Ag</t>
  </si>
  <si>
    <t>J.009918</t>
  </si>
  <si>
    <t>196608271999031001</t>
  </si>
  <si>
    <t>Tafsir Hadis  IAIN Sunan Kalijaga  Tahun 1993</t>
  </si>
  <si>
    <t>Agama dan Filsafat Kons. Filsafat Islam IAIN Sunan Kalijaga   Tahun 2002</t>
  </si>
  <si>
    <t>Studi Islam  UIN Sunan Kalijaga  Tahun 2013</t>
  </si>
  <si>
    <t>092100500317</t>
  </si>
  <si>
    <t>Ulumul Hadist</t>
  </si>
  <si>
    <t>Drs.Mokh. Nazili, M.Pd.</t>
  </si>
  <si>
    <t>F.097445</t>
  </si>
  <si>
    <t>196302101991031002</t>
  </si>
  <si>
    <t>3404071002630003</t>
  </si>
  <si>
    <t>Penerangan dan Penyiaran Agama Islam  IAIN Sunan Kalijaga  Tahun 1990</t>
  </si>
  <si>
    <t>092100500211</t>
  </si>
  <si>
    <t>Drs. Lathiful Khuluq, M.A., BSW., Ph.D.</t>
  </si>
  <si>
    <t>F. 097447</t>
  </si>
  <si>
    <t>196806101992031003</t>
  </si>
  <si>
    <t>3404101006680001</t>
  </si>
  <si>
    <t>Sejarah dan Kebudayaan  Islam  IAIN Sunan Kalijaga  Tahun 1991</t>
  </si>
  <si>
    <t>Islamic Studies McGill University  Tahun 1997</t>
  </si>
  <si>
    <t>Doctor of Philosophy McGill University  Tahun 2009</t>
  </si>
  <si>
    <t>Masalah-masalah Kesejahteraan Sosial</t>
  </si>
  <si>
    <t>Prof. Dra. Siti Syamsiyatun, MA, Ph.D.</t>
  </si>
  <si>
    <t>G.289532</t>
  </si>
  <si>
    <t>196403231995032002</t>
  </si>
  <si>
    <t>3471136303640002</t>
  </si>
  <si>
    <t>Ilmu Dakwah  UMY  Tahun 1991</t>
  </si>
  <si>
    <t>Islamic Studies  McGill University  Tahun 1998</t>
  </si>
  <si>
    <t>Politics  Monash University Australia Tahun 2006</t>
  </si>
  <si>
    <t>Kajian Islam dan Gender</t>
  </si>
  <si>
    <t>Dr. Pajar Hatma Indra Jaya, S.Sos, M.SI</t>
  </si>
  <si>
    <t>M. 032988</t>
  </si>
  <si>
    <t>198104282003121003</t>
  </si>
  <si>
    <t>3402052804810001</t>
  </si>
  <si>
    <t>Sosiologi  UNS  Tahun 2003</t>
  </si>
  <si>
    <t>Sosiologi (Studi Pembangunan)  UGM  Tahun 2005</t>
  </si>
  <si>
    <t>Sosiologi  UGM  Tahun 2012</t>
  </si>
  <si>
    <t>Analisis Problem Sosial</t>
  </si>
  <si>
    <t>Wakil Dekan Bid. Akademik  Fakultas Dakwah dan Komunikasi Masa Jabatan 2024-2028</t>
  </si>
  <si>
    <t>Dr. Abdur Rozaki, S. Ag., M.Si</t>
  </si>
  <si>
    <t>M 215839</t>
  </si>
  <si>
    <t>Bangkalan</t>
  </si>
  <si>
    <t>197507012005011007</t>
  </si>
  <si>
    <t>3404060107750033</t>
  </si>
  <si>
    <t>Aqidah dan Filsafat  IAIN Sunan Kalijaga   Tahun 1999</t>
  </si>
  <si>
    <t>Sosiologi  UGM  Tahun 2003</t>
  </si>
  <si>
    <t>Studi Islam  UIN Sunan Kalijaga    Tahun  2015</t>
  </si>
  <si>
    <t>Sosiologi Agama</t>
  </si>
  <si>
    <t>Wakil Rektor Bidang Kemahasiswaan dan Kerja Sama Periode 2024 - 2028</t>
  </si>
  <si>
    <t>Dr. H. Okrisal Eka Putra, Lc, M.Ag</t>
  </si>
  <si>
    <t>L. 021473</t>
  </si>
  <si>
    <t>Simalanggang</t>
  </si>
  <si>
    <t>197310162000121001</t>
  </si>
  <si>
    <t>3471031610730002</t>
  </si>
  <si>
    <t>Univ. Al-Azhar  F. Syariah  Syariah Islamiah</t>
  </si>
  <si>
    <t>Pengkajian Islam  IAIN Syarif Hidayatullah Tahun 2000</t>
  </si>
  <si>
    <t>Studi Islam  UIN Sunan Kalijaga   Tahun 2015</t>
  </si>
  <si>
    <t>Ushul Fiqh</t>
  </si>
  <si>
    <t>Drs. H. Noor Hamid, M.Pd.I.</t>
  </si>
  <si>
    <t>E 078009</t>
  </si>
  <si>
    <t>196112081986031003</t>
  </si>
  <si>
    <t>3404130812610002</t>
  </si>
  <si>
    <t xml:space="preserve">Lektor  </t>
  </si>
  <si>
    <t>Pendidikan Islam  IAIN Sunan Kalijaga  Tahun 1988</t>
  </si>
  <si>
    <t>Pendidikan Islam  UNISMA  Tahun 2004</t>
  </si>
  <si>
    <t>222100517743</t>
  </si>
  <si>
    <t>Manajemen Bimbingan Haji</t>
  </si>
  <si>
    <t>Drs. Abdullah, M.Si</t>
  </si>
  <si>
    <t>F.108910</t>
  </si>
  <si>
    <t>Kuala Simpang</t>
  </si>
  <si>
    <t>196402041992031004</t>
  </si>
  <si>
    <t>3404100402640001</t>
  </si>
  <si>
    <t>IAIN Sunan Kalijaga  Bimbingan dan Penyuluhan Agama Islam  Tahun 1991</t>
  </si>
  <si>
    <t>Sosiologi  UGM  Tahun 2002</t>
  </si>
  <si>
    <t>092100500305</t>
  </si>
  <si>
    <t>Bimbingan dan Penyuluhan</t>
  </si>
  <si>
    <t>Dr. Rifai, MA</t>
  </si>
  <si>
    <t>F.111821</t>
  </si>
  <si>
    <t>Kec. Singkep</t>
  </si>
  <si>
    <t>196107041992031001</t>
  </si>
  <si>
    <t>3471130407610002</t>
  </si>
  <si>
    <t>Dakwah IAIN Sunan Kalijaga   Tahun 1989</t>
  </si>
  <si>
    <t>Studi Islam  UMY   Tahun 2005</t>
  </si>
  <si>
    <t>Politik Islam UMY  Tahun 2018</t>
  </si>
  <si>
    <t>092100500224</t>
  </si>
  <si>
    <t>Ro’fah, M.A., Ph.D.</t>
  </si>
  <si>
    <t>197211242001122002</t>
  </si>
  <si>
    <t>3404106411720001</t>
  </si>
  <si>
    <t>Peradilan Agama IAIN Syarif Hidayatullah Tahun 1996</t>
  </si>
  <si>
    <t>Islamic Studies, Mc.Gill University, 2000</t>
  </si>
  <si>
    <t>Social Work McGill University, 2011</t>
  </si>
  <si>
    <t>Pekerja Sosial</t>
  </si>
  <si>
    <t>Dra. Nurmahni, M.Ag</t>
  </si>
  <si>
    <t>I.289223</t>
  </si>
  <si>
    <t>Langsa</t>
  </si>
  <si>
    <t>19-05-1972</t>
  </si>
  <si>
    <t>197205191998032001</t>
  </si>
  <si>
    <t>3404075905720004</t>
  </si>
  <si>
    <t>Bahasa Arab  IAIN Sumatera Utara  Tahun 1994</t>
  </si>
  <si>
    <t>IAIN Imam Bonjol  Pengkajian Islam Kons. Tafsir Hadis  Tahun 2000</t>
  </si>
  <si>
    <t>Hadits</t>
  </si>
  <si>
    <t>Dr. Khadiq, S.Ag.,M.Hum.</t>
  </si>
  <si>
    <t>J 009920</t>
  </si>
  <si>
    <t>197001251999031001</t>
  </si>
  <si>
    <t>3309072501700002</t>
  </si>
  <si>
    <t>Penerangan dan Penyiaran Agama Islam  IAIN Sunan Kalijaga  Tahun 1997</t>
  </si>
  <si>
    <t>UGM   Sejarah  Tahun 2004</t>
  </si>
  <si>
    <t>Sejarah Islam UGM Tahun 2016</t>
  </si>
  <si>
    <t>Sejarah Dakwah</t>
  </si>
  <si>
    <t>Sekretaris Program Studi (S2) Komunikasi dan Penyiaran Islam</t>
  </si>
  <si>
    <t>Dr. Hj. Mikhriani, MM</t>
  </si>
  <si>
    <t>J. 139186</t>
  </si>
  <si>
    <t>Belinyu</t>
  </si>
  <si>
    <t>196405122000032001</t>
  </si>
  <si>
    <t>3404125205640003</t>
  </si>
  <si>
    <t>Manajemen  UPN Veteran Yogyakarta Tahun 1990</t>
  </si>
  <si>
    <t>Ekonomi  Manajemen Pemasaran STIE Mitra Indonesia Yogyakarta  Tahun 1997</t>
  </si>
  <si>
    <t>UII Tahun 2020</t>
  </si>
  <si>
    <t>Manajemen</t>
  </si>
  <si>
    <t>Drs. Muhammad Hafiun, M.Pd.</t>
  </si>
  <si>
    <t>E.845918</t>
  </si>
  <si>
    <t>Berenyah</t>
  </si>
  <si>
    <t>196205201989031002</t>
  </si>
  <si>
    <t>3404102005620002</t>
  </si>
  <si>
    <t>Pendidikan Ilmu Pengetahuan Sosial  UNY  Tahun 2005</t>
  </si>
  <si>
    <t>092100500205</t>
  </si>
  <si>
    <t>Akhlak / Tasawuf</t>
  </si>
  <si>
    <t>Drs. M. Rosyid Ridla, M.Si</t>
  </si>
  <si>
    <t>F.113273</t>
  </si>
  <si>
    <t>196701041993031003</t>
  </si>
  <si>
    <t>3402160401670002</t>
  </si>
  <si>
    <t>Bimbingan Penyuluhan Agama Islam  IAIN Sunan Kalijaga  Tahun  1991</t>
  </si>
  <si>
    <t>Psikologi  UGM  Tahun 2004</t>
  </si>
  <si>
    <t>Filsafat Dakwah</t>
  </si>
  <si>
    <t>Slamet, S.Ag, M.Si</t>
  </si>
  <si>
    <t>H 068461</t>
  </si>
  <si>
    <t>196912141998031002</t>
  </si>
  <si>
    <t>3402081412690002</t>
  </si>
  <si>
    <t>Penerangan dan Penyiaran Agama Islam  STIDMS Yogyakarta  Tahun 1995</t>
  </si>
  <si>
    <t>Psikologi  UGM  Tahun 2005</t>
  </si>
  <si>
    <t>Psikologi Dakwah</t>
  </si>
  <si>
    <t>Dra. Siti Fatimah, M.Pd.</t>
  </si>
  <si>
    <t>G.142963</t>
  </si>
  <si>
    <t>196904011994032002</t>
  </si>
  <si>
    <t>3402124104690005</t>
  </si>
  <si>
    <t>Penerangan dan Penyiaran Agama Islam  IAIN Sunan Kalijaga Tahun 1993</t>
  </si>
  <si>
    <t>Manajemen Dakwah</t>
  </si>
  <si>
    <t>Dr. H. Muhsin, S.Ag, MA</t>
  </si>
  <si>
    <t>M. 032987</t>
  </si>
  <si>
    <t>Tulung Agung</t>
  </si>
  <si>
    <t>197004032003121001</t>
  </si>
  <si>
    <t>3404070304700003</t>
  </si>
  <si>
    <t>IAIN Sunan Kalijaga  Penerangan dan Penyiaran Agama Islam  Tahun 1997</t>
  </si>
  <si>
    <t>UMY  Studi Islam  Tahun 2004</t>
  </si>
  <si>
    <t>Psikologi Pendidikan Islam UMY    Tahun 2018</t>
  </si>
  <si>
    <t>Psikologi Pendidikan</t>
  </si>
  <si>
    <t>Wakil Dekan Bid. Kemahasiswaan dan Kerjasama  Fakultas Dakwah dan Komunikasi Masa Jabatan 2024-2028</t>
  </si>
  <si>
    <t>Early Maghfiroh Innayati, S.Ag. M.Si</t>
  </si>
  <si>
    <t>L 068466</t>
  </si>
  <si>
    <t>197410251998032001</t>
  </si>
  <si>
    <t>3471066510740007</t>
  </si>
  <si>
    <t>Komunikasi dan Penyiaran Islam  UMY  Tahun 1997</t>
  </si>
  <si>
    <t xml:space="preserve">Psikologi Agama </t>
  </si>
  <si>
    <t>Dr. Asep Jahidin, S.Ag., M.Si.</t>
  </si>
  <si>
    <t>N 044382</t>
  </si>
  <si>
    <t>Bandung</t>
  </si>
  <si>
    <t>30-08-1975</t>
  </si>
  <si>
    <t>197508302006041002</t>
  </si>
  <si>
    <t>3402123008750003</t>
  </si>
  <si>
    <t>01-05-2011</t>
  </si>
  <si>
    <t>Bahasa dan Sastra Arab  IAIN Sunan Gunung Djati  Tahun 2001</t>
  </si>
  <si>
    <t>Sosiologi  UI  Tahun 2005</t>
  </si>
  <si>
    <t>Kesejahteraan Sosial Universitas Padjajaran Tahun 2020</t>
  </si>
  <si>
    <t>2030087502</t>
  </si>
  <si>
    <t>Managemen Kesejahteraan Sosial</t>
  </si>
  <si>
    <t>Koordinator Pusat Layanan Difabel pada LP2M Masa Jabatan 2024-2028</t>
  </si>
  <si>
    <t>Muh. Toriq Nurmadiansyah, S.Ag.,M.Si.</t>
  </si>
  <si>
    <t>M. 032989</t>
  </si>
  <si>
    <t>196902272003121001</t>
  </si>
  <si>
    <t>3404072702690002</t>
  </si>
  <si>
    <t>Studi Islam Konsentrasi Ekonomi Islam  UII  Tahun 2003</t>
  </si>
  <si>
    <t xml:space="preserve">Manajemen Keuangan Islam </t>
  </si>
  <si>
    <t>Koordinator Pusat Pengabdian kepada Masyarakat pada LP2M Masa Jabatan 2024-2028</t>
  </si>
  <si>
    <t>Andayani, SIP, MSW</t>
  </si>
  <si>
    <t>J. 090676</t>
  </si>
  <si>
    <t>Samarinda</t>
  </si>
  <si>
    <t>197210161999032008</t>
  </si>
  <si>
    <t>3404075610720007</t>
  </si>
  <si>
    <t>Ilmu Komunikasi  UGM  Tahun 1998</t>
  </si>
  <si>
    <t>Sosial Work McGill University Canada  Tahun  2006</t>
  </si>
  <si>
    <t>Ilmu Intervensi Dalam Kesejahteraan Sosial</t>
  </si>
  <si>
    <t>Dra. Anisah Indriati, M.Si</t>
  </si>
  <si>
    <t>G.173668</t>
  </si>
  <si>
    <t>Temanggung</t>
  </si>
  <si>
    <t>196612261992032002</t>
  </si>
  <si>
    <t>3323132612650003</t>
  </si>
  <si>
    <t>Bimbingan dan Penyuluhan Agama Islam  IAIN Sunan Kalijaga  Tahun 1991</t>
  </si>
  <si>
    <t>Sosiologi  UGM  Tahun  2003</t>
  </si>
  <si>
    <t>A. Said Hasan Basri, S.Psi, M.Si</t>
  </si>
  <si>
    <t>N 519110</t>
  </si>
  <si>
    <t>Jember</t>
  </si>
  <si>
    <t>27-04-1975</t>
  </si>
  <si>
    <t>197504272008011008</t>
  </si>
  <si>
    <t>3404072704750006</t>
  </si>
  <si>
    <t>01-04-2018</t>
  </si>
  <si>
    <t>Psikologi  UAD  Tahun 2004</t>
  </si>
  <si>
    <t>Psikologi  UGM  Tahun 2007</t>
  </si>
  <si>
    <t>01-05-2040</t>
  </si>
  <si>
    <t>Psikologi Konseling</t>
  </si>
  <si>
    <t>Aryan Torrido, SE.,M.Si.</t>
  </si>
  <si>
    <t>P 437830</t>
  </si>
  <si>
    <t>197505102009011016</t>
  </si>
  <si>
    <t>3404071005750014</t>
  </si>
  <si>
    <t>Manajemen  UPN Veteran Yogyakarta Tahun 2000</t>
  </si>
  <si>
    <t>Sosiologi (Kebijakan dan Kesejahteraan Sosial UGM   Tahun 2006</t>
  </si>
  <si>
    <t>Kebijakan Kesejahteraan Sosial</t>
  </si>
  <si>
    <t xml:space="preserve">Sekretaris Program Studi Magister (S2) Ilmu Kesejahteraan Sosial  </t>
  </si>
  <si>
    <t>Dr. Mohammad Zamroni, S.Sos.I.,M.Si.</t>
  </si>
  <si>
    <t>P 437829</t>
  </si>
  <si>
    <t>197807172009011012</t>
  </si>
  <si>
    <t>3471131707780004</t>
  </si>
  <si>
    <t>Komunikasi dan Penyiaran Islam  IAIN Sunan Kalijaga  Tahun 2003</t>
  </si>
  <si>
    <t>Ilmu Komunikasi UI   Tahun 2006</t>
  </si>
  <si>
    <t>Ilmu Komunikasi UNPAD Tahun 2022</t>
  </si>
  <si>
    <t>0517077802</t>
  </si>
  <si>
    <t>Ilmu komunikasi</t>
  </si>
  <si>
    <t>Siti Solechah, S.Sos.I., M.Si.</t>
  </si>
  <si>
    <t>P. 512924</t>
  </si>
  <si>
    <t>Banjarnegara</t>
  </si>
  <si>
    <t>198305192009122002</t>
  </si>
  <si>
    <t>3304065945830006</t>
  </si>
  <si>
    <t xml:space="preserve">Pengembangan Masyarakat Islam  UIN Sunan Kalijaga   Tahun 2006 </t>
  </si>
  <si>
    <t>Interdisiplinary Islamic Studies Kons. Pekerjaan Sosial  UIN Sunan Kalijaga  Tahun 2009</t>
  </si>
  <si>
    <t>Praktikum Pekerjaan Sosial</t>
  </si>
  <si>
    <t>Noorkamilah, S.Ag.,M.Si</t>
  </si>
  <si>
    <t>N. 044383</t>
  </si>
  <si>
    <t>197404082006042002</t>
  </si>
  <si>
    <t>3402124804740002</t>
  </si>
  <si>
    <t>01-10-2016</t>
  </si>
  <si>
    <t>Kependidikan Islam  IAIN Sunan Kalijaga  Tahun 2001</t>
  </si>
  <si>
    <t>Sosiologi   UI  Tahun 2006</t>
  </si>
  <si>
    <t>Kesejahteraan Sosial</t>
  </si>
  <si>
    <t>Dr. Maryono, S. Ag., M. Pd.</t>
  </si>
  <si>
    <t>M 215838</t>
  </si>
  <si>
    <t>197010262005011005</t>
  </si>
  <si>
    <t>3404142610710001</t>
  </si>
  <si>
    <t>Aqidah Filsafat  IAIN Sunan Kalijaga  Tahun 1999</t>
  </si>
  <si>
    <t>Manajemen Pendidikan UNY  Tahun 2003</t>
  </si>
  <si>
    <t>Manajemen Pendidikan UNY  Tahun 2019</t>
  </si>
  <si>
    <t>Ilmu Manajemen Organisasi</t>
  </si>
  <si>
    <t>Nanang Mizwar Hasyim, S.Sos., M.Si.</t>
  </si>
  <si>
    <t>Bojonegoro</t>
  </si>
  <si>
    <t>198403072011011013</t>
  </si>
  <si>
    <t>3622160703840008</t>
  </si>
  <si>
    <t>IAIN Sunan Ampel  Ilmu Komunikasi  Tahun 2007</t>
  </si>
  <si>
    <t>Univ. Dr. Sutomo  Ilmu Komunikasi  Tahun 2009</t>
  </si>
  <si>
    <t>Ilmu Komunikasi Massa</t>
  </si>
  <si>
    <t>Muhammad Izzul Haq, S.Sos., M.Sc.</t>
  </si>
  <si>
    <t>P 437831</t>
  </si>
  <si>
    <t>Jombang</t>
  </si>
  <si>
    <t>23-08-1981</t>
  </si>
  <si>
    <t>198108232009011007</t>
  </si>
  <si>
    <t>3517102308810001</t>
  </si>
  <si>
    <t>01-10-2019</t>
  </si>
  <si>
    <t>Ilmu Sosiatri  UGM  Tahun 2006</t>
  </si>
  <si>
    <t xml:space="preserve">Social Policy and Development   University of London  Tahun 2007 </t>
  </si>
  <si>
    <t>01-09-2046</t>
  </si>
  <si>
    <t>Sosiologi Kebijakan Sosial</t>
  </si>
  <si>
    <t xml:space="preserve">Ketua Program Studi Ilmu Kesejahteraan Sosial  </t>
  </si>
  <si>
    <t>Dra. Evi Septiani Tavip Hayati, M.Si</t>
  </si>
  <si>
    <t>G.013071</t>
  </si>
  <si>
    <t>196409231992032001</t>
  </si>
  <si>
    <t>3471136309640002</t>
  </si>
  <si>
    <t>Perbandingan Agama  IAIN Sunan Kalijaga  Tahun 1991</t>
  </si>
  <si>
    <t>Komunikasi Dakwah</t>
  </si>
  <si>
    <t>Achmad Muhamad, S.Ag., M.Ag.</t>
  </si>
  <si>
    <t>J 090954</t>
  </si>
  <si>
    <t>197207192000031002</t>
  </si>
  <si>
    <t>3471131907720006</t>
  </si>
  <si>
    <t>Agama dan Filsafat Kons. Filsafat Islam  IAIN Sunan Kalijaga  Tahun 1999</t>
  </si>
  <si>
    <t>Kepemimpinan Islam</t>
  </si>
  <si>
    <t>Saptoni, S.Ag., M.A.</t>
  </si>
  <si>
    <t>J. 009919</t>
  </si>
  <si>
    <t>197302211999031002</t>
  </si>
  <si>
    <t>3402132102730002</t>
  </si>
  <si>
    <t>Perandilan Agama  IAIN Sunan Kalijaga   Tahun 1997</t>
  </si>
  <si>
    <t>Leiden University Netherlands  Islamologie Tahun  2004</t>
  </si>
  <si>
    <t>Ushul Figh</t>
  </si>
  <si>
    <t>Ketua Program Studi Komunikasi dan Penyiaran Islam</t>
  </si>
  <si>
    <t>Siti Aminah, S.Sos.I., M.Si.</t>
  </si>
  <si>
    <t>P. 684479</t>
  </si>
  <si>
    <t>198308112011012010</t>
  </si>
  <si>
    <t>3208015108830002</t>
  </si>
  <si>
    <t>Pengembangan Masyarakat Islam  UIN Sunan Kalijaga  Tahun 2006</t>
  </si>
  <si>
    <t>Interdisciplinary Islamic Studies  Kons. Pekerjaan Sosial  UIN Sunan Kalijaga  Tahun 2010</t>
  </si>
  <si>
    <t>2011088301</t>
  </si>
  <si>
    <t>Psikologi Terapan Pemberdayaan Masyarakat</t>
  </si>
  <si>
    <t>Ketua Program Studi Pengembangan Masyarakat Islam</t>
  </si>
  <si>
    <t>Aris Risdiana, S.Sos.I., MM.</t>
  </si>
  <si>
    <t>198208042011011007</t>
  </si>
  <si>
    <t>3314135207850002</t>
  </si>
  <si>
    <t>Manajemen Dakwah  UIN Sunan Kalijaga  Tahun 2005</t>
  </si>
  <si>
    <t>Magister Manajemen Konsentrasi Manajemen SDM  UMY  Tahun 2010</t>
  </si>
  <si>
    <t>0504088201</t>
  </si>
  <si>
    <t>Manajemen SDM</t>
  </si>
  <si>
    <t>Anggota Pusat Pengembangan Bisnis</t>
  </si>
  <si>
    <t>Citra Widyastuti, M.Psi.</t>
  </si>
  <si>
    <t>B 01034724</t>
  </si>
  <si>
    <t>Mataram</t>
  </si>
  <si>
    <t>198609082018012002</t>
  </si>
  <si>
    <t>3402164809860003</t>
  </si>
  <si>
    <t>Psikologi  UII  Tahun 2008</t>
  </si>
  <si>
    <t>Profesi Psikologi UGM    Tahun 2012</t>
  </si>
  <si>
    <t>232100519176</t>
  </si>
  <si>
    <t>2008098602</t>
  </si>
  <si>
    <t>Konseling Rehabilitasi</t>
  </si>
  <si>
    <t>Koordinator Divisi Konsultasi  dan Bimbingan Karir pada CENDI</t>
  </si>
  <si>
    <t>Rahadiyand Aditya, M.A.</t>
  </si>
  <si>
    <t xml:space="preserve">Bekasi </t>
  </si>
  <si>
    <t xml:space="preserve">199306102019031009 </t>
  </si>
  <si>
    <t>3275051006930009</t>
  </si>
  <si>
    <t>Pembangunan Sosial dan Kesejahteraan UGM Tahun 2016</t>
  </si>
  <si>
    <t>2006109302</t>
  </si>
  <si>
    <t>Pengembangan Masyarakat Islam</t>
  </si>
  <si>
    <t>Arya Fendha Ibnu Shina, M.Si.</t>
  </si>
  <si>
    <t xml:space="preserve">199006282019032022 </t>
  </si>
  <si>
    <t>3308026806900003</t>
  </si>
  <si>
    <t>UNDIP Tahun 2012</t>
  </si>
  <si>
    <t>Statistika Institut Teknologi Sepuluh Nopember Tahun 2015</t>
  </si>
  <si>
    <t>232100519184</t>
  </si>
  <si>
    <t>2028069001</t>
  </si>
  <si>
    <t>Muhamad Lutfi Habibi, M.A.</t>
  </si>
  <si>
    <t xml:space="preserve">199103292019031013 </t>
  </si>
  <si>
    <t>3308102903910002</t>
  </si>
  <si>
    <t>UNY Tahun 2013</t>
  </si>
  <si>
    <t>Ilmu Komunikasi UGM Tahun 2016</t>
  </si>
  <si>
    <t xml:space="preserve">232100519181 </t>
  </si>
  <si>
    <t>Desain Komunikasi Visual dan Animasi</t>
  </si>
  <si>
    <t>Ferra Puspito Sari, M.Pd.</t>
  </si>
  <si>
    <t xml:space="preserve">199102152019032018 </t>
  </si>
  <si>
    <t>3577015502910001</t>
  </si>
  <si>
    <t>Univ. Negeri Surabaya Tahun 2013</t>
  </si>
  <si>
    <t>Pendidikan Luar Biasa Universitas Negeri Surabaya Tahun 2016</t>
  </si>
  <si>
    <t>232100519174</t>
  </si>
  <si>
    <t>2015029102</t>
  </si>
  <si>
    <t>Konseling Kebutuhan Khusus</t>
  </si>
  <si>
    <t>Shofi'unnafi, M.M.</t>
  </si>
  <si>
    <t>199208132019031006</t>
  </si>
  <si>
    <t>3318011308920001</t>
  </si>
  <si>
    <t>UIN Sunan Kalijaga Tahun 2014</t>
  </si>
  <si>
    <t>Manajemen UII Tahun 2017</t>
  </si>
  <si>
    <t>232100519182</t>
  </si>
  <si>
    <t>2013089201</t>
  </si>
  <si>
    <t>Manajemen Wisata Keagamaan</t>
  </si>
  <si>
    <t>Ahmad Izudin, M.Si.</t>
  </si>
  <si>
    <t>Sukabumi</t>
  </si>
  <si>
    <t xml:space="preserve">198909122019031008 </t>
  </si>
  <si>
    <t>3202241209890004</t>
  </si>
  <si>
    <t>UIN Sunan Kalijaga Tahun 2013</t>
  </si>
  <si>
    <t>Interdisiplinary Islamic Studies Konsentrasi Pekerjaan Sosial UIN Sunan Kalijaga Tahun 2015</t>
  </si>
  <si>
    <t>232100519192</t>
  </si>
  <si>
    <t>2112098901</t>
  </si>
  <si>
    <t>Pembangunan Sosial</t>
  </si>
  <si>
    <t>Sekretaris Program Studi Magister (S2) Pengembangan Masyarakat Islam</t>
  </si>
  <si>
    <t>Beti Nur Hayati, M.A.</t>
  </si>
  <si>
    <t xml:space="preserve">199310122019032011 </t>
  </si>
  <si>
    <t>3309125210939002</t>
  </si>
  <si>
    <t>UGM Tahun 2016</t>
  </si>
  <si>
    <t>Pembangunan Sosial UGM Tahun 2018</t>
  </si>
  <si>
    <t>232100519180</t>
  </si>
  <si>
    <t>2012109301</t>
  </si>
  <si>
    <t>Pemberdayaan Masyarakat</t>
  </si>
  <si>
    <t>Mochammad Sinung Restendy, M.Sos.</t>
  </si>
  <si>
    <t>Tulungagung</t>
  </si>
  <si>
    <t xml:space="preserve">198904192019031009 </t>
  </si>
  <si>
    <t>3504021904890004</t>
  </si>
  <si>
    <t>STAIN Tulungaggung Tahun 2011</t>
  </si>
  <si>
    <t>Komunikasi Penyiaran Islam UIN Sunan Ampel Surabaya Tahun 2017</t>
  </si>
  <si>
    <t>232100519179</t>
  </si>
  <si>
    <t>2019048901</t>
  </si>
  <si>
    <t>Jurnalistik</t>
  </si>
  <si>
    <t>Anggi Jatmiko, M.A.</t>
  </si>
  <si>
    <t xml:space="preserve">199208202019031007 </t>
  </si>
  <si>
    <t>3402072008920002</t>
  </si>
  <si>
    <t>Interdisciplinary Islamic Studies Kons. Bimbingan dan Konseling Islam UIN Sunan Kalijaga Tahun 2017</t>
  </si>
  <si>
    <t>232100519178</t>
  </si>
  <si>
    <t>2020089201</t>
  </si>
  <si>
    <t>Bimbingan dan Konseling Islam</t>
  </si>
  <si>
    <t>Sekretaris Program Studi Bimbingan dan Konseling Islam</t>
  </si>
  <si>
    <t>Seiren Ikhtiara, M.A.</t>
  </si>
  <si>
    <t>Bengkulu</t>
  </si>
  <si>
    <t xml:space="preserve">199106112019032027 </t>
  </si>
  <si>
    <t>1771035106910002</t>
  </si>
  <si>
    <t>Universitas Bengkulu Tahun 2014</t>
  </si>
  <si>
    <t>Ilmu Komunikasi UGM Tahun 2017</t>
  </si>
  <si>
    <t>232100519185</t>
  </si>
  <si>
    <t>0511069103</t>
  </si>
  <si>
    <t>Dr. Muh. Ulil Absor, S.H.I., MA.</t>
  </si>
  <si>
    <t>P. 586725</t>
  </si>
  <si>
    <t>Jontlak Praya, Lombok</t>
  </si>
  <si>
    <t>198010182009011012</t>
  </si>
  <si>
    <t>4701141810800001</t>
  </si>
  <si>
    <t>IAIN Sunan Kalijaga  Perbandingan Mazhab dan Hukum  Tahun 2003</t>
  </si>
  <si>
    <t>Studi Islam (Kons. Social Work) UIN Sunan Kalijaga  Tahun 2006</t>
  </si>
  <si>
    <t>Demographic And Social Research The Australian National University Tahun 2021</t>
  </si>
  <si>
    <t>Intervensi Pekerjaan Sosial</t>
  </si>
  <si>
    <t xml:space="preserve">Ketua Program Studi Magister (S2) Ilmu Kesejahteraan Sosial  </t>
  </si>
  <si>
    <t>Sudharno Dwi Yuwono, M.Pd.</t>
  </si>
  <si>
    <t>Banjar Negara</t>
  </si>
  <si>
    <t xml:space="preserve">198905202019031009 </t>
  </si>
  <si>
    <t>3304092005890001</t>
  </si>
  <si>
    <t>Universitas Negeri Jakarta Tahun 2014</t>
  </si>
  <si>
    <t>Magister Bimbingan Konseling Univ. Negeri Jakarta Tahun 2016</t>
  </si>
  <si>
    <t>0320058904</t>
  </si>
  <si>
    <t>Mikro Konseling</t>
  </si>
  <si>
    <t xml:space="preserve">Sekretaris Program Studi Magister (S2) Bimbingan dan Konseling Islam </t>
  </si>
  <si>
    <t>Reza Mina Pahlewi, M.A.</t>
  </si>
  <si>
    <t xml:space="preserve">199007202019031009 </t>
  </si>
  <si>
    <t>3404122007900004</t>
  </si>
  <si>
    <t>Universitas PGRI Yogyakarta Tahun 2014</t>
  </si>
  <si>
    <t>Interdisciplinary Islamic Studies Konsentrasi Bimbingan dan Konseling Islam UIN Sunan Kalijaga Tahun 2018</t>
  </si>
  <si>
    <t>2020079001</t>
  </si>
  <si>
    <t>Psikoterapi Islam</t>
  </si>
  <si>
    <t>Nur Fitriyani Hardi, M.Psi.</t>
  </si>
  <si>
    <t>Ujung Pandang</t>
  </si>
  <si>
    <t xml:space="preserve">199003272019032016 </t>
  </si>
  <si>
    <t>7371106703900004</t>
  </si>
  <si>
    <t>Universitas Negeri Makassar Tahun 2013</t>
  </si>
  <si>
    <t>Magister Psikologi Profesi UGM Tahun 2017</t>
  </si>
  <si>
    <t>2027039001</t>
  </si>
  <si>
    <t>Dosen Konseling Krisis</t>
  </si>
  <si>
    <t>Munif Solihan, MPA.</t>
  </si>
  <si>
    <t xml:space="preserve">198512092019031002 </t>
  </si>
  <si>
    <t>3323040912850003</t>
  </si>
  <si>
    <t>Administrasi Publik UGM Tahun 2010</t>
  </si>
  <si>
    <t>2009128502</t>
  </si>
  <si>
    <t>Manajemen Zakat Infak dan Sodaqoh</t>
  </si>
  <si>
    <t xml:space="preserve">Ketua Program Studi Manajemen Dakwah </t>
  </si>
  <si>
    <t>Idan Ramdani, M.A.</t>
  </si>
  <si>
    <t xml:space="preserve">199303192019031009 </t>
  </si>
  <si>
    <t>3207361903930003</t>
  </si>
  <si>
    <t>Interdisciplinary Islamic Studies UIN Sunan Kalijaga Tahun 2018</t>
  </si>
  <si>
    <t>Ilmu Kesejahteraan Sosial</t>
  </si>
  <si>
    <t>Khotibul Umam, M.Si.</t>
  </si>
  <si>
    <t xml:space="preserve">198805032019031014 </t>
  </si>
  <si>
    <t>3301110305880002</t>
  </si>
  <si>
    <t>UIN Sunan Kalijaga Tahun 2011</t>
  </si>
  <si>
    <t>Interdisciplinary Islamic Studies Kons. Pekerjaan Sosial UIN Sunan Kalijaga Tahun 2013</t>
  </si>
  <si>
    <t>2103058801</t>
  </si>
  <si>
    <t>Sekretaris Program Studi Ilmu Kesejahteraan Sosial</t>
  </si>
  <si>
    <t>Muhammad Irfai Muslim, M.Si.</t>
  </si>
  <si>
    <t xml:space="preserve">198812152019031009 </t>
  </si>
  <si>
    <t>3209261512880001</t>
  </si>
  <si>
    <t>UIN Syarif Hidayatullah Tahun 2013</t>
  </si>
  <si>
    <t>Ilmu Manajemen IPB Tahun 2017</t>
  </si>
  <si>
    <t>2015128804</t>
  </si>
  <si>
    <t xml:space="preserve">Manajemen Haji dan Umroh  </t>
  </si>
  <si>
    <t>Abidah Muflihati, S.Th.I., M.Si</t>
  </si>
  <si>
    <t>J 044383</t>
  </si>
  <si>
    <t>Pemalang</t>
  </si>
  <si>
    <t>17-03-1977</t>
  </si>
  <si>
    <t>197703172006042001</t>
  </si>
  <si>
    <t>3402155703770004</t>
  </si>
  <si>
    <t>III/a</t>
  </si>
  <si>
    <t>01-08-2010</t>
  </si>
  <si>
    <t>IAIN Sunan Kalijaga  Tafsir Hadis  Tahun 2002</t>
  </si>
  <si>
    <t>Pekerjaan Sosial</t>
  </si>
  <si>
    <t>Arin Mamlakah Kalamika, M.A.</t>
  </si>
  <si>
    <t xml:space="preserve">198809052019032012 </t>
  </si>
  <si>
    <t>3402134509880002</t>
  </si>
  <si>
    <t>UGM Tahun 2011</t>
  </si>
  <si>
    <t>Pembangunan Sosial dan Kesejahteraan UGM Tahun 2013</t>
  </si>
  <si>
    <t>2005098801</t>
  </si>
  <si>
    <t>Bayu Mitra Adhyatma Kusuma, M.AP.</t>
  </si>
  <si>
    <t>Banyuwangi</t>
  </si>
  <si>
    <t xml:space="preserve">199004072019031014 </t>
  </si>
  <si>
    <t>3510060704900003</t>
  </si>
  <si>
    <t>UNBRAW Tahun 2012</t>
  </si>
  <si>
    <t>Ilmu Administrasi Negara/Publik Universitas Brawijaya Tahun 2014</t>
  </si>
  <si>
    <t>2007049002</t>
  </si>
  <si>
    <t>Enterpreneurship</t>
  </si>
  <si>
    <t>Widowati Maisarah, M.A.</t>
  </si>
  <si>
    <t xml:space="preserve">198401142019032005 </t>
  </si>
  <si>
    <t>3402155401840001</t>
  </si>
  <si>
    <t>UGM Tahun 2009</t>
  </si>
  <si>
    <t>Ilmu Komunikasi UGM Tahun 2012</t>
  </si>
  <si>
    <t xml:space="preserve">2014018402 </t>
  </si>
  <si>
    <t>Cybermedia</t>
  </si>
  <si>
    <t>Nitra Galih Imansari, M.Sos.</t>
  </si>
  <si>
    <t>199409152020122008</t>
  </si>
  <si>
    <t>3524075509940001</t>
  </si>
  <si>
    <t xml:space="preserve"> Komunikasi Penyiaran Islam UIN Sunan Ampel Surabaya Tahun 2019</t>
  </si>
  <si>
    <t>Produksi Acara TV</t>
  </si>
  <si>
    <t>Petugas Pelaksana Sekretaris Program Studi Komunikasi dan Penyiaran Islam</t>
  </si>
  <si>
    <t>Muhammad Diak Udin, M.Sos.</t>
  </si>
  <si>
    <t>Kendari</t>
  </si>
  <si>
    <t>198812242020121004</t>
  </si>
  <si>
    <t>3505022412880001</t>
  </si>
  <si>
    <t>2124128804</t>
  </si>
  <si>
    <t xml:space="preserve">Sosiologi Komunikasi </t>
  </si>
  <si>
    <t>Muhamad Rashif Hilmi, S.Si., M.Sc.</t>
  </si>
  <si>
    <t>199203092020121001</t>
  </si>
  <si>
    <t>3471120903920001</t>
  </si>
  <si>
    <t>Statistik UGM Tahun 2018</t>
  </si>
  <si>
    <t>2009039203</t>
  </si>
  <si>
    <t>Irawan Wibisono, M.I.Kom</t>
  </si>
  <si>
    <t>198710302020121003</t>
  </si>
  <si>
    <t>3314133010870001</t>
  </si>
  <si>
    <t>Ilmu Komunikasi UNS Tahun 2018</t>
  </si>
  <si>
    <t>2030108703</t>
  </si>
  <si>
    <t>Komunikasi Publik dan Komunikasi Media Massa</t>
  </si>
  <si>
    <t>Taufik Rahman, M.Sos.</t>
  </si>
  <si>
    <t>Medan</t>
  </si>
  <si>
    <t>198612152020121003</t>
  </si>
  <si>
    <t>1271021512860002</t>
  </si>
  <si>
    <t>Komunikasi dan Penyiaran Islam UIN Sumatera Utara Medan Tahun 2019</t>
  </si>
  <si>
    <t>2015128603</t>
  </si>
  <si>
    <t>Nurul Fajriyah Prahastuti, S.Psi., M.A.</t>
  </si>
  <si>
    <t>199201122020122011</t>
  </si>
  <si>
    <t>3302085201920002</t>
  </si>
  <si>
    <t>Psikometri UGM Tahun 2018</t>
  </si>
  <si>
    <t>2012019204</t>
  </si>
  <si>
    <t>Statistik dan Psikometri</t>
  </si>
  <si>
    <t>Dian Eka Permanasari, S.Ds., M.A.</t>
  </si>
  <si>
    <t>Surabaya</t>
  </si>
  <si>
    <t>199103222020122011</t>
  </si>
  <si>
    <t>3578016203910001</t>
  </si>
  <si>
    <t>Ilmu Komunikasi UGM Tahun 2019</t>
  </si>
  <si>
    <t>2022039104</t>
  </si>
  <si>
    <t>Desain Komunikasi</t>
  </si>
  <si>
    <t>Halimatus Sa'diyah, S.I.Kom, M.I.Kom</t>
  </si>
  <si>
    <t>Bekasi</t>
  </si>
  <si>
    <t>198904252020122009</t>
  </si>
  <si>
    <t>2322076504890001</t>
  </si>
  <si>
    <t>Ilmu Komunikasi UNDIP Tahun 2014</t>
  </si>
  <si>
    <t>0525048901</t>
  </si>
  <si>
    <t>Plt. Sekretaris Program Studi  Pengembangan Masyarakat Islam</t>
  </si>
  <si>
    <t>Dr. Muhamad Rudi Wijaya, M.Pd.I</t>
  </si>
  <si>
    <t>Lampung Timur</t>
  </si>
  <si>
    <t>‌198906102024031001</t>
  </si>
  <si>
    <t>‌1807061006890001</t>
  </si>
  <si>
    <t>‌S-3 PENGEMBANGAN MASYARAKAT Tahun 2020</t>
  </si>
  <si>
    <t>C. FAKULTAS SYARI'AH DAN HUKUM</t>
  </si>
  <si>
    <t>Prof. Dr. H.Syamsul Anwar, MA</t>
  </si>
  <si>
    <t>E. 189731</t>
  </si>
  <si>
    <t>Kepulauan Riau</t>
  </si>
  <si>
    <t>195602171983031003</t>
  </si>
  <si>
    <t>3471031702560002</t>
  </si>
  <si>
    <t>Perdata Pidana Islam IAIN Sunan Kalijaga Tahun 1981</t>
  </si>
  <si>
    <t>Aqidah dan Filsafat IAIN Sunan Kalijaga Tahun 1991</t>
  </si>
  <si>
    <t xml:space="preserve"> Studi Islam IAIN Sunan Kalijaga Tahun 2001</t>
  </si>
  <si>
    <t>Ilmu Syari'ah (S2)</t>
  </si>
  <si>
    <t>Prof. Drs. K.H. Yudian Wahyudi, MA, Ph.D</t>
  </si>
  <si>
    <t>E.717321</t>
  </si>
  <si>
    <t>Balikpapan</t>
  </si>
  <si>
    <t>196004171989031001</t>
  </si>
  <si>
    <t>3471131704600002</t>
  </si>
  <si>
    <t>Peradilan Agama IAIN Sunan Kalijaga Tahun 1987</t>
  </si>
  <si>
    <t>Islamic Studies Mc.Gill University Tahun 1993</t>
  </si>
  <si>
    <t>Islamic Studies Mc.Gill University Tahun  2002</t>
  </si>
  <si>
    <t>09210050298</t>
  </si>
  <si>
    <t>2017046001</t>
  </si>
  <si>
    <t>Ilmu Syari'ah (S3)</t>
  </si>
  <si>
    <t>Filsafat Hukum Islam</t>
  </si>
  <si>
    <t>Kepala BPIP (TMT 5 Februari 2020)</t>
  </si>
  <si>
    <t>Prof. Dr. Susiknan, M.Ag.</t>
  </si>
  <si>
    <t>C.173670</t>
  </si>
  <si>
    <t>196806111994031003</t>
  </si>
  <si>
    <t>3402121106680003</t>
  </si>
  <si>
    <t>Peradilan Agama IAIN Sunan Kalijaga Tahun 1992</t>
  </si>
  <si>
    <t>Aqidah Filsafat IAIN Sunan Kalijaga Tahun 1998</t>
  </si>
  <si>
    <t>Studi Islam UIN Sunan Kalijaga Tahun 2007</t>
  </si>
  <si>
    <t>09210050300</t>
  </si>
  <si>
    <t>Perbandingan Mazhab (S1)</t>
  </si>
  <si>
    <t>Hukum Islam di Indonesia</t>
  </si>
  <si>
    <t>Prof. H. Ratno Lukito, MA, DCL</t>
  </si>
  <si>
    <t>F.106448</t>
  </si>
  <si>
    <t>196803221993031001</t>
  </si>
  <si>
    <t>3471132203680001</t>
  </si>
  <si>
    <t>Islamic Studies Mc.Gill University Tahun 1997</t>
  </si>
  <si>
    <t>Civil Law McGill University Tahun 2006</t>
  </si>
  <si>
    <t>Perbandingan Hukum</t>
  </si>
  <si>
    <t>Prof. Dr. Drs. Makhrus, S.H., M.Hum.</t>
  </si>
  <si>
    <t>F. 111337</t>
  </si>
  <si>
    <t>196802021993031003</t>
  </si>
  <si>
    <t>3404070202680003</t>
  </si>
  <si>
    <t>Muamalat Jinayat  IAIN Sunan Kalijaga Tahun 1992 / Ilmu Hukum Univ. Cokroaminoto Yogyakarta Tahun 2014</t>
  </si>
  <si>
    <t>Ilmu Hukum UII Tahun 1999</t>
  </si>
  <si>
    <t>Ilmu Hukum UII Tahun  2011</t>
  </si>
  <si>
    <t>092100500232</t>
  </si>
  <si>
    <t>Ilmu Hukum</t>
  </si>
  <si>
    <t>Prof. Dr. H.Kamsi, MA</t>
  </si>
  <si>
    <t>E.323823</t>
  </si>
  <si>
    <t>195702071987031003</t>
  </si>
  <si>
    <t>5471130702570001</t>
  </si>
  <si>
    <t>Peradilan Agama IAIN Sunan Kalijaga Tahun  1983</t>
  </si>
  <si>
    <t>Aqidah Filsafat IAIN Sunan Kalijaga Tahun 1991</t>
  </si>
  <si>
    <t>Politik Islam UMY Tahun 2012</t>
  </si>
  <si>
    <t>092100500195</t>
  </si>
  <si>
    <t>Sejarah Peradilan Agama</t>
  </si>
  <si>
    <t xml:space="preserve">Prof. Dr. Euis Nurlaelawati, M.A. </t>
  </si>
  <si>
    <t>M 236790</t>
  </si>
  <si>
    <t>Karawang</t>
  </si>
  <si>
    <t>197007041996032002</t>
  </si>
  <si>
    <t>3674064407700003</t>
  </si>
  <si>
    <t>Perbandingan Madzhab dan Hukum IAIN Syarif Hidayatullah Tahun 1995</t>
  </si>
  <si>
    <t xml:space="preserve">Islamic Studies Universiteit Leiden Tahun 2006 </t>
  </si>
  <si>
    <t>092100611240</t>
  </si>
  <si>
    <t>2004077001</t>
  </si>
  <si>
    <t>Ilmu Hukum Keluarga Islam</t>
  </si>
  <si>
    <t>Prof. Dr. Agus Moh. Najib, S.Ag., M.Ag.</t>
  </si>
  <si>
    <t>G.293143</t>
  </si>
  <si>
    <t>197104301995031001</t>
  </si>
  <si>
    <t>3404123004710004</t>
  </si>
  <si>
    <t>Tafsir Hadits IAIN Sunan Kalijaga Tahun 1989</t>
  </si>
  <si>
    <t>Aqidah dan Filsafat IAIN Sunan Kalijaga Tahun 2003</t>
  </si>
  <si>
    <t>Studi Islam, UIN Sunan Kalijaga 2011</t>
  </si>
  <si>
    <t>092100500253</t>
  </si>
  <si>
    <t>Direktur Analisis dan Penyelarasan pada BPIP TMT 15 Februari 2022</t>
  </si>
  <si>
    <t>Prof. Dr. Hj. Siti Ruhaini Dzuhayatin, MA</t>
  </si>
  <si>
    <t>E.944911</t>
  </si>
  <si>
    <t>Blora</t>
  </si>
  <si>
    <t>196305171990032002</t>
  </si>
  <si>
    <t>3471135705630001</t>
  </si>
  <si>
    <t>Perdata dan Pidana Islam IAIN Sunan Kalijaga Tahun  1988</t>
  </si>
  <si>
    <t>Sosiologi Monash University 1992</t>
  </si>
  <si>
    <t>Sosiologi UGM Tahun 2012</t>
  </si>
  <si>
    <t>092100500209</t>
  </si>
  <si>
    <t>Ham dan Gender</t>
  </si>
  <si>
    <t>menjabat Tenaga Profesional Kantor Staf Presiden TMT 1 Jan 20</t>
  </si>
  <si>
    <t>Dr. Ahmad Patiroy, M.Ag.</t>
  </si>
  <si>
    <t>F.108912</t>
  </si>
  <si>
    <t>196003271992031003</t>
  </si>
  <si>
    <t>3404102703600001</t>
  </si>
  <si>
    <t>Aqidah dan Filsafat IAIN Sunan Kalijaga Tahun 1998</t>
  </si>
  <si>
    <t>Studi Islam UIN Sunan Kalijaga Tahun ...</t>
  </si>
  <si>
    <t>092100500225</t>
  </si>
  <si>
    <t>Dr. H. M. Nur, S.Ag., M.Ag.</t>
  </si>
  <si>
    <t>G. 294463</t>
  </si>
  <si>
    <t>Pekanbaru</t>
  </si>
  <si>
    <t>197008161997031002</t>
  </si>
  <si>
    <t>3404111608700001</t>
  </si>
  <si>
    <t>01-04-2014</t>
  </si>
  <si>
    <t>01-05-2007</t>
  </si>
  <si>
    <t>Peradilan Agama IAIN Sunan Kalijaga Tahun 1994</t>
  </si>
  <si>
    <t xml:space="preserve">Aqidah dan Filsafat IAIN Sunan Kalijaga Tahun 1997 </t>
  </si>
  <si>
    <t>Studi Islam, UIN Sunan Kalijaga 2010</t>
  </si>
  <si>
    <t>092100500291</t>
  </si>
  <si>
    <t>Drs. Abd. Halim, M.Hum.</t>
  </si>
  <si>
    <t>E.934557</t>
  </si>
  <si>
    <t>Sumenep Masalembu</t>
  </si>
  <si>
    <t>196301191990031001</t>
  </si>
  <si>
    <t>3402120105550004</t>
  </si>
  <si>
    <t>Perdata dan Pidana Islam IAIN Sunan Kalijaga Tahun 1987</t>
  </si>
  <si>
    <t>UII Hukum Islam Tahun 1997</t>
  </si>
  <si>
    <t>092100500210</t>
  </si>
  <si>
    <t>Ilmu Fiqh</t>
  </si>
  <si>
    <t>Fatma Amilia, S.Ag., M.Si.</t>
  </si>
  <si>
    <t>G. 289539</t>
  </si>
  <si>
    <t>197205111996032002</t>
  </si>
  <si>
    <t>3402125105720003</t>
  </si>
  <si>
    <t>Muamalah Jinayat IAIN Sunan Kalijaga Tahun 1994</t>
  </si>
  <si>
    <t>Sosiologi UGM Tahun 2003</t>
  </si>
  <si>
    <t>092100500258</t>
  </si>
  <si>
    <t>Hukum Keluarga Islam (Ahwal Syakhsiyyah) (S1)</t>
  </si>
  <si>
    <t>Hukum Islam</t>
  </si>
  <si>
    <t>Udiyo Basuki, SH., M.Hum.</t>
  </si>
  <si>
    <t>J.050001</t>
  </si>
  <si>
    <t>Rakit Banjarnegara</t>
  </si>
  <si>
    <t>197308251999031004</t>
  </si>
  <si>
    <t>3404072508730004</t>
  </si>
  <si>
    <t>Ilmu Hukum Univ. Proklamasi 45 Tahun 1997</t>
  </si>
  <si>
    <t>Ilmu Hukum UGM Tahun 2006</t>
  </si>
  <si>
    <t>092100500318</t>
  </si>
  <si>
    <t>Dr. Hj. Siti Fatimah, SH, M.Hum.</t>
  </si>
  <si>
    <t>F 113274</t>
  </si>
  <si>
    <t>196502101993032001</t>
  </si>
  <si>
    <t>3404085002650003</t>
  </si>
  <si>
    <t>Hukum Tata Negara UII Tahun 1991</t>
  </si>
  <si>
    <t>Ilmu Hukum UII Tahun 2000</t>
  </si>
  <si>
    <t>Ilmu Hukum UII Tahun 2014</t>
  </si>
  <si>
    <t>092100500236</t>
  </si>
  <si>
    <t>Dr. Drs. Malik Ibrahim, M.Ag.</t>
  </si>
  <si>
    <t>F. 111338</t>
  </si>
  <si>
    <t>196608011993031002</t>
  </si>
  <si>
    <t>3404100108660001</t>
  </si>
  <si>
    <t>Agama dan Filsafat Konsentrasi Filsafat Islam IAIN Sunan Kalijaga Tahun  2004</t>
  </si>
  <si>
    <t>Politik Islam UIN Sunan Kalijaga Tahun 2018</t>
  </si>
  <si>
    <t>092100500308</t>
  </si>
  <si>
    <t>Ilmu Peradilan Agama di Indonesia</t>
  </si>
  <si>
    <t>H. Wawan Gunawan, S.Ag, M.Ag</t>
  </si>
  <si>
    <t>G.313918</t>
  </si>
  <si>
    <t>Garut</t>
  </si>
  <si>
    <t>196512081997031003</t>
  </si>
  <si>
    <t>3404100812650001</t>
  </si>
  <si>
    <t>Perbandingan Madzhab IAIN Sunan Kalijaga Tahun 1995</t>
  </si>
  <si>
    <t>Hukum Islam Kons. Muamalah UIN Sunan Kalijaga Tahun 2005</t>
  </si>
  <si>
    <t>092100500266</t>
  </si>
  <si>
    <t xml:space="preserve">Ushul Fiqh </t>
  </si>
  <si>
    <t>Prof. Dr. H. Riyanta, M.Hum.</t>
  </si>
  <si>
    <t>F.111336</t>
  </si>
  <si>
    <t>196604151993031002</t>
  </si>
  <si>
    <t>3402041504660001</t>
  </si>
  <si>
    <t>092100500306</t>
  </si>
  <si>
    <t>Prof. Dr. Ali Sodiqin, M.Ag.</t>
  </si>
  <si>
    <t>H. 068474</t>
  </si>
  <si>
    <t>Jepara</t>
  </si>
  <si>
    <t>197009121998031003</t>
  </si>
  <si>
    <t>3404101209700001</t>
  </si>
  <si>
    <t>Peradilan Agama IAIN Walisongo Tahun 1996</t>
  </si>
  <si>
    <t>Ilmu Agama Islam IAIN Ar-Raniry Tahun 1998</t>
  </si>
  <si>
    <t>Studi Islam UIN Sunan Kalijaga Tahun 2008</t>
  </si>
  <si>
    <t>092100500275</t>
  </si>
  <si>
    <t>Dekan Fak.Syari'ah dan Hukum Masa Jabatan 2024 - 2028</t>
  </si>
  <si>
    <t>Dr. Ahmad Bahiej, SH, M.Hum.</t>
  </si>
  <si>
    <t>J. 090947</t>
  </si>
  <si>
    <t>197506152000031001</t>
  </si>
  <si>
    <t>3402121506750004</t>
  </si>
  <si>
    <t>Ilmu Hukum Univ. Diponegoro Tahun 1998</t>
  </si>
  <si>
    <t>Ilmu Hukum Univ. Diponegoro Tahun 2002</t>
  </si>
  <si>
    <t>Ilmu Hukum UGM Tahun 2015</t>
  </si>
  <si>
    <t>092100500284</t>
  </si>
  <si>
    <t>Kakanwil Kementerian Agama Propinsi DIY</t>
  </si>
  <si>
    <t>Drs. H.Syafaul Mudawam, MA,MM</t>
  </si>
  <si>
    <t>E.509357</t>
  </si>
  <si>
    <t>196210041989031003</t>
  </si>
  <si>
    <t>3471030410620001</t>
  </si>
  <si>
    <t>Tafsir dan Hadits IAIN Sunan Kalijaga Tahun 1988</t>
  </si>
  <si>
    <t xml:space="preserve">Aqidah dan Filsafat IAIN Sunan Kalijaga Tahun 1995 /
Managemen Keuangan UII Tahun  2000
</t>
  </si>
  <si>
    <t>092100500203</t>
  </si>
  <si>
    <t>Hukum Ekonomi Syari'ah (Muamalah) (S1)</t>
  </si>
  <si>
    <t>Hadist Ahkam</t>
  </si>
  <si>
    <t>Dr. Hj. Widyarini, MM</t>
  </si>
  <si>
    <t>E. 066725</t>
  </si>
  <si>
    <t>196004071986012002</t>
  </si>
  <si>
    <t>3404124704600004</t>
  </si>
  <si>
    <t>Ekonomi Perusahaan UII Tahun 1984</t>
  </si>
  <si>
    <t>Magister Manajemen UGM Tahun 1994</t>
  </si>
  <si>
    <t>Studi Islam UIN Sunan Kalijaga Tahun  2020</t>
  </si>
  <si>
    <t>Dr. Kholid Zulfa, M.Si.</t>
  </si>
  <si>
    <t>G. 142959</t>
  </si>
  <si>
    <t>196607041994031002</t>
  </si>
  <si>
    <t>3402120407660005</t>
  </si>
  <si>
    <t>Perdata Pidana Islam IAIN Sunan Kalijaga Tahun 1993</t>
  </si>
  <si>
    <t>Politik Islam UMY Tahun 2021</t>
  </si>
  <si>
    <t>092100500311</t>
  </si>
  <si>
    <t>Fiqh Muamalah</t>
  </si>
  <si>
    <t xml:space="preserve">Ketua Program Studi Doktor Ilmu Syari'ah </t>
  </si>
  <si>
    <t>Dr. Mochamad Sodik,S.Sos.,M.Si.</t>
  </si>
  <si>
    <t>G. 278176</t>
  </si>
  <si>
    <t>196804161995031004</t>
  </si>
  <si>
    <t>3404101604680001</t>
  </si>
  <si>
    <t>Peradilan Agama IAIN Sunan Kalijaga Tahun 1993 / Sosiologi UGM Tahun 1996</t>
  </si>
  <si>
    <t>Sosiologi UGM Tahun 2015</t>
  </si>
  <si>
    <t>092100500251</t>
  </si>
  <si>
    <t>Wakil Rektor Bidang Administrasi Umum, Perencanaan dan Keuangan Periode 2024-2028</t>
  </si>
  <si>
    <t>Drs. M. Rizal Qosim, M.Si.</t>
  </si>
  <si>
    <t>F.106447</t>
  </si>
  <si>
    <t>Lampung Selatan</t>
  </si>
  <si>
    <t>196301311992031004</t>
  </si>
  <si>
    <t>3402123101630002</t>
  </si>
  <si>
    <t>Perdata Pidana Islam IAIN Sunan Kalijaga Tahun  1990</t>
  </si>
  <si>
    <t>Fiqh Siyasah</t>
  </si>
  <si>
    <t>Dr. Hamim Ilyas, M.Ag.</t>
  </si>
  <si>
    <t>E.938108</t>
  </si>
  <si>
    <t>196104011988031002</t>
  </si>
  <si>
    <t>3402120104610003</t>
  </si>
  <si>
    <t>Tafsir Hadits IAIN Sunan Kalijaga Tahun 1987</t>
  </si>
  <si>
    <t>Aqidah Filsafat IAIN Sunan Kalijaga Tahun 1996</t>
  </si>
  <si>
    <t>Program Doktor IAIN Sunan Kalijaga Tahun 2002</t>
  </si>
  <si>
    <t>092100500200</t>
  </si>
  <si>
    <t>Dr. H. Fathorrahman, S. Ag., M.Si.</t>
  </si>
  <si>
    <t>M 069687</t>
  </si>
  <si>
    <t>Sumenep Madura</t>
  </si>
  <si>
    <t>197608202005011005</t>
  </si>
  <si>
    <t>3402152008760004</t>
  </si>
  <si>
    <t>Perbandingan Mazhab dan Hukum IAIN Sunan Kalijaga Tahun 2000</t>
  </si>
  <si>
    <t>Studi Islam UIN Sunan Kalijaga Tahun 2015</t>
  </si>
  <si>
    <t>Sosiologi  Hukum Islam</t>
  </si>
  <si>
    <t xml:space="preserve">Sekretaris Program Studi Doktor Ilmu Syari'ah </t>
  </si>
  <si>
    <t>Dr.Ahmad Yani Anshori, S.Ag., M.Ag.</t>
  </si>
  <si>
    <t>H.068457</t>
  </si>
  <si>
    <t>197311051996031002</t>
  </si>
  <si>
    <t>3402120511730004</t>
  </si>
  <si>
    <t>Peradilan Agama IAIN Sunan Kalijaga Tahun 1995</t>
  </si>
  <si>
    <t>Magister Agama IAIN Syarif Hidayatullah Tahun 1999</t>
  </si>
  <si>
    <t>Pengkajian Islam UIN Syarif Hidayatullah Tahun 2006</t>
  </si>
  <si>
    <t>092100500149</t>
  </si>
  <si>
    <t>Iswantoro, S.H., MH.</t>
  </si>
  <si>
    <t>F.110298</t>
  </si>
  <si>
    <t>196610101992021001</t>
  </si>
  <si>
    <t>3404121010660005</t>
  </si>
  <si>
    <t>Hukum Perdata Universitas Janabadra Tahun 1991</t>
  </si>
  <si>
    <t>Ilmu Hukum UII Tahun 2003</t>
  </si>
  <si>
    <t>Hukum Agraria</t>
  </si>
  <si>
    <t>Yasin Baidi, S.Ag, M.Ag</t>
  </si>
  <si>
    <t>H. 068465</t>
  </si>
  <si>
    <t>197003021998031003</t>
  </si>
  <si>
    <t>3404080203700007</t>
  </si>
  <si>
    <t>Peradilan Agama IAIN Sunan Kalijaga Tahun  1996</t>
  </si>
  <si>
    <t>Hukum Islam Kons. Muammalah UIN Sunan Kalijaga Tahun 2005</t>
  </si>
  <si>
    <t>092100500270</t>
  </si>
  <si>
    <t>Fiqh Munakahat</t>
  </si>
  <si>
    <t>Ketua Program Studi Hukum Keluarga Islam</t>
  </si>
  <si>
    <t>Dr. Sri Wahyuni, S.Ag, M.Ag, M.Hum</t>
  </si>
  <si>
    <t>N 046751</t>
  </si>
  <si>
    <t>197701072006042002</t>
  </si>
  <si>
    <t>3521134701770001</t>
  </si>
  <si>
    <t>01-05-2017</t>
  </si>
  <si>
    <t>Jinayah Siyasah IAIN Sunan Kalijaga Tahun 2000 / Ilmu Hukum UCY Tahun 2014</t>
  </si>
  <si>
    <t>Hukum Islam Kons. Hukum Keluarga IAIN Sunan Kalijaga Tahun 2003 / Ilmu  Hukum UGM Tahun 2004</t>
  </si>
  <si>
    <t>Perbandingan Madzhab</t>
  </si>
  <si>
    <t>Dr. Lindra Darnela, S. Ag., M.Hum.</t>
  </si>
  <si>
    <t>M.069685</t>
  </si>
  <si>
    <t>Majalengka</t>
  </si>
  <si>
    <t>197901052005012003</t>
  </si>
  <si>
    <t>3402154501790002</t>
  </si>
  <si>
    <t>Aqidah dan Filsafat IAIN Sunan Kalijaga Tahun 2000</t>
  </si>
  <si>
    <t>Ilmu Hukum UGM Tahun 2004</t>
  </si>
  <si>
    <t>Hukum UII Tahun 2017</t>
  </si>
  <si>
    <t>Hukum Internasional</t>
  </si>
  <si>
    <t>Dr. Abdul Mujib, M.Ag.</t>
  </si>
  <si>
    <t>M. 048362</t>
  </si>
  <si>
    <t>Bima</t>
  </si>
  <si>
    <t>197012092003121002</t>
  </si>
  <si>
    <t>3402161202780002</t>
  </si>
  <si>
    <t>Muamalat Jinayat IAIN Sunan Kalijaga Tahun 1996</t>
  </si>
  <si>
    <t>Hukum Islam Kons. Mu'alamat IAIN Sunan Kalijaga Tahun 2000</t>
  </si>
  <si>
    <t>Fiqh Mu'amalat</t>
  </si>
  <si>
    <t>Dr. Ocktoberrinsyah, M.Ag.</t>
  </si>
  <si>
    <t>J. 089429</t>
  </si>
  <si>
    <t>Sungai Liat</t>
  </si>
  <si>
    <t>196810201998031002</t>
  </si>
  <si>
    <t>3310212010680002</t>
  </si>
  <si>
    <t>092100500324</t>
  </si>
  <si>
    <t>Fiqh Jinayat</t>
  </si>
  <si>
    <t>Wakil Dekan   Bid. Akademik Fakultas Syari'ah dan Hukum Masa Jabatan 2024-2028</t>
  </si>
  <si>
    <t>Siti Djazimah, S.Ag, M.Si</t>
  </si>
  <si>
    <t>G.289544</t>
  </si>
  <si>
    <t>197001251997032001</t>
  </si>
  <si>
    <t>3402106501700001</t>
  </si>
  <si>
    <t>Muamalat Jinayat IAIN Sunan Kalijaga Tahun  1996</t>
  </si>
  <si>
    <t>Studi Islam Kons. Ekonomi Islam UII Tahun  2005</t>
  </si>
  <si>
    <t>Fiqh Muamalat</t>
  </si>
  <si>
    <t>Drs. H. Agus Maftuh, M.Ag.</t>
  </si>
  <si>
    <t>F.109592</t>
  </si>
  <si>
    <t>196606201992031004</t>
  </si>
  <si>
    <t>3402152006660003</t>
  </si>
  <si>
    <t xml:space="preserve">Tafsir Hadits IAIN Sunan Kalijaga Tahun 1989 </t>
  </si>
  <si>
    <t>Ilmu Hadist</t>
  </si>
  <si>
    <t>Dra. Hj.Ermi Suhasti Syafe’i, M.Si.</t>
  </si>
  <si>
    <t>E.666149</t>
  </si>
  <si>
    <t>196209081989032006</t>
  </si>
  <si>
    <t>3404074809620003</t>
  </si>
  <si>
    <t>Filsafat UGM Tahun 1987</t>
  </si>
  <si>
    <t>Studi Islam Kons. Ekonomi Islam UII Tahun  2003</t>
  </si>
  <si>
    <t>Dr. Gusnam Haris, S.Ag.,M.Ag.</t>
  </si>
  <si>
    <t>H.068472</t>
  </si>
  <si>
    <t>Solok</t>
  </si>
  <si>
    <t>197208121998031004</t>
  </si>
  <si>
    <t>3402121208720010</t>
  </si>
  <si>
    <t xml:space="preserve"> Perbandingan Mazdhab dan Hukum IAIN Syarif Hidayatullah Tahun 1995</t>
  </si>
  <si>
    <t>Syari'ah IAIN Syarif Hidayatullah Tahun 1999</t>
  </si>
  <si>
    <t>Tarikh Tasyri'</t>
  </si>
  <si>
    <t>Dr. Samsul Hadi, S.Ag., M.Ag.</t>
  </si>
  <si>
    <t>J 090910</t>
  </si>
  <si>
    <t>197307082000031003</t>
  </si>
  <si>
    <t>3308080807730005</t>
  </si>
  <si>
    <t>Peradilan Agama IAIN Sunan Kalijaga Tahun  1997</t>
  </si>
  <si>
    <t>Studi Agama dan Filsafat Kons. Hubungan Antar Agama IAIN Sunan Kalijaga Tahun 1999</t>
  </si>
  <si>
    <t xml:space="preserve">Studi Islam UIN Sunan Kalijaga Tahun 2012 </t>
  </si>
  <si>
    <t>Ushul Fiqh/Fiqh</t>
  </si>
  <si>
    <t>Dr. Muhrisun, S.Ag., BSW., M.Ag., MSW.</t>
  </si>
  <si>
    <t>H.068473</t>
  </si>
  <si>
    <t>197105141998031004</t>
  </si>
  <si>
    <t>3404101405710003</t>
  </si>
  <si>
    <t xml:space="preserve">Pendidikan Agama Islam IAIN Walisongo Tahun 1995 / Social Work McGill University Canada Tahun 2003
</t>
  </si>
  <si>
    <t xml:space="preserve">Magister Agama IAIN Sumatera Utara Tahun 1999 / Social Work McGill University Canada Tahun 2005
</t>
  </si>
  <si>
    <t>Social Work, Australia, 2013</t>
  </si>
  <si>
    <t>Hukum Perlindungan Anak</t>
  </si>
  <si>
    <t>Dr. Abdul Mughits, S. Ag., M.Ag.</t>
  </si>
  <si>
    <t>M 069680</t>
  </si>
  <si>
    <t>197609202005011002</t>
  </si>
  <si>
    <t>3404072009760007</t>
  </si>
  <si>
    <t>Muamalat IAIN Sunan Kalijaga Tahun 2000</t>
  </si>
  <si>
    <t>Hukum Islam Kons. Muammalat IAIN Sunan Kalijaga Tahun 2003</t>
  </si>
  <si>
    <t>Studi Islam Kons. Ekonomi Islam UIN Sunan Kalijaga Tahun 2019</t>
  </si>
  <si>
    <t>Nurainun Mangunsong, SH., M.Hum.</t>
  </si>
  <si>
    <t>M 069681</t>
  </si>
  <si>
    <t>Jantuhan Golok</t>
  </si>
  <si>
    <t>197510102005012005</t>
  </si>
  <si>
    <t>3402125010750006</t>
  </si>
  <si>
    <t>Ilmu Hukum UII Tahun 2004</t>
  </si>
  <si>
    <t>Ketua Program Studi Ilmu Hukum</t>
  </si>
  <si>
    <t>Dr. Ahmad Bunyan Wahib, M.Ag., MA.</t>
  </si>
  <si>
    <t>H. 068467</t>
  </si>
  <si>
    <t>197503261998031002</t>
  </si>
  <si>
    <t>3402122603750003</t>
  </si>
  <si>
    <t>IAIN, F. Syariah, 1997</t>
  </si>
  <si>
    <t>Universitas Leiden, Sosiologi, 2002</t>
  </si>
  <si>
    <t>program the Doctor of Philosophy Programme by Research, UKM, 2007</t>
  </si>
  <si>
    <t>Dr. Mansur, S.Ag., M.Ag.</t>
  </si>
  <si>
    <t>N 046753</t>
  </si>
  <si>
    <t>30-06-1975</t>
  </si>
  <si>
    <t>197506302006041001</t>
  </si>
  <si>
    <t>3404073006750008</t>
  </si>
  <si>
    <t>Tafsir Hadis IAIN Sunan Kalijaga Tahun 1999</t>
  </si>
  <si>
    <t>Agama dan Filsafat Kons. Hubungan Antar Agama IAIN Sunan Kalijaga Tahun 2004</t>
  </si>
  <si>
    <t>Studi Islam UIN Sunan Kalijaga Tahun  2019</t>
  </si>
  <si>
    <t>Tafsir Ahkam</t>
  </si>
  <si>
    <t>Dr. Saifuddin, SHI., MSI.</t>
  </si>
  <si>
    <t>P. 513649</t>
  </si>
  <si>
    <t>Pamekasan</t>
  </si>
  <si>
    <t>197807152009121004</t>
  </si>
  <si>
    <t>3404101507780005</t>
  </si>
  <si>
    <t>Perbandingan Mazhab dan Hukum IAIN Sunan Kalijaga Tahun 2004</t>
  </si>
  <si>
    <t>Hukum Islam Kons. Studi Politik dan Pemerintahan dalam Islam UIN Sunan Kalijaga Tahun 2007</t>
  </si>
  <si>
    <t>Studi Islam UIN Sunan Kalijaga Tahun  2023</t>
  </si>
  <si>
    <t>Zakat dan Wakaf</t>
  </si>
  <si>
    <t>Wakil Dekan  Bid. Kemahasiswaan, dan Kerjasama  Fakultas Syari'ah dan Hukum Masa Jabatan 2024-2028</t>
  </si>
  <si>
    <t>Ahmad Anfasul Marom, SHI., MA.</t>
  </si>
  <si>
    <t>P. 513650</t>
  </si>
  <si>
    <t>198111072009121002</t>
  </si>
  <si>
    <t>3522100711810009</t>
  </si>
  <si>
    <t xml:space="preserve">Islamic Studies Leiden University Tahun 2009 </t>
  </si>
  <si>
    <t>Ilmu Politik</t>
  </si>
  <si>
    <t>Ach. Tahir, SHI., LL.M.</t>
  </si>
  <si>
    <t>P. 513651</t>
  </si>
  <si>
    <t>198006262009121002</t>
  </si>
  <si>
    <t>3402132606800005</t>
  </si>
  <si>
    <t>Jinayah Siyasah UIN Sunan Kalijaga Tahun 2005</t>
  </si>
  <si>
    <t>Ilmu Hukum UGM Tahun 2008</t>
  </si>
  <si>
    <t xml:space="preserve">Ilmu Hukum  </t>
  </si>
  <si>
    <t xml:space="preserve">Wakil Dekan  Bid. Administrasi Umum, Perencanaan dan Keuangan Fakultas Syari'ah dan Hukum Masa Jabatan 2024-2028  </t>
  </si>
  <si>
    <t>Dr. Zusiana Elly Triantini, S.H.I., M.S.I.</t>
  </si>
  <si>
    <t>P. 513646</t>
  </si>
  <si>
    <t>198203142009122003</t>
  </si>
  <si>
    <t>3316095403820002</t>
  </si>
  <si>
    <t>Hukum Islam Kons. Studi Politik dan Pemerintahan dalam Islam Tahun 2008</t>
  </si>
  <si>
    <t>Ilmu Politik, UGM Tahun 2024</t>
  </si>
  <si>
    <t>0514038202</t>
  </si>
  <si>
    <t>Vita Fitria, S.Ag, M.Ag.</t>
  </si>
  <si>
    <t>N 046755</t>
  </si>
  <si>
    <t>Kendal</t>
  </si>
  <si>
    <t>197108022006042001</t>
  </si>
  <si>
    <t>3402124208710002</t>
  </si>
  <si>
    <t>Peradilan Agama IAIN Sunan Kalijaga Tahun 1997</t>
  </si>
  <si>
    <t>Hukum Islam Kons. Hukum Keluarga IAIN Sunan Kalijaga Tahun 2004</t>
  </si>
  <si>
    <t>Hukum Perkawinan Islam</t>
  </si>
  <si>
    <t xml:space="preserve">Ketua Program Studi Perbandingan Madzhab </t>
  </si>
  <si>
    <t>Faisal Luqman Hakim, SH,M.Hum</t>
  </si>
  <si>
    <t>P. 171416</t>
  </si>
  <si>
    <t>19-07-1979</t>
  </si>
  <si>
    <t>197907192008011012</t>
  </si>
  <si>
    <t>3471121907790004</t>
  </si>
  <si>
    <t>01-04-2021</t>
  </si>
  <si>
    <t>Ilmu Hukum UII Tahun 2002</t>
  </si>
  <si>
    <t>Ilmu Hukum (Hukum Bisnis) UGM Tahun  2007</t>
  </si>
  <si>
    <t>01-08-2044</t>
  </si>
  <si>
    <t>Hukum Perdata</t>
  </si>
  <si>
    <t>Siti Jahroh, S.H.I., M.S.I.</t>
  </si>
  <si>
    <t>P. 513645</t>
  </si>
  <si>
    <t>197904182009122001</t>
  </si>
  <si>
    <t>3404075804790010</t>
  </si>
  <si>
    <t xml:space="preserve">Jinayah Siyasah IAIN Sunan Kalijaga Tahun 2003 </t>
  </si>
  <si>
    <t>Hukum Islam Kons. Hukum Keluarga UIN Sunan Kalijaga Tahun 2007</t>
  </si>
  <si>
    <t>Hukum Keluarga</t>
  </si>
  <si>
    <t xml:space="preserve">Ketua Program Studi Magister Ilmu Syari'ah </t>
  </si>
  <si>
    <t>Dr. Moh. Tamtowi, M.Ag.</t>
  </si>
  <si>
    <t>L. 055064</t>
  </si>
  <si>
    <t>197209031998031001</t>
  </si>
  <si>
    <t>3308210309720002</t>
  </si>
  <si>
    <t>Peradilan Agama IAIN Sunan Kalijaga Tahun 1996</t>
  </si>
  <si>
    <t>Agama dan Filsafat IAIN Sunan Kalijaga Tahun  1998</t>
  </si>
  <si>
    <t>112100911100064</t>
  </si>
  <si>
    <t>2003097203</t>
  </si>
  <si>
    <t>M. Misbahul Mujib, S.Ag., M.Hum.</t>
  </si>
  <si>
    <t>P. 684469</t>
  </si>
  <si>
    <t>197802122011011002</t>
  </si>
  <si>
    <t xml:space="preserve">Al-Ahwal Asy-Syakhsiyyah IAIN Sunan Kalijaga Tahun 2001 </t>
  </si>
  <si>
    <t>Ilmu Hukum UGM Tahun 2007</t>
  </si>
  <si>
    <t>Dr. Faiq Tobroni, M.H.</t>
  </si>
  <si>
    <t>198804022018011001</t>
  </si>
  <si>
    <t>3522130204880001</t>
  </si>
  <si>
    <t>Ilmu Hukum, Universitas Islam Indonesia Tahun 2011</t>
  </si>
  <si>
    <t>Ilmu Syari'ah Kons. Politik Hukum Islam UIN Sunan Kalijaga Tahun 2024</t>
  </si>
  <si>
    <t>222100517744</t>
  </si>
  <si>
    <t>2002048803</t>
  </si>
  <si>
    <t>Hukum dan HAM</t>
  </si>
  <si>
    <t>A Hashfi Luthfi, M.H.</t>
  </si>
  <si>
    <t>199111142018011003</t>
  </si>
  <si>
    <t>3324071411910003</t>
  </si>
  <si>
    <t>Ilmu Hukum Universitas Diponegoro Semarang Tahun 2017</t>
  </si>
  <si>
    <t>222100517750</t>
  </si>
  <si>
    <t>2014119101</t>
  </si>
  <si>
    <t>Hukum Perikatan Islam</t>
  </si>
  <si>
    <t>Ketua Program Studi Hukum Ekonomi Syari'ah</t>
  </si>
  <si>
    <t xml:space="preserve">Shohibul Adhkar, M.H. </t>
  </si>
  <si>
    <t>Malang</t>
  </si>
  <si>
    <t>198903182018011001</t>
  </si>
  <si>
    <t>3507091803890001</t>
  </si>
  <si>
    <t>Al- Ahwal Al-Syakhshiyyah UIN Maulana Malik Ibrahim Malang Tahun 2017</t>
  </si>
  <si>
    <t>232100519187</t>
  </si>
  <si>
    <t>2018038901</t>
  </si>
  <si>
    <t>Gugun El Guyanie, LL.M.</t>
  </si>
  <si>
    <t>198503012018011002</t>
  </si>
  <si>
    <t>3402150103850008</t>
  </si>
  <si>
    <t>Jinayah Siyasah UIN Sunan Kalijaga Tahun 2009</t>
  </si>
  <si>
    <t>Ilmu Hukum UGM Yogyakarta Tahun 2012</t>
  </si>
  <si>
    <t>222100517757</t>
  </si>
  <si>
    <t>2001038505</t>
  </si>
  <si>
    <t xml:space="preserve">Hukum Tata Negara  </t>
  </si>
  <si>
    <t xml:space="preserve">Ketua Program Studi Hukum Tata Negara </t>
  </si>
  <si>
    <t>Wardatul Fitri, M.H.</t>
  </si>
  <si>
    <t xml:space="preserve">199005112019032016 </t>
  </si>
  <si>
    <t>3404075904900001</t>
  </si>
  <si>
    <t>Ilmu Hukum UGM Tahun 2014</t>
  </si>
  <si>
    <t>2011059001</t>
  </si>
  <si>
    <t xml:space="preserve">Hukum Perdata </t>
  </si>
  <si>
    <t>Proborini Hastuti, M.H.</t>
  </si>
  <si>
    <t xml:space="preserve">199303142019032023 </t>
  </si>
  <si>
    <t>3310085403930001</t>
  </si>
  <si>
    <t>Magister Hukum UGM Tahun 2017</t>
  </si>
  <si>
    <t>0014039301</t>
  </si>
  <si>
    <t xml:space="preserve">Sekretaris Program Studi Hukum Tata Negara </t>
  </si>
  <si>
    <t>Hijrian Angga Prihantoro, L.L.M.</t>
  </si>
  <si>
    <t>Manokwari</t>
  </si>
  <si>
    <t xml:space="preserve">199006292019031010 </t>
  </si>
  <si>
    <t>9202052906900001</t>
  </si>
  <si>
    <t>Al Azhar Kairo Mesir Tahun 2011</t>
  </si>
  <si>
    <t>Private Law The World Islamic Science University Jordan Tahun 2017</t>
  </si>
  <si>
    <t>2029069001</t>
  </si>
  <si>
    <t xml:space="preserve">Sekretaris Program Studi Magister Ilmu Syari'ah </t>
  </si>
  <si>
    <t>Fuad Mustafid, M.Ag.</t>
  </si>
  <si>
    <t>N. 513648</t>
  </si>
  <si>
    <t>197709092009121003</t>
  </si>
  <si>
    <t>3301010909770002</t>
  </si>
  <si>
    <t xml:space="preserve">Hukum Islam Kons. Muamalah UIN Sunan Kalijaga Tahun 2005 </t>
  </si>
  <si>
    <t>150100513471</t>
  </si>
  <si>
    <t>Ratnasari Fajariya Abidin, SH, MH</t>
  </si>
  <si>
    <t>P. 171415</t>
  </si>
  <si>
    <t>18-10-1976</t>
  </si>
  <si>
    <t>197610182008012009</t>
  </si>
  <si>
    <t>3471035810760001</t>
  </si>
  <si>
    <t>Ilmu Hukum UNS Tahun 1999</t>
  </si>
  <si>
    <t>182100516045</t>
  </si>
  <si>
    <t>01-11-2041</t>
  </si>
  <si>
    <t>Hukum Bisnis</t>
  </si>
  <si>
    <t>Nurdhin Baroroh, S.H.I., M.S.I.</t>
  </si>
  <si>
    <t>P. 684470</t>
  </si>
  <si>
    <t>198009082011011005</t>
  </si>
  <si>
    <t>3402140809800002</t>
  </si>
  <si>
    <t>Hukum Islam Kons. Hukum Keluarga UIN Sunan Kalijaga Tahun 2008</t>
  </si>
  <si>
    <t>Dr. Siti Muna Hayati, M.H.I.</t>
  </si>
  <si>
    <t>Banjarmasin</t>
  </si>
  <si>
    <t>199008202018012001</t>
  </si>
  <si>
    <t>6371016008900009</t>
  </si>
  <si>
    <t>Ahwal al Syakhsiyah IAIN Sunan Ampel Tahun 2012</t>
  </si>
  <si>
    <t>Hukum Islam Konsentrasi Hukum Keluarga UIN Sunan Kalijaga Yogyakarta Tahun 2014</t>
  </si>
  <si>
    <t>Studi Islam UIN Sunan Kalijaga Yogyakarta Tahun 2022</t>
  </si>
  <si>
    <t>232100519173</t>
  </si>
  <si>
    <t>2120089002</t>
  </si>
  <si>
    <t xml:space="preserve">Hukum Islam di Indonesia </t>
  </si>
  <si>
    <t>Sekretaris Lembaga Penjaminan Mutu (LPM) Masa Jabatan 2024-2028</t>
  </si>
  <si>
    <t>Ahmad Syaifudin Anwar, M.H.</t>
  </si>
  <si>
    <t>Tuban</t>
  </si>
  <si>
    <t xml:space="preserve">198912072019031009 </t>
  </si>
  <si>
    <t>3523020712890004</t>
  </si>
  <si>
    <t>UII Tahun 2012</t>
  </si>
  <si>
    <t>Ilmu Hukum UII Tahun 2016</t>
  </si>
  <si>
    <t>2007128903</t>
  </si>
  <si>
    <t xml:space="preserve">Ilmu Hukum </t>
  </si>
  <si>
    <t>Bustanul Arifien Rusydi, M.H.</t>
  </si>
  <si>
    <t>Benteng Selayar</t>
  </si>
  <si>
    <t xml:space="preserve">199007212019031010 </t>
  </si>
  <si>
    <t>7310042107900002</t>
  </si>
  <si>
    <t>Ilmu Hukum UII Tahun 2015</t>
  </si>
  <si>
    <t>2021079003</t>
  </si>
  <si>
    <t>Hukum Acara Perdata</t>
  </si>
  <si>
    <t>Sekretaris  Program Studi  Hukum Keluarga Islam</t>
  </si>
  <si>
    <t>Farrah Syamala Rosyda, M.H.</t>
  </si>
  <si>
    <t xml:space="preserve">199109302019032021 </t>
  </si>
  <si>
    <t>3305197009910001</t>
  </si>
  <si>
    <t>Ilmu Hukum UGM Tahun 2017</t>
  </si>
  <si>
    <t xml:space="preserve">Hukum Pidana </t>
  </si>
  <si>
    <t>Syaifullahil Maslul, M.H.</t>
  </si>
  <si>
    <t xml:space="preserve">199008242019031011 </t>
  </si>
  <si>
    <t>3504152408900001</t>
  </si>
  <si>
    <t>0724089004</t>
  </si>
  <si>
    <t>Sekretaris Satuan Pengawasan Internal (SPI) UIN Sunan Kalijaga Yogyakarta Masa Jabatan 2024 - 2028</t>
  </si>
  <si>
    <t>H. Afif Muhammad, S.Ag., M.A.</t>
  </si>
  <si>
    <t>197309232008011004</t>
  </si>
  <si>
    <t>3402152309730002</t>
  </si>
  <si>
    <t>Dr. Muhammad Anis Mashduqi, Lc.</t>
  </si>
  <si>
    <t>198101222009011005</t>
  </si>
  <si>
    <t>3402152201810002</t>
  </si>
  <si>
    <t>Al Azhar Kairo Mesir Tahun 2007</t>
  </si>
  <si>
    <t>Studi Islam UIN Sunan Kalijaga Yogyakarta Tahun 2018</t>
  </si>
  <si>
    <t xml:space="preserve">2022018103 </t>
  </si>
  <si>
    <t>Annisa Dian Arini, M.H.</t>
  </si>
  <si>
    <t xml:space="preserve">198801262019032007 </t>
  </si>
  <si>
    <t>3404066601880005</t>
  </si>
  <si>
    <t>Hukum UGM Tahun 2011</t>
  </si>
  <si>
    <t>Magister Hukum UGM Tahun 2015</t>
  </si>
  <si>
    <t>2012018802</t>
  </si>
  <si>
    <t>Plt.  Sekretaris  Program Studi Hukum Ekonomi Syari'ah</t>
  </si>
  <si>
    <t>Nilman Ghofur, M.Sos.</t>
  </si>
  <si>
    <t>Tegal</t>
  </si>
  <si>
    <t xml:space="preserve">199001252019031013 </t>
  </si>
  <si>
    <t>3328132501910006</t>
  </si>
  <si>
    <t>Institut Studi Islam Darussalam Gontor Tahun 2015</t>
  </si>
  <si>
    <t>Hukum Islam Kons. Studi Politik dan Pemerintahan dalam Islam UIN Sunan Kalijaga Tahun 2017</t>
  </si>
  <si>
    <t>2025019003</t>
  </si>
  <si>
    <t>Surur Roiqoh, M.H.</t>
  </si>
  <si>
    <t xml:space="preserve">198611132019032012 </t>
  </si>
  <si>
    <t>3305125311860006</t>
  </si>
  <si>
    <t>UIN Sunan Kalijaga Tahun 2009</t>
  </si>
  <si>
    <t>Ilmu Hukum UII Tahun 2013</t>
  </si>
  <si>
    <t>2113118602</t>
  </si>
  <si>
    <t>lmu Hukum Asisten Ahli</t>
  </si>
  <si>
    <t xml:space="preserve">Plt. Sekretaris Program Studi Perbandingan Madzhab </t>
  </si>
  <si>
    <t>Mu'tashim Billah, S.H.I., M.H.</t>
  </si>
  <si>
    <t>Sanggau</t>
  </si>
  <si>
    <t>199212282020121011</t>
  </si>
  <si>
    <t>3301232812920002</t>
  </si>
  <si>
    <t>Hukum Islam UIN Sunan Kalijaga Tahun 2019</t>
  </si>
  <si>
    <t>2028129201</t>
  </si>
  <si>
    <t>Dosen Hukum Islam</t>
  </si>
  <si>
    <t>Muhamad Ulul Albab Musaffa, Lc., M.H.</t>
  </si>
  <si>
    <t>199011012020121010</t>
  </si>
  <si>
    <t>3308210111900001</t>
  </si>
  <si>
    <t>Hukum Islam UIN Sunan Kalijaga Tahun 2018</t>
  </si>
  <si>
    <t>2001119004</t>
  </si>
  <si>
    <t>Taufiqurohman, M.H.</t>
  </si>
  <si>
    <t>199204012020121009</t>
  </si>
  <si>
    <t>3502090104920001</t>
  </si>
  <si>
    <t>Hukum Islam UIN Sunan Kalijaga Tahun 2017</t>
  </si>
  <si>
    <t>2001049202</t>
  </si>
  <si>
    <t>Hukum Keluarga Islam</t>
  </si>
  <si>
    <t>Yulianta Saputra, S.H. M.H.</t>
  </si>
  <si>
    <t>198907082020121004</t>
  </si>
  <si>
    <t>3404020307890002</t>
  </si>
  <si>
    <t>Ilmu Hukum UGM Tahun 2018</t>
  </si>
  <si>
    <t>2008078904</t>
  </si>
  <si>
    <t>Legal Drafting</t>
  </si>
  <si>
    <t>Miski, M.Sos.</t>
  </si>
  <si>
    <t>198508092020121003</t>
  </si>
  <si>
    <t>3402150908850002</t>
  </si>
  <si>
    <t>2009088502</t>
  </si>
  <si>
    <t>ukum Tata Negara Islam</t>
  </si>
  <si>
    <t>D. FAKULTAS ILMU TARBIYAH DAN KEGURUAN</t>
  </si>
  <si>
    <t>Prof. Dr. Sutrisno, M.Ag</t>
  </si>
  <si>
    <t>E.718423</t>
  </si>
  <si>
    <t>Karanganyar</t>
  </si>
  <si>
    <t>07-11-1963</t>
  </si>
  <si>
    <t>196311071989031003</t>
  </si>
  <si>
    <t>3404100711630001</t>
  </si>
  <si>
    <t>01-08-2006</t>
  </si>
  <si>
    <t>Bahasa Inggris IAIN Sunan Kalijaga Tahun 1988</t>
  </si>
  <si>
    <t xml:space="preserve">Pendidikan Islam IAIN Sunan Kalijaga Tahun 1996 
</t>
  </si>
  <si>
    <t>Program Doktor UIN Sunan Kalijaga Tahun 2005</t>
  </si>
  <si>
    <t>09210050084</t>
  </si>
  <si>
    <t>Pendidikan Agama Islam (S3)</t>
  </si>
  <si>
    <t>Ilmu Pendidikan Islam</t>
  </si>
  <si>
    <t>Prof. Dr. H. Maragustam, M.A</t>
  </si>
  <si>
    <t>E.211157</t>
  </si>
  <si>
    <t>Tapanuli Selatan</t>
  </si>
  <si>
    <t>01-10-1959</t>
  </si>
  <si>
    <t>195910011987031002</t>
  </si>
  <si>
    <t>3404110110590004</t>
  </si>
  <si>
    <t>01-04-2011</t>
  </si>
  <si>
    <t>01-09-2008</t>
  </si>
  <si>
    <t>Bahasa Arab IAIN Sunan Kalijaga Tahun 1986</t>
  </si>
  <si>
    <t>Pendidikan IAIN Sunan Kalijaga Tahun 1992</t>
  </si>
  <si>
    <t>Studi Islam UIN Sunan Kalijaga Tahun 2006</t>
  </si>
  <si>
    <t>Filsafat Pendidikan Islam</t>
  </si>
  <si>
    <t>Prof. Dr. H. Sangkot Sirait, M.Ag</t>
  </si>
  <si>
    <t>F.101812</t>
  </si>
  <si>
    <t>Sei Pasir Darat</t>
  </si>
  <si>
    <t>195912311992031009</t>
  </si>
  <si>
    <t>3404080112590003</t>
  </si>
  <si>
    <t>Dakwah IAIN Sunan Kalijaga Tahun  1988</t>
  </si>
  <si>
    <t xml:space="preserve"> Aqidah Filsafat IAIN Sunan Kalijaga Tahun 1997</t>
  </si>
  <si>
    <t>Studi Islam UIN Sunan Kalijaga Tahun  2006</t>
  </si>
  <si>
    <t>092100500223</t>
  </si>
  <si>
    <t>Ilmu Kalam/Tauhid</t>
  </si>
  <si>
    <t>Prof. Dr. Hj. Marhumah, M.Pd.</t>
  </si>
  <si>
    <t>E.930682</t>
  </si>
  <si>
    <t>12-03-1962</t>
  </si>
  <si>
    <t>196203121990012001</t>
  </si>
  <si>
    <t>3404115203620002</t>
  </si>
  <si>
    <t>Pendidikan Agama Islam IAIN Sunan Kalijaga Tahun 1988</t>
  </si>
  <si>
    <t xml:space="preserve">Pendidikan
Luar Sekolah UNY Tahun 2001
</t>
  </si>
  <si>
    <t>092100500208</t>
  </si>
  <si>
    <t>Prof. Dr. Abdul Munip, S.Ag, M.Ag.</t>
  </si>
  <si>
    <t>G.292208</t>
  </si>
  <si>
    <t>06-08-1973</t>
  </si>
  <si>
    <t>197308061997031003</t>
  </si>
  <si>
    <t>3402090608730002</t>
  </si>
  <si>
    <t xml:space="preserve"> Bahasa Arab IAIN Sunan Kalijaga Tahun 1996</t>
  </si>
  <si>
    <t>Pemikiran Pendidiikan Islam IAIN Walisongo Tahun 1999</t>
  </si>
  <si>
    <t xml:space="preserve">Studi Islam UIN Sunan Kalijaga Tahun 2008 </t>
  </si>
  <si>
    <t>092100500265</t>
  </si>
  <si>
    <t>Studi Islam (Tarjamah)</t>
  </si>
  <si>
    <t>Prof. Dr. Tasman, M.A</t>
  </si>
  <si>
    <t>E. 211145</t>
  </si>
  <si>
    <t>02-11-1961</t>
  </si>
  <si>
    <t>196111021986031003</t>
  </si>
  <si>
    <t>3402120211610001</t>
  </si>
  <si>
    <t>Bahasa Arab IAIN Sunan Kalijaga Tahun 1985</t>
  </si>
  <si>
    <t>Pendidikan IAIN Sunan Kalijaga Tahun 1991</t>
  </si>
  <si>
    <t>Studi Islam, UIN Sunan Kalijaga Tahun 2006</t>
  </si>
  <si>
    <t>092100500188</t>
  </si>
  <si>
    <t>Pendidikan Agama Islam (S2)</t>
  </si>
  <si>
    <t>Ilmu Pendidkan Islam</t>
  </si>
  <si>
    <t>Prof. Dr. H. Mahmud Arif, M.Ag.</t>
  </si>
  <si>
    <t>G.289542</t>
  </si>
  <si>
    <t>19-04-1972</t>
  </si>
  <si>
    <t>197204191997031003</t>
  </si>
  <si>
    <t>3402151904720002</t>
  </si>
  <si>
    <t xml:space="preserve">
Pendidikan Agama Islam IAIN Sunan Kalijaga Tahun 1996
</t>
  </si>
  <si>
    <t xml:space="preserve">
Pendidikan  Islam IAIN Sunan Kalijaga Tahun 1998
</t>
  </si>
  <si>
    <t>092100500263</t>
  </si>
  <si>
    <t>Filsafat Pendidikan Islam/Tafsir</t>
  </si>
  <si>
    <t>Prof. Dr. Sukiman, S.Ag, M.Pd</t>
  </si>
  <si>
    <t>G. 289543</t>
  </si>
  <si>
    <t>15-03-1972</t>
  </si>
  <si>
    <t>197203151997031009</t>
  </si>
  <si>
    <t>3404071503720005</t>
  </si>
  <si>
    <t xml:space="preserve">
Penelitian dan Evaluasi Pendidikan UNY Tahun 2001
</t>
  </si>
  <si>
    <t>Studi Islam UIN Sunan Kalijaga Tahun 2010</t>
  </si>
  <si>
    <t>092100500264</t>
  </si>
  <si>
    <t>Pengembangan Kurikulum</t>
  </si>
  <si>
    <t>Ketua Program Studi  Doktor (S3) Pendidikan Agama Islam</t>
  </si>
  <si>
    <t>Prof. Dr. H. Tulus Musthofa, Lc, MA.</t>
  </si>
  <si>
    <t>N 275336</t>
  </si>
  <si>
    <t>07-03-1959</t>
  </si>
  <si>
    <t>195903071995031002</t>
  </si>
  <si>
    <t>3404110703590002</t>
  </si>
  <si>
    <t>01-10-2009</t>
  </si>
  <si>
    <t xml:space="preserve">Studi Islam dan Arab Univ. Al Azhar Cairo 1990 </t>
  </si>
  <si>
    <t xml:space="preserve">Pengajaran Bhs. Arab IBAI Khortoum 1993 </t>
  </si>
  <si>
    <t>Studi Islam UIN Sunan Kalijaga Tahun 2013</t>
  </si>
  <si>
    <t>092100500252</t>
  </si>
  <si>
    <t>Prof. Dr. Sri Sumarni, M.Pd.</t>
  </si>
  <si>
    <t>F.111342</t>
  </si>
  <si>
    <t>05-07-1963</t>
  </si>
  <si>
    <t>196307051993032001</t>
  </si>
  <si>
    <t>3310184507630002</t>
  </si>
  <si>
    <t xml:space="preserve">
Pendidikan Luar Sekolah IKIP Yogyakarta Tahun 1988
</t>
  </si>
  <si>
    <t xml:space="preserve">
Pendidikan Luar Sekolah UNY Tahun 2001
</t>
  </si>
  <si>
    <t>Ilmu Pendidikan UNY Tahun  2015</t>
  </si>
  <si>
    <t>092100500237</t>
  </si>
  <si>
    <t>Pendidikan Guru Madrasah Ibtidaiyah (S3)</t>
  </si>
  <si>
    <t>Ilmu Pendidikan</t>
  </si>
  <si>
    <t>Prof. Dr. Istiningsih, M.Pd.</t>
  </si>
  <si>
    <t>F. 109414</t>
  </si>
  <si>
    <t>30-01-1966</t>
  </si>
  <si>
    <t>196601301993032002</t>
  </si>
  <si>
    <t>3402167404610002</t>
  </si>
  <si>
    <t>Pendidikan Bahasa Inggris Universitas Tidar Magelang Tahun 1990</t>
  </si>
  <si>
    <t>Pendidikan Luar Sekolah UNY Tahun 2004</t>
  </si>
  <si>
    <t>Pendidikan Teknologi dan Kejuruan UNY  2008</t>
  </si>
  <si>
    <t>Teknologi Pendidikan</t>
  </si>
  <si>
    <t xml:space="preserve">Wakil Rektor Bidang Akademik dan Pengembangan Lembaga Periode 2024-2028  </t>
  </si>
  <si>
    <t>Prof. Dr. Sigit Purnama, S.Pd.I,M.Pd.</t>
  </si>
  <si>
    <t>N 527128</t>
  </si>
  <si>
    <t>198001312008011005</t>
  </si>
  <si>
    <t>3471143101800001</t>
  </si>
  <si>
    <t>01-10-2022</t>
  </si>
  <si>
    <t>Pendidikan Bahasa Arab IAIN Sunan Kalijaga Tahun 2003</t>
  </si>
  <si>
    <t>Teknologi Pembelajaran UNY Tahun 2007</t>
  </si>
  <si>
    <t>Teknologi Pembelajaran Universitas Negeri Malang Tahun 2014</t>
  </si>
  <si>
    <t>01-02-2050</t>
  </si>
  <si>
    <t>Pendidikan Islam Anak Usia Dini (PIAUD) (S2)</t>
  </si>
  <si>
    <t>Dekan Fak. Ilmu Tarbiyah dan Keguruan Masa Jabatan 2024 - 2028</t>
  </si>
  <si>
    <t>Prof. Dr. Hj. Erni Munastiwi, MM.</t>
  </si>
  <si>
    <t>F. 058725</t>
  </si>
  <si>
    <t>195709181993032002</t>
  </si>
  <si>
    <t>3464065809570001</t>
  </si>
  <si>
    <t>Pendidikan IPS IKIP PGRI Bojonegoro Tahun 1990</t>
  </si>
  <si>
    <t>Magister Manajemen UNSOED Tahun 2000</t>
  </si>
  <si>
    <t>Pendidikan Teknologi dan Kejuruan UNS Tahun 2010</t>
  </si>
  <si>
    <t>Manajemen Pendidikan</t>
  </si>
  <si>
    <t>Prof. Dr. Eva Latipah, S.Ag., S.Psi., M.Si</t>
  </si>
  <si>
    <t>N 105618</t>
  </si>
  <si>
    <t>197806082006042032</t>
  </si>
  <si>
    <t>3404124806780002</t>
  </si>
  <si>
    <t>Pendidikan Agama Islam IAIN Sunan Kalijaga Tahun 2000</t>
  </si>
  <si>
    <t xml:space="preserve">Psikologi  UGM Tahun 2002 </t>
  </si>
  <si>
    <t>Ilmu Psikologi UGM Tahun 2014</t>
  </si>
  <si>
    <t>Ketua Lembaga Penjaminan Mutu (LPM) Masa Jabatan 2024-2028</t>
  </si>
  <si>
    <t>Prof. Dr. Suyadi, S.Ag., M.A.</t>
  </si>
  <si>
    <t>197710032009121001</t>
  </si>
  <si>
    <t>3404250310770001</t>
  </si>
  <si>
    <t>Pendidikan Agama Islam UMY Tahun 2001</t>
  </si>
  <si>
    <t xml:space="preserve">Studi Islam UMY Tahun 2003 </t>
  </si>
  <si>
    <t>Psikologi Pendidikan Univ. Negeri Malang Tahun 2014</t>
  </si>
  <si>
    <t>092100500229</t>
  </si>
  <si>
    <t>Pendidikan Islam Anak Usia Dini (S2)</t>
  </si>
  <si>
    <t>Psikologi Pendidikan Islam</t>
  </si>
  <si>
    <t>Prof. Dr. Maemonah, M.Ag.</t>
  </si>
  <si>
    <t>L. 038437</t>
  </si>
  <si>
    <t>197303092002122006</t>
  </si>
  <si>
    <t>3404104903730001</t>
  </si>
  <si>
    <t>Pendidikan Agama Islam IAIN Walisongo Tahun 1997</t>
  </si>
  <si>
    <t>Pendidikan Agama Islam IAIN Walisongo Tahun 2001</t>
  </si>
  <si>
    <t>'2009037301</t>
  </si>
  <si>
    <t xml:space="preserve">Ketua Program Studi Doktor Pendidikan Guru Madrasah Ibtidaiyah  </t>
  </si>
  <si>
    <t>Prof. Dr. Subiyantoro, M.Ag.</t>
  </si>
  <si>
    <t>C. 0888324</t>
  </si>
  <si>
    <t>Kulonprogo</t>
  </si>
  <si>
    <t>195904101985031005</t>
  </si>
  <si>
    <t>3404021004590002</t>
  </si>
  <si>
    <t>01-04-2000</t>
  </si>
  <si>
    <t>Pendidikan Agama Islam IAIN Sunan Kalijaga Tahun 1989</t>
  </si>
  <si>
    <t>Studi Islam UMS Tahun  2001</t>
  </si>
  <si>
    <t>Ilmu Pendidikan UNY Tahun 2010</t>
  </si>
  <si>
    <t>Manajemen Pendidikan Islam (S2)</t>
  </si>
  <si>
    <t>Prof. Dr. Na'imah, M.Hum.</t>
  </si>
  <si>
    <t>E. 899489</t>
  </si>
  <si>
    <t>Ngereden</t>
  </si>
  <si>
    <t>196104241990032002</t>
  </si>
  <si>
    <t>3402166406410002</t>
  </si>
  <si>
    <t>Pendidikan Bahasa Inggris UNS Tahun 1986</t>
  </si>
  <si>
    <t>Linguistik UNS Tahun 2003</t>
  </si>
  <si>
    <t>Linguistik UNS Tahun 2011</t>
  </si>
  <si>
    <t>Dr. Ahmad Arifi, M.Ag</t>
  </si>
  <si>
    <t>F.100217</t>
  </si>
  <si>
    <t>21-11-1966</t>
  </si>
  <si>
    <t>196611211992031002</t>
  </si>
  <si>
    <t>3404102111660001</t>
  </si>
  <si>
    <t>01-01-2001</t>
  </si>
  <si>
    <t>Peradilan Agama IAIN Sunan Kalijaga Tahun 1990</t>
  </si>
  <si>
    <t>Aqidah dan Filsafat IAIN Sunan Kalijaga Tahun 1995</t>
  </si>
  <si>
    <t>Studi Islam UIN Sunan Kalijaga Tahun  2008</t>
  </si>
  <si>
    <t>092100500303</t>
  </si>
  <si>
    <t>Ushul Fiqih</t>
  </si>
  <si>
    <t>Prof. Dr. Maksudin, M.Ag.</t>
  </si>
  <si>
    <t>E.944181</t>
  </si>
  <si>
    <t>16-07-1960</t>
  </si>
  <si>
    <t>196007161991031001</t>
  </si>
  <si>
    <t>3471031607600001</t>
  </si>
  <si>
    <t>Bahasa Arab IAIN Sunan Kalijaga Tahun 1989</t>
  </si>
  <si>
    <t>Pendidikan Islam IAIN Sunan Kalijaga Tahun 2003</t>
  </si>
  <si>
    <t>Studi Islam UIN Sunan Kalijaga 2009</t>
  </si>
  <si>
    <t>092100500212</t>
  </si>
  <si>
    <t>Pendidikan Bahasa Arab (S2)</t>
  </si>
  <si>
    <t>Pendidikan Akhlak</t>
  </si>
  <si>
    <t>Dr. Sabarudin, M.Si</t>
  </si>
  <si>
    <t>G.160964</t>
  </si>
  <si>
    <t>05-04-1968</t>
  </si>
  <si>
    <t>196804051994031003</t>
  </si>
  <si>
    <t>3404080504680001</t>
  </si>
  <si>
    <t>01-08-2005</t>
  </si>
  <si>
    <t xml:space="preserve">
Pendidikan Agama Islam IAIN Sunan Kalijaga Tahun 1993
</t>
  </si>
  <si>
    <t xml:space="preserve">Sosiologi UGM Tahun 1999
</t>
  </si>
  <si>
    <t>092100500246</t>
  </si>
  <si>
    <t xml:space="preserve">Dasar-dasar Kependidikan </t>
  </si>
  <si>
    <t>Dr. Usman, SS, M.Ag</t>
  </si>
  <si>
    <t>F.104293</t>
  </si>
  <si>
    <t>04-03-1961</t>
  </si>
  <si>
    <t>196103041992031001</t>
  </si>
  <si>
    <t>3402150403610002</t>
  </si>
  <si>
    <t xml:space="preserve">
Pendidikan Agama Islam IAIN Sunan Kalijaga Tahun 1989
</t>
  </si>
  <si>
    <t>Aqidah Filsafat IAIN Sunan Kalijaga Tahun 1999</t>
  </si>
  <si>
    <t>Ilmu Filsafat UGM Tahun 2013</t>
  </si>
  <si>
    <t>092100500220</t>
  </si>
  <si>
    <t>Drs. Mujahid, M.Ag.</t>
  </si>
  <si>
    <t>G.141714</t>
  </si>
  <si>
    <t>14-04-1967</t>
  </si>
  <si>
    <t>196704141994031002</t>
  </si>
  <si>
    <t>3402131404670001</t>
  </si>
  <si>
    <t>Pendidikan Bahasa Arab IAIN Sunan Kalijaga Tahun 1992</t>
  </si>
  <si>
    <t>092100500238</t>
  </si>
  <si>
    <t>Pendidikan Agama Islam (S1)</t>
  </si>
  <si>
    <t>Metodologi Pengajaran Bahasa Arab</t>
  </si>
  <si>
    <t>Drs. Rofik, M.Ag</t>
  </si>
  <si>
    <t>F.113272</t>
  </si>
  <si>
    <t>Demak</t>
  </si>
  <si>
    <t>05-04-1965</t>
  </si>
  <si>
    <t>196504051993031002</t>
  </si>
  <si>
    <t>3404070504650003</t>
  </si>
  <si>
    <t>01-10-2008</t>
  </si>
  <si>
    <t>01-01-2008</t>
  </si>
  <si>
    <t xml:space="preserve">
Pendidikan Agama Islam IAIN Sunan Kalijaga Tahun 1992
</t>
  </si>
  <si>
    <t>Pendidikan Islam IAIN Sunan Kalijaga Tahun 1999</t>
  </si>
  <si>
    <t>092100500231</t>
  </si>
  <si>
    <t>Pendidikan Profesi Guru Keagamaan Profesi</t>
  </si>
  <si>
    <t>Pembelajaran Sejarah Kebudayaan Islam</t>
  </si>
  <si>
    <t>Dr. Sedya Santosa,  SS, M.Pd</t>
  </si>
  <si>
    <t>E.943214</t>
  </si>
  <si>
    <t>Sukoharjo</t>
  </si>
  <si>
    <t>28-07-1963</t>
  </si>
  <si>
    <t>196307281991031002</t>
  </si>
  <si>
    <t>3311032807630001</t>
  </si>
  <si>
    <t>01-04-2008</t>
  </si>
  <si>
    <t>IAIN Suka Fak. Tarbiyah Tahun 1989</t>
  </si>
  <si>
    <t xml:space="preserve">UNJ Pendidikan Sejarah 1999 </t>
  </si>
  <si>
    <t>Psikologi Pendidikan Islam UMY Tahun 2017</t>
  </si>
  <si>
    <t>092100500214</t>
  </si>
  <si>
    <t>Perkembangan Kerikulum</t>
  </si>
  <si>
    <t>Dr. Suwadi, S.Ag, M.Ag, M.Pd.</t>
  </si>
  <si>
    <t>G.289537</t>
  </si>
  <si>
    <t>Kedungtuban</t>
  </si>
  <si>
    <t>15-10-1970</t>
  </si>
  <si>
    <t>197010151996031001</t>
  </si>
  <si>
    <t>3404071510700005</t>
  </si>
  <si>
    <t>01-03-2009</t>
  </si>
  <si>
    <t xml:space="preserve">
Pendidikan Agama Islam IAIN Sunan Kalijaga Tahun 1995
</t>
  </si>
  <si>
    <t xml:space="preserve">Pendidikan  Islam Kons. Pendidikan Pemikiran Agama Islam IAIN Sunan Kalijaga Tahun 2001
</t>
  </si>
  <si>
    <t>Manajemen Pendidikan UNY Tahun  2010</t>
  </si>
  <si>
    <t>092100500256</t>
  </si>
  <si>
    <t xml:space="preserve">Ilmu Pendidkan </t>
  </si>
  <si>
    <t>Dr. Murtono, M.Si</t>
  </si>
  <si>
    <t>J. 090945</t>
  </si>
  <si>
    <t>12-12-1969</t>
  </si>
  <si>
    <t>196912122000031001</t>
  </si>
  <si>
    <t>3404081212690003</t>
  </si>
  <si>
    <t>01-05-2010</t>
  </si>
  <si>
    <t>UNS Tahun 1993</t>
  </si>
  <si>
    <t>UGM Tahun 1999</t>
  </si>
  <si>
    <t>Pendidikan Ilmu Pengetahuan Alam Universitas Pendidikan Indonesia 2015</t>
  </si>
  <si>
    <t>0012126912</t>
  </si>
  <si>
    <t>Pendidikan Fisika (S1)</t>
  </si>
  <si>
    <t>Asesmen dan Pengajaran Fisika</t>
  </si>
  <si>
    <t>Dr. Ichsan, M.Pd.</t>
  </si>
  <si>
    <t>F.100220</t>
  </si>
  <si>
    <t>26-02-1963</t>
  </si>
  <si>
    <t>196302261992031003</t>
  </si>
  <si>
    <t>3309122602630003</t>
  </si>
  <si>
    <t>01-06-2012</t>
  </si>
  <si>
    <t>Pendidikan Ilmu Pengetahuan Sosial UNY Tahun 2004</t>
  </si>
  <si>
    <t>Psikologi Pendidikan Islam UMY Tahun ....</t>
  </si>
  <si>
    <t>092100500227</t>
  </si>
  <si>
    <t>Drs. Nur Untoro, M.Si.</t>
  </si>
  <si>
    <t>G.424886</t>
  </si>
  <si>
    <t>196611261996031001</t>
  </si>
  <si>
    <t>7471102611660001</t>
  </si>
  <si>
    <t>Pendidikan Fisika IKIP Negeri Yogyakarta Tahun 1992</t>
  </si>
  <si>
    <t>Fisika ITB Tahun 1996</t>
  </si>
  <si>
    <t>belum terlampir</t>
  </si>
  <si>
    <t>2026116602</t>
  </si>
  <si>
    <t>Fisika</t>
  </si>
  <si>
    <t>Dr.Sembodo Ardi Widodo, S.Ag, M.Ag.</t>
  </si>
  <si>
    <t>G.292204</t>
  </si>
  <si>
    <t>15-09-1968</t>
  </si>
  <si>
    <t>196809151998031005</t>
  </si>
  <si>
    <t>3404081509680003</t>
  </si>
  <si>
    <t>Pendidikan Agama Islam STAI Jam'iyah Mahmudiyah Tanjung Pura Langkat Tahun  1995</t>
  </si>
  <si>
    <t>092100500273</t>
  </si>
  <si>
    <t>Filsafat Pendidikan</t>
  </si>
  <si>
    <t>Dr. Nur Hidayat, M.Ag</t>
  </si>
  <si>
    <t>G.141718</t>
  </si>
  <si>
    <t>07-04-1962</t>
  </si>
  <si>
    <t>196204071994031002</t>
  </si>
  <si>
    <t>3404080704620001</t>
  </si>
  <si>
    <t>Pendidikan Bahasa Arab IAIN Sunan Kalijaga Tahun  1991</t>
  </si>
  <si>
    <t>Pemikiran Pend Islam IAIN Sunan Kalijaga Tahun 2002</t>
  </si>
  <si>
    <t>Psikologi Pendidikan Islam  UMY Tahun 2017</t>
  </si>
  <si>
    <t>092100500309</t>
  </si>
  <si>
    <t>Akhlak Tasawuf</t>
  </si>
  <si>
    <t>Syarif Hidayatullah, S.Ag, M.Ag., M.A.</t>
  </si>
  <si>
    <t>30-01-1970</t>
  </si>
  <si>
    <t>197001301997031004</t>
  </si>
  <si>
    <t>3402093001700001</t>
  </si>
  <si>
    <t>Bahasa Arab IAIN Sunan Gunung Djati Tahun 1995</t>
  </si>
  <si>
    <t>Ilmu Perbandingan Agama UGM Tahun 2007</t>
  </si>
  <si>
    <t>092100500301</t>
  </si>
  <si>
    <t>DPK</t>
  </si>
  <si>
    <t>Pendidikan Agama Islam</t>
  </si>
  <si>
    <t>Dpk. Pd. UGM</t>
  </si>
  <si>
    <t>Dra. Asnafiyah, M.Pd.</t>
  </si>
  <si>
    <t>E.490591</t>
  </si>
  <si>
    <t>29-11-1962</t>
  </si>
  <si>
    <t>196211291988032003</t>
  </si>
  <si>
    <t>3404106911620001</t>
  </si>
  <si>
    <t>Kependidikan IKIP Yogyakarta Tahun 1987</t>
  </si>
  <si>
    <t>Pendidikan Ilmu Pengetahuan Sosial UNY Tahun 2002</t>
  </si>
  <si>
    <t>092100500201</t>
  </si>
  <si>
    <t>Ilmu Pengetahuan Sosil</t>
  </si>
  <si>
    <t>Drs. Edy Yusuf Nur Samsu Santosa, M.Si.</t>
  </si>
  <si>
    <t>E.946981</t>
  </si>
  <si>
    <t>26-12-1967</t>
  </si>
  <si>
    <t>196712261992031001</t>
  </si>
  <si>
    <t>3471032612670002</t>
  </si>
  <si>
    <t>Penerangan dan Penyiaran Agama Islam IAIN Sunan Kalijaga  Tahun 1991</t>
  </si>
  <si>
    <t>Manajemen UII Tahun 2004 / UGM Ketahanan Nasional (Perdamaian dan Resolusi Konflik) Tahun 2004</t>
  </si>
  <si>
    <t>092100500216</t>
  </si>
  <si>
    <t>Manajemen Pendidikan Islam (S1)</t>
  </si>
  <si>
    <t>Akhlak  dan Tasawuf</t>
  </si>
  <si>
    <t>Dra. Wiji Hidayati, M.Ag.</t>
  </si>
  <si>
    <t>E. 946290</t>
  </si>
  <si>
    <t>23-05-1965</t>
  </si>
  <si>
    <t>196505231991032010</t>
  </si>
  <si>
    <t>3404126305650002</t>
  </si>
  <si>
    <t xml:space="preserve">
Pendidikan  Agama Islam IAIN Sunan Kalijaga Tahun 1989
</t>
  </si>
  <si>
    <t>Pendidikan Islam Kons. Pemikiran Pendidikan Islam IAIN Sunan Kalijaga Tahun 2003</t>
  </si>
  <si>
    <t>092100500302</t>
  </si>
  <si>
    <t>Ilmu Tauhid</t>
  </si>
  <si>
    <t>Dr. Siti Fatonah, S.Pd., M.Pd</t>
  </si>
  <si>
    <t>J.050007</t>
  </si>
  <si>
    <t>Sirahan Salam Mglg</t>
  </si>
  <si>
    <t>05-02-1971</t>
  </si>
  <si>
    <t>197102051999032008</t>
  </si>
  <si>
    <t>3308094502710002</t>
  </si>
  <si>
    <t xml:space="preserve">Pendidikan Kimia IKIP Yogyakarta Tahun  1995  </t>
  </si>
  <si>
    <t>Penelitian dan Evaluasi Pendidikan UNY Tahun 2006</t>
  </si>
  <si>
    <t>Penelitian dan Evaluasi Pendidikan UNY Tahun 2013</t>
  </si>
  <si>
    <t>Pendidikan Guru Madrasah Ibtidaiyah (S2)</t>
  </si>
  <si>
    <t>Ilmu Pengetahuan Alam</t>
  </si>
  <si>
    <t>Prof. Dr. Imam Machali, S.Pd.I., M.Pd.</t>
  </si>
  <si>
    <t>P. 586727</t>
  </si>
  <si>
    <t>197910112009121005</t>
  </si>
  <si>
    <t>3402120910790002</t>
  </si>
  <si>
    <t xml:space="preserve">Pendidikan Agama Islam UIN Sunan Kalijaga Tahun 2004 </t>
  </si>
  <si>
    <t xml:space="preserve">Manajemen Pendidikan  UNY Tahun 2007  </t>
  </si>
  <si>
    <t>Administrasi Pendidikan UPI Bandung Tahun 2011</t>
  </si>
  <si>
    <t>Manajemen Pendidikan Islam</t>
  </si>
  <si>
    <t>Dr. Aninditya Sri Nugraheni, S.Pd., M.Pd.</t>
  </si>
  <si>
    <t>P. 586731</t>
  </si>
  <si>
    <t>198605052009122006</t>
  </si>
  <si>
    <t>3372024505860001</t>
  </si>
  <si>
    <t>Pendidikan Bahasa, Sastra Indonesia dan Daerah UNS Tahun 2008</t>
  </si>
  <si>
    <t xml:space="preserve">Pendidikan Bahasa Indonesia UNS Tahun 2009 </t>
  </si>
  <si>
    <t>Pendidikan Bahasa Indonesia UNS Tahun 2013</t>
  </si>
  <si>
    <t>Pendidikan Bahasa Indonesia</t>
  </si>
  <si>
    <t xml:space="preserve">Ketua Program Studi Magister Pendidikan Guru Madrasah Ibtidaiyah </t>
  </si>
  <si>
    <t>Dr. Andi Prastowo, S.Pd.I., M.Pd.I.</t>
  </si>
  <si>
    <t>P. 684487</t>
  </si>
  <si>
    <t>198205052011011008</t>
  </si>
  <si>
    <t>3404250505820003</t>
  </si>
  <si>
    <t>Pendidikan Agama Islam UIN Sunan Kalijaga Tahun 2007</t>
  </si>
  <si>
    <t>Pendidikan Islam Kons. PGMI UIN Sunan Kalijaga Tahun 2010</t>
  </si>
  <si>
    <t>Studi Islam Kons. Kependidikan Islam Tahun 2017</t>
  </si>
  <si>
    <t>Ilmu Pendidikan Dasar Islam</t>
  </si>
  <si>
    <t xml:space="preserve">Wakil Dekan  Bid. Akademik Fakultas Ilmu Tarbiyah dan Keguruan  </t>
  </si>
  <si>
    <t>Dr. R. Umi Baroroh, S.Ag, M.Ag.</t>
  </si>
  <si>
    <t>H.068471</t>
  </si>
  <si>
    <t>05-03-1972</t>
  </si>
  <si>
    <t>197203051996032001</t>
  </si>
  <si>
    <t>3404034503720001</t>
  </si>
  <si>
    <t>Bahasa Arab IAIN Sunan Kalijaga Tahun 1995</t>
  </si>
  <si>
    <t>Pendidikan Islam Kons. Pemikiran Pendidikan Islam  Tahu 2001</t>
  </si>
  <si>
    <t>Kependidikan Islam UIN Sunan Kalijaga Tahun 2018</t>
  </si>
  <si>
    <t>Dr. Karwadi, S.Ag, M.Ag.</t>
  </si>
  <si>
    <t>H.068477</t>
  </si>
  <si>
    <t>15-03-1971</t>
  </si>
  <si>
    <t>197103151998031004</t>
  </si>
  <si>
    <t>3402121503710002</t>
  </si>
  <si>
    <t>Dakwah IAIN Sultan Thaha Syaifuddin Jambi Tahun 1995</t>
  </si>
  <si>
    <t>Ilmu Agama Islam IAIN Ar Raniry Tahun 1998</t>
  </si>
  <si>
    <t>092100500277</t>
  </si>
  <si>
    <t>Perkembangan Pemikiran dalam Dunia Islam</t>
  </si>
  <si>
    <t>Dr. Ibrahim, S.Pd., M.Pd.</t>
  </si>
  <si>
    <t>P. 171432</t>
  </si>
  <si>
    <t>31-10-1979</t>
  </si>
  <si>
    <t>197910312008011008</t>
  </si>
  <si>
    <t>1050173110793002</t>
  </si>
  <si>
    <t>01-06-2024</t>
  </si>
  <si>
    <t>Universitas Islam Nusantara   Pend. Matematika Tahun 2003</t>
  </si>
  <si>
    <t>Pendidikan Matematika UPI Bandung Tahun 2007</t>
  </si>
  <si>
    <t>Pendidikan Matematika UPI Bandung Tahun 2011</t>
  </si>
  <si>
    <t>Pendidikan Matematika (S1)</t>
  </si>
  <si>
    <t>Matematika Diskrit dan Pembelajaran Matematika</t>
  </si>
  <si>
    <t>Wakil Dekan  Bid. Administrasi Umum, Perencanaan dan Keuangan  Fakultas Ilmu Tarbiyah dan Keguruan Masa Jabatan 2024-2028</t>
  </si>
  <si>
    <t>Dr. Zainal Arifin, S.Pd.I, M.S.I.</t>
  </si>
  <si>
    <t>P. 586728</t>
  </si>
  <si>
    <t>198003242009121002</t>
  </si>
  <si>
    <t>3520132403800001</t>
  </si>
  <si>
    <t>Pendidikan Agama Islam UIN Sunan Kalijaga Tahun 2005</t>
  </si>
  <si>
    <t>Pendidikan Islam Kons. Manajemen dan Kebijakan Pendidikan Islam UIN Sunan Kalijaga Tahun 2009</t>
  </si>
  <si>
    <t>Studi Islam UIN Sunan Kalijaga Tahun 2016</t>
  </si>
  <si>
    <t>Sekretaris  Program Studi  Doktor (S3) Pendidikan Agama Islam</t>
  </si>
  <si>
    <t>Dr. Mohamad Agung Rokhimawan, M.Pd.</t>
  </si>
  <si>
    <t>P. 684488</t>
  </si>
  <si>
    <t>197811132009121003</t>
  </si>
  <si>
    <t>3209191311780001</t>
  </si>
  <si>
    <t>Pendidikan Kimia Univ. Negeri Semarang Tahun 2002</t>
  </si>
  <si>
    <t>Pendidikan IPA Universitas Negeri Semarang Tahun 2005</t>
  </si>
  <si>
    <t>Sains dan Pembelajarannya</t>
  </si>
  <si>
    <t xml:space="preserve">Ketua Program Studi Pendidikan Agama Islam (PAI) S1 </t>
  </si>
  <si>
    <t>Drs. Radino, M.Ag</t>
  </si>
  <si>
    <t>G. 218568</t>
  </si>
  <si>
    <t>04-09-1966</t>
  </si>
  <si>
    <t>196609041994031001</t>
  </si>
  <si>
    <t>3402130409660001</t>
  </si>
  <si>
    <t>01-09-2023</t>
  </si>
  <si>
    <t>Pendidikan Bahasa Arab IAIN Sunan Kalijaga Tahun 1993</t>
  </si>
  <si>
    <t>Ilmu Agama Islam IAIN Ar Raniri Banda Aceh Tahun 1997</t>
  </si>
  <si>
    <t>092100500312</t>
  </si>
  <si>
    <t>Pemikiran Pendidikan Islam</t>
  </si>
  <si>
    <t>Dr. Muqowim, S.Ag, M.Ag.</t>
  </si>
  <si>
    <t>H.068462</t>
  </si>
  <si>
    <t>10-03-1973</t>
  </si>
  <si>
    <t>197303101998031002</t>
  </si>
  <si>
    <t>3471141003730001</t>
  </si>
  <si>
    <t>Pendidikan Agama Islam IAIN Sunan Kalijaga Tahun 1996</t>
  </si>
  <si>
    <t xml:space="preserve">Pendidikan  Islam Kons. Pemikiran Pendidikan Islam IAIN Sunan Kalijaga Tahun 1999 </t>
  </si>
  <si>
    <t>Sejarah Pendidikan Islam</t>
  </si>
  <si>
    <t>Dr. H. Zainal Arifin Ahmad, M.Ag.</t>
  </si>
  <si>
    <t>E.946975</t>
  </si>
  <si>
    <t>25-10-1962</t>
  </si>
  <si>
    <t>196210251991031005</t>
  </si>
  <si>
    <t>3404102510620001</t>
  </si>
  <si>
    <t>Lektor kepala</t>
  </si>
  <si>
    <t>Bahasa Arab IAIN Sunan Kalijaga Tahun 1990</t>
  </si>
  <si>
    <t>Pendidikan Islam IAIN Sunan Kalijaga Tahun 1997</t>
  </si>
  <si>
    <t xml:space="preserve"> Studi Islam  UIN Sunan Kalijaga Tahun 2016</t>
  </si>
  <si>
    <t>092100500213</t>
  </si>
  <si>
    <t>H. Jauhar Hatta, S.Ag, M.Ag</t>
  </si>
  <si>
    <t>G.293144</t>
  </si>
  <si>
    <t>03-11-1971</t>
  </si>
  <si>
    <t>197111031995031001</t>
  </si>
  <si>
    <t>3304060311710006</t>
  </si>
  <si>
    <t>01-04-2004</t>
  </si>
  <si>
    <t xml:space="preserve"> Bahasa Arab IAIN Sunan Kalijaga Tahun 1994</t>
  </si>
  <si>
    <t>Pengkajian Islam IAIN Syarif Hidayatullah Tahun 1999</t>
  </si>
  <si>
    <t>Rinduan Zain, S.Ag, MA.</t>
  </si>
  <si>
    <t>G.289540</t>
  </si>
  <si>
    <t>07-04-1970</t>
  </si>
  <si>
    <t>197004071997031001</t>
  </si>
  <si>
    <t>3404050704700006</t>
  </si>
  <si>
    <t>01-10-2006</t>
  </si>
  <si>
    <t>Pendidikan Agama Islam IAIN Sunan Kalijaga Tahun 1994</t>
  </si>
  <si>
    <t>Islamic Studies Mc.Gill University Tahun 2003</t>
  </si>
  <si>
    <t>Dr. H. Sumedi, M.Ag.</t>
  </si>
  <si>
    <t>H. 068475</t>
  </si>
  <si>
    <t>Krandegan</t>
  </si>
  <si>
    <t>17-02-1961</t>
  </si>
  <si>
    <t>196102171998031001</t>
  </si>
  <si>
    <t>3471141702610002</t>
  </si>
  <si>
    <t>Bahasa  Inggris IAIN Sunan Kalijaga Tahun 1989</t>
  </si>
  <si>
    <t>Pendidikan Islam IAIN Sunan Kalijaga Tahun 1996</t>
  </si>
  <si>
    <t>092100500281</t>
  </si>
  <si>
    <t xml:space="preserve">Akhlak       </t>
  </si>
  <si>
    <t>Drs. Dudung Hamdun, M.Si.</t>
  </si>
  <si>
    <t>G. 141719</t>
  </si>
  <si>
    <t>05-03-1966</t>
  </si>
  <si>
    <t>196603051994031003</t>
  </si>
  <si>
    <t>3404110503660003</t>
  </si>
  <si>
    <t>01-04-2007</t>
  </si>
  <si>
    <t>Tarbiyah IAIN Sunan Kalijaga Tahun 1993</t>
  </si>
  <si>
    <t xml:space="preserve">Psikologi UGM Tahun 2004 </t>
  </si>
  <si>
    <t xml:space="preserve">Psikologi Pendidikan  </t>
  </si>
  <si>
    <t>Dr. Nurhadi, S.Ag, MA.</t>
  </si>
  <si>
    <t>J.139434</t>
  </si>
  <si>
    <t>27-07-1968</t>
  </si>
  <si>
    <t>196807271997031001</t>
  </si>
  <si>
    <t>3404082707680001</t>
  </si>
  <si>
    <t>01-04-2010</t>
  </si>
  <si>
    <t>Islamic Studies Leiden University Tahun 1999</t>
  </si>
  <si>
    <t>Peradaban Islam dan Arab</t>
  </si>
  <si>
    <t>Drs. Suismanto, M.Ag</t>
  </si>
  <si>
    <t>G.289286</t>
  </si>
  <si>
    <t>196210251996031001</t>
  </si>
  <si>
    <t>3402132510620001</t>
  </si>
  <si>
    <t>01-04-2009</t>
  </si>
  <si>
    <t xml:space="preserve"> Pendidikan Agama Islam IAIN Sunan Gunung Djati Tahun 1991
</t>
  </si>
  <si>
    <t>Pendidikan Islam Anak Usia Dini (PIAUD) (S1)</t>
  </si>
  <si>
    <t>Sibawaihi, S. Ag., M.Ag., Ph.D.</t>
  </si>
  <si>
    <t>A 01006588</t>
  </si>
  <si>
    <t>Pulau Kecil</t>
  </si>
  <si>
    <t>197504192005011001</t>
  </si>
  <si>
    <t>3404101904750002</t>
  </si>
  <si>
    <t>Studi Agama dan Filsafat Kons. Filsafat Islam IAIN Sunan Kalijaga Tahun 2002</t>
  </si>
  <si>
    <t>Doctor of Philosophy in Education Monash University Australia Tahun 2019</t>
  </si>
  <si>
    <t>Luluk Mauluah, M.Si.</t>
  </si>
  <si>
    <t>M.264288</t>
  </si>
  <si>
    <t>197008022003122006</t>
  </si>
  <si>
    <t>3402154208700006</t>
  </si>
  <si>
    <t>01-01-2010</t>
  </si>
  <si>
    <t>Matematika UGM Tahun 1995</t>
  </si>
  <si>
    <t>Matematika UGM Tahun 1998</t>
  </si>
  <si>
    <t>Matematika</t>
  </si>
  <si>
    <t xml:space="preserve">Ketua Program Studi Pendidikan Guru Madrasah Ibtidaiyah  </t>
  </si>
  <si>
    <t>Dr. Dwi Ratnasari, S. Ag., M. Ag.</t>
  </si>
  <si>
    <t>N 109614</t>
  </si>
  <si>
    <t>197808232005012003</t>
  </si>
  <si>
    <t>3404076308780005</t>
  </si>
  <si>
    <t>Studi Islam, UIN Sunan Kalijaga Tahun 2019</t>
  </si>
  <si>
    <t>Ketua Program Magister Pendidikan Agama Islam</t>
  </si>
  <si>
    <t>Suparni, S.Pd,M.Pd</t>
  </si>
  <si>
    <t>N 519113</t>
  </si>
  <si>
    <t>17-04-1971</t>
  </si>
  <si>
    <t>197104172008012007</t>
  </si>
  <si>
    <t>3311085704710004</t>
  </si>
  <si>
    <t>01-11-2012</t>
  </si>
  <si>
    <t>Pendidikan Matematika UNS Tahun 1995</t>
  </si>
  <si>
    <t>Pendidikan Matematika Univ. Negeri Surabaya Tahun 2001</t>
  </si>
  <si>
    <t>Pendidikan Matematika</t>
  </si>
  <si>
    <t>Joko Purwanto, S.Si., M.Sc.</t>
  </si>
  <si>
    <t>P.513654</t>
  </si>
  <si>
    <t>198203062009121002</t>
  </si>
  <si>
    <t>3314110603820008</t>
  </si>
  <si>
    <t>Fisika UGM Tahun 2007</t>
  </si>
  <si>
    <t>Fisika UGM Tahun 2009</t>
  </si>
  <si>
    <t>Fisika Teori</t>
  </si>
  <si>
    <t>Dr. Mulin Nu'man, S.Pd., M.Pd.</t>
  </si>
  <si>
    <t>P.513664</t>
  </si>
  <si>
    <t>198004172009121002</t>
  </si>
  <si>
    <t>3303181704800001</t>
  </si>
  <si>
    <t xml:space="preserve">Pendidikan Matematika Unisma Tahun 2003 </t>
  </si>
  <si>
    <t xml:space="preserve">Pendidikan Matematika Universitas Negeri Malang  Tahun 2006  </t>
  </si>
  <si>
    <t>Ilmu Pendidikan UNY Tahun 2023</t>
  </si>
  <si>
    <t>Pembelajaran Matematika Integratif</t>
  </si>
  <si>
    <t>Sintha Sih Dewanti, S.Pd.Si., M.Pd.Si.</t>
  </si>
  <si>
    <t>P. 513658</t>
  </si>
  <si>
    <t>198312112009122002</t>
  </si>
  <si>
    <t>3471135112830002</t>
  </si>
  <si>
    <t>Pendidikan Matematika UNY Tahun 2005</t>
  </si>
  <si>
    <t>Pendidikan Matematika UNY Tahun 2008</t>
  </si>
  <si>
    <t>2011128301</t>
  </si>
  <si>
    <t>Asesmen Pendidikan Matematika</t>
  </si>
  <si>
    <t xml:space="preserve">Sekretaris Program Studi Doktor Pendidikan Guru Madrasah Ibtidaiyah  </t>
  </si>
  <si>
    <t>Dr. Khamim Zarkasih Putro, M.Si.</t>
  </si>
  <si>
    <t>F. 106088</t>
  </si>
  <si>
    <t>196202271992031004</t>
  </si>
  <si>
    <t>3471012702620001</t>
  </si>
  <si>
    <t>Psikologi Pendidikan dan Bimbingan/Bimbingan Konseling IKIP Negeri Yogyakarta Tahun 1987</t>
  </si>
  <si>
    <t>Ketahanan Nasional UGM Tahun 2003</t>
  </si>
  <si>
    <t>Psikologi Pendidikan Islam UMY Tahun 2013</t>
  </si>
  <si>
    <t>Dr. Winarti, S.Pd.,M.Pd.Si.</t>
  </si>
  <si>
    <t>P. 516614</t>
  </si>
  <si>
    <t>Jambi</t>
  </si>
  <si>
    <t>198303152009012010</t>
  </si>
  <si>
    <t>3402125503830006</t>
  </si>
  <si>
    <t>Pendidikan Fisika UAD Tahun 2005</t>
  </si>
  <si>
    <t>Pendidikan Fisika UAD Tahun 2009</t>
  </si>
  <si>
    <t>Fisika UNS Tahun 2019</t>
  </si>
  <si>
    <t>Pendidikan Fisika</t>
  </si>
  <si>
    <t>Wakil Dekan  Bid. Kemahasiswaan, dan Kerjasama  Fakultas Ilmu Tarbiyah dan Keguruan Masa Jabatan 2024-2028</t>
  </si>
  <si>
    <t>Sigit Prasetyo, S.Pd.I., M.Pd.Si.</t>
  </si>
  <si>
    <t>P. 169771</t>
  </si>
  <si>
    <t>198101042009121004</t>
  </si>
  <si>
    <t>3401070411810003</t>
  </si>
  <si>
    <t>Pendidikan Fisika Jurusan Tadris IAIN Sunan Kalijaga Tahun 2004</t>
  </si>
  <si>
    <t xml:space="preserve">Pendidikan Sains UNY Tahun 2009 </t>
  </si>
  <si>
    <t>Pembelajaran Sains</t>
  </si>
  <si>
    <t>Ika Kartika, S.Pd., M.Pd.Si.</t>
  </si>
  <si>
    <t>P.513653</t>
  </si>
  <si>
    <t>198004152009122001</t>
  </si>
  <si>
    <t>3206285504800003</t>
  </si>
  <si>
    <t>01-10-2021</t>
  </si>
  <si>
    <t>Pendidikan Fisika UAD Tahun 2003</t>
  </si>
  <si>
    <t xml:space="preserve">Pendidikan Sains UNY Tahun 2007  </t>
  </si>
  <si>
    <t xml:space="preserve">Pendidikan Fisika </t>
  </si>
  <si>
    <t>Dr. Muhammad Ja'far Luthfi, M.Si.</t>
  </si>
  <si>
    <t>P. 171433</t>
  </si>
  <si>
    <t>197410262003121001</t>
  </si>
  <si>
    <t>3306062610740001</t>
  </si>
  <si>
    <t>Zoologi UGM Tahun 1999</t>
  </si>
  <si>
    <t>Biologi UGM Tahun 2002</t>
  </si>
  <si>
    <t>Zoology UKM Tahun 2010</t>
  </si>
  <si>
    <t>Pendidikan Biologi (S1)</t>
  </si>
  <si>
    <t>Zoologi</t>
  </si>
  <si>
    <t>Ketua Program Studi Pendidikan Biologi</t>
  </si>
  <si>
    <t>Runtut Prih Utami, S.Pd, M.Pd</t>
  </si>
  <si>
    <t>N 519114</t>
  </si>
  <si>
    <t>16-01-1983</t>
  </si>
  <si>
    <t>198301162008012013</t>
  </si>
  <si>
    <t>3313115601830003</t>
  </si>
  <si>
    <t>01-04-2017</t>
  </si>
  <si>
    <t>01-01-2015</t>
  </si>
  <si>
    <t>Pendidikan Biologi UNS 2005</t>
  </si>
  <si>
    <t>Pendidikan Sains UNS 2006</t>
  </si>
  <si>
    <t>Biologi Tumbuhan dan Pendidikan Biologi</t>
  </si>
  <si>
    <t>Dian Noviar, S.Pd., M.Pd.Si.</t>
  </si>
  <si>
    <t>P.513652</t>
  </si>
  <si>
    <t>Gunung Terang</t>
  </si>
  <si>
    <t>198411172009122002</t>
  </si>
  <si>
    <t>3401075711840001</t>
  </si>
  <si>
    <t xml:space="preserve"> Pendidikan Biologi UMS Tahun 2006</t>
  </si>
  <si>
    <t>Pendidikan Biologi/Mikrobiologi</t>
  </si>
  <si>
    <t>Sulistiyawati, S.Pd.I., M.Si.</t>
  </si>
  <si>
    <t>P. 516621</t>
  </si>
  <si>
    <t>198303082009012014</t>
  </si>
  <si>
    <t>3402154803830003</t>
  </si>
  <si>
    <t xml:space="preserve">Pendidikan Biologi UIN Sunan Kalijaga Tahun 2005 </t>
  </si>
  <si>
    <t xml:space="preserve">Biologi UGM Tahun 2008 </t>
  </si>
  <si>
    <t>132100511996</t>
  </si>
  <si>
    <t>Pendidikan Biologi dan Zoologi</t>
  </si>
  <si>
    <t>Dr. Paed. Asih Widi Wisudawati, S.Pd., M.Pd.</t>
  </si>
  <si>
    <t>P.513655</t>
  </si>
  <si>
    <t>198409012009122004</t>
  </si>
  <si>
    <t>3305124105840015</t>
  </si>
  <si>
    <t>Pendidikan Kimia UNS Tahun 2006</t>
  </si>
  <si>
    <t>Pendidikan Sains UNS Tahun 2007</t>
  </si>
  <si>
    <t>Doctor of Educational Science, Institute of Chemistry Didactics at Muenster University Germany Tahun 2022</t>
  </si>
  <si>
    <t>Pendidikan Kimia (S1)</t>
  </si>
  <si>
    <t>Pendidikan Kimia</t>
  </si>
  <si>
    <t>Ketua Program Studi Pendidikan Kimia</t>
  </si>
  <si>
    <t>Dr. Muhammad Jafar Shodiq, S.Pd.I, M.S.I.</t>
  </si>
  <si>
    <t>P. 684489</t>
  </si>
  <si>
    <t>198203152011011011</t>
  </si>
  <si>
    <t>3402141503820003</t>
  </si>
  <si>
    <t>Pendidikan Bahasa Arab UIN Sunan Kalijaga Tahun 2005</t>
  </si>
  <si>
    <t>Pendidikan Islam Kons. Pendidikan Bahasa Arab Tahun 2009</t>
  </si>
  <si>
    <t>Studi Islam Kons. Kependidikan Islam UIN Sunan Kalijaga  Tahun 2019</t>
  </si>
  <si>
    <t>Pembelajaran Bahasa Arab</t>
  </si>
  <si>
    <t>Jamil Suprihatiningrum, S.Pd.Si., M.Pd.Si., Ph.D.</t>
  </si>
  <si>
    <t>P. 684484</t>
  </si>
  <si>
    <t>198402052011012008</t>
  </si>
  <si>
    <t>3471144502840001</t>
  </si>
  <si>
    <t>Pendidikan Kimia UNY Tahun 2006</t>
  </si>
  <si>
    <t>Pendidikan Sains UNY Tahun 2010</t>
  </si>
  <si>
    <t>Education Flinders University Australia Tahun 2021</t>
  </si>
  <si>
    <t>0005028402</t>
  </si>
  <si>
    <t>Fitri Yuliawati, S.Pd.Si., M.Pd.Si.</t>
  </si>
  <si>
    <t>Q. 149189</t>
  </si>
  <si>
    <t>198207242011012011</t>
  </si>
  <si>
    <t>3404124612810002</t>
  </si>
  <si>
    <t>Pendidikan Biologi UNY Tahun 2004</t>
  </si>
  <si>
    <t>Dr. Endang Sulistyowati, M.Pd.I.</t>
  </si>
  <si>
    <t>J.090942</t>
  </si>
  <si>
    <t>Wonogiri</t>
  </si>
  <si>
    <t>196704141999032001</t>
  </si>
  <si>
    <t>3471045404670001</t>
  </si>
  <si>
    <t>Matematika UGM Tahun 1992</t>
  </si>
  <si>
    <t>PGMI UIN Sunan Kalijaga Tahun  2013</t>
  </si>
  <si>
    <t>Ilmu Pendidikan - Pendidikan Matematika Tahun 2023</t>
  </si>
  <si>
    <t xml:space="preserve">Sekretaris Program Studi Magister Pendidikan Guru Madrasah Ibtidaiyah </t>
  </si>
  <si>
    <t>Dr. Lailatu Rohmah, S.Pd.I., M.S.I.</t>
  </si>
  <si>
    <t>P. 586730</t>
  </si>
  <si>
    <t>198405192009122003</t>
  </si>
  <si>
    <t>3502105905840001</t>
  </si>
  <si>
    <t>Pendidikan Agama Islam UIN Malang Tahun 2006</t>
  </si>
  <si>
    <t>Pendidikan Anak Usia Dini, UNY Tahun 2023</t>
  </si>
  <si>
    <t>Manajemen Pendidikan Dasar</t>
  </si>
  <si>
    <t>Dr. Rohinah, S.Pd.I., M.A.</t>
  </si>
  <si>
    <t>P. 684486</t>
  </si>
  <si>
    <t>198004202011012004</t>
  </si>
  <si>
    <t>3402156004800005</t>
  </si>
  <si>
    <t>Pendidikan Agama Islam IAIN Sunan Kalijaga Tahun 2003</t>
  </si>
  <si>
    <t>Pengkajian Islam Kons. Pendidikan Agama Islam UIN Syarif Hidayatullah Tahun 2008</t>
  </si>
  <si>
    <t>Studi Islam Konsentrasi Kependidikan Islam UIN Sunan Kalijaga Tahun 2021</t>
  </si>
  <si>
    <t>Pendidikan Agama Islam dan Pembelajarannya</t>
  </si>
  <si>
    <t>Ketua Program Studi Pendidikan Anak Usia Dini (PIAUD)</t>
  </si>
  <si>
    <t>Dra. Nadlifah, M.Pd.</t>
  </si>
  <si>
    <t>G.118393</t>
  </si>
  <si>
    <t>07-08-1968</t>
  </si>
  <si>
    <t>196808071994032003</t>
  </si>
  <si>
    <t>3404074708680001</t>
  </si>
  <si>
    <t>01-06-2016</t>
  </si>
  <si>
    <t>Pendidikan Ilmu Pengetahuan Sosial UNY Tahun 2005</t>
  </si>
  <si>
    <t>Dr. Nur Saidah, S. Ag., M.Ag.</t>
  </si>
  <si>
    <t>N 105616</t>
  </si>
  <si>
    <t>197502112005012002</t>
  </si>
  <si>
    <t>3402075102750001</t>
  </si>
  <si>
    <t>Bahasa dan Sastra Arab IAIN Sunan Kalijaga Tahun 1998</t>
  </si>
  <si>
    <t>Studi Islam Konsentrasi Sejarah Kebudayaan Islam UIN Sunan Kalijaga Yogyakarta Tahun 2019</t>
  </si>
  <si>
    <t>Sejarah Kebudayaan Islam dan Budaya Lokal</t>
  </si>
  <si>
    <t>Ketua  Program Studi  Magister  Manajemen Pendidikan Islam (MPI)</t>
  </si>
  <si>
    <t>Dr. Akhmad Sholeh, S.Ag., M.Si.</t>
  </si>
  <si>
    <t>H. 066409</t>
  </si>
  <si>
    <t>196507161998031002</t>
  </si>
  <si>
    <t>3402121607650002</t>
  </si>
  <si>
    <t xml:space="preserve">Pendidikan Agama Islam UII Tahun 1995  </t>
  </si>
  <si>
    <t>UIN Sunan Kalijaga Tahun 2007</t>
  </si>
  <si>
    <t>Studi Islam UIN Sunan Kalijaga Tahun 2014</t>
  </si>
  <si>
    <t>016076514</t>
  </si>
  <si>
    <t>Drs. H. Abdul Malik Usman, M.Ag.</t>
  </si>
  <si>
    <t>J.048136</t>
  </si>
  <si>
    <t>Lamakera,Flores Tmr</t>
  </si>
  <si>
    <t>01-06-1960</t>
  </si>
  <si>
    <t>196006011999031001</t>
  </si>
  <si>
    <t>3404070106600001</t>
  </si>
  <si>
    <t>Dakwah IAIN Sunan Kalijaga Tahun 1991</t>
  </si>
  <si>
    <t>Magister Studi Islam Konsentrasi Pendidikan Islam UII Tahun 2009</t>
  </si>
  <si>
    <t>Ilmu Perkembangan Pemikiran Modern Dunia Islam</t>
  </si>
  <si>
    <t>DPK pada  UGM</t>
  </si>
  <si>
    <t>Dr. Hibana, S.Ag., M.Pd.</t>
  </si>
  <si>
    <t>M. 262515</t>
  </si>
  <si>
    <t>197008012005012003</t>
  </si>
  <si>
    <t>3402124108700001</t>
  </si>
  <si>
    <t>PLS-PSDM UNY Tahun 2001</t>
  </si>
  <si>
    <t>Ilmu Pendidikan UNY Tahun 2015</t>
  </si>
  <si>
    <t>2001087001</t>
  </si>
  <si>
    <t>Pendidikan Anak Usia Dini</t>
  </si>
  <si>
    <t>Ketua Program Studi Magister Pendidikan Anak Usia Dini (PIAUD)</t>
  </si>
  <si>
    <t>Agus Kamaludin, M.Pd.</t>
  </si>
  <si>
    <t>198301092015031002</t>
  </si>
  <si>
    <t>3328132301830003</t>
  </si>
  <si>
    <t>Pendidikan Kimia UNY Tahun 2007</t>
  </si>
  <si>
    <t>Pendidikan Sains UNY Tahun 2011</t>
  </si>
  <si>
    <t>182100516028</t>
  </si>
  <si>
    <t>2009018301</t>
  </si>
  <si>
    <t xml:space="preserve">Siti Zubaedah, S.Ag., M.Pd.  </t>
  </si>
  <si>
    <t>N. 571450</t>
  </si>
  <si>
    <t>Ciwaringin</t>
  </si>
  <si>
    <t>197307092008012011</t>
  </si>
  <si>
    <t>3404074907730002</t>
  </si>
  <si>
    <t>Sejarah dan Kebudayaan Islam IAIN Sunan Kalijaga Tahun 1998</t>
  </si>
  <si>
    <t>Pendidikan Bahasa Indonesia Universitas Islam Malang Tahun 2003</t>
  </si>
  <si>
    <t>2009077303</t>
  </si>
  <si>
    <t>Bahasa Indonesia</t>
  </si>
  <si>
    <t>Sekretaris  Program Studi Magister Pendidikan Anak Usia Dini (PIAUD)</t>
  </si>
  <si>
    <t>Nurul Huda, S.S., M.Pd.I.</t>
  </si>
  <si>
    <t>198210262015031004</t>
  </si>
  <si>
    <t>3313112610820002</t>
  </si>
  <si>
    <t>UIN Suka, Bahasa dan Sastra Arab, 2005</t>
  </si>
  <si>
    <t>Pendidikan Bahasa Arab Tahun 2012</t>
  </si>
  <si>
    <t>182100516024</t>
  </si>
  <si>
    <t>2026108201</t>
  </si>
  <si>
    <t>Al-Kalam</t>
  </si>
  <si>
    <t xml:space="preserve">Ketua Program Studi Pendidikan Bahasa Arab </t>
  </si>
  <si>
    <t>Siti Nur Hidayah, S.Th.I., M.Sc.</t>
  </si>
  <si>
    <t>198010012015032003</t>
  </si>
  <si>
    <t>3314054110800003</t>
  </si>
  <si>
    <t>Tafsir Hadits STAIN Surakarta Tahun  2003</t>
  </si>
  <si>
    <t>Magister Manajemen Pendidikan Tinggi UGM Tahun 2014</t>
  </si>
  <si>
    <t xml:space="preserve">182100516020 </t>
  </si>
  <si>
    <t>2001108004</t>
  </si>
  <si>
    <t>Ketua Program Studi Manajemen Pendidikan Islam</t>
  </si>
  <si>
    <t>Nurul Arfinanti, S.Pd.Si., M.Pd.</t>
  </si>
  <si>
    <t>198807072015032005</t>
  </si>
  <si>
    <t>3308084707880003</t>
  </si>
  <si>
    <t>Pendidikan Matematika UIN Sunan Kalijaga Tahun 2010</t>
  </si>
  <si>
    <t>Pendidikan Matematika Univ. Negeri Malang Tahun  2012</t>
  </si>
  <si>
    <t>2007078801</t>
  </si>
  <si>
    <t>Dr. Dailatus Syamsiyah, S. Ag., M. Ag.</t>
  </si>
  <si>
    <t>M. 215841</t>
  </si>
  <si>
    <t>197505102005012001</t>
  </si>
  <si>
    <t>3404115005750004</t>
  </si>
  <si>
    <t>Pendidikan Islam Kons. Pemikiran Pendidikan Islam IAIN Sunan Kalijaga Tahun 2002</t>
  </si>
  <si>
    <t>Kependidikan Islam UIN Sunan Kalijaga Tahun 2019</t>
  </si>
  <si>
    <t>Ketua Program Studi  Magister Pendidikan Bahasa Arab (PBA)</t>
  </si>
  <si>
    <t>Nisa Syuhda, S.S., M. Hum.</t>
  </si>
  <si>
    <t>197510292005012006</t>
  </si>
  <si>
    <t>3471136910750003</t>
  </si>
  <si>
    <t xml:space="preserve">Sastra Inggris Univ. Nasional Jakarta Tahun 1998 </t>
  </si>
  <si>
    <t xml:space="preserve">Pengkajian Amerika UGM  Tahun 2004 </t>
  </si>
  <si>
    <t>Koord. Divisi Pembelajan dan Pelatihan</t>
  </si>
  <si>
    <t>Drs. Nur Munajat., M.Si</t>
  </si>
  <si>
    <t>J.139185</t>
  </si>
  <si>
    <t>10-01-1968</t>
  </si>
  <si>
    <t>196801101999031002</t>
  </si>
  <si>
    <t>3404281001680001</t>
  </si>
  <si>
    <t xml:space="preserve">Administrasi Pendidikan IKIP Negeri Yogyakarta Tahun 1993 </t>
  </si>
  <si>
    <t>Psikologi UGM Tahun 2005</t>
  </si>
  <si>
    <t>Administrasi Pendidikan</t>
  </si>
  <si>
    <t>Sri Purnami, S.Psi, M.A.</t>
  </si>
  <si>
    <t>J 088813</t>
  </si>
  <si>
    <t>19-01-1973</t>
  </si>
  <si>
    <t>197301191999032001</t>
  </si>
  <si>
    <t>3404105901730002</t>
  </si>
  <si>
    <t>Psikologi UGM Tahun 1997</t>
  </si>
  <si>
    <t>Psikologi UGM Tahun 2016</t>
  </si>
  <si>
    <t xml:space="preserve">Psikologi </t>
  </si>
  <si>
    <t>Muhammad Qowim, S.Ag, M.Ag</t>
  </si>
  <si>
    <t>N 105615</t>
  </si>
  <si>
    <t>19-08-1979</t>
  </si>
  <si>
    <t>197908192006041002</t>
  </si>
  <si>
    <t>3310081008790001</t>
  </si>
  <si>
    <t>01-06-2022</t>
  </si>
  <si>
    <t>Pendidikan Agama IAIN Sunan Kalijaga Tahun 2001</t>
  </si>
  <si>
    <t xml:space="preserve">Pendidikan Islam Kons. Manajemen dan Kebijakan Pendidikan Islam UIN Sunan Kalijaga Tahun 2005 </t>
  </si>
  <si>
    <t>Dr. H. Muh. Wasith Achadi, S.Ag., M.Ag.</t>
  </si>
  <si>
    <t>L. 045494</t>
  </si>
  <si>
    <t>197711262002121002</t>
  </si>
  <si>
    <t>3306062611770001</t>
  </si>
  <si>
    <t>STAIN Salatiga, Fak. Tarbiyah, 1999</t>
  </si>
  <si>
    <t>UIN Suka, 2004</t>
  </si>
  <si>
    <t xml:space="preserve"> UIN Suka, Studi Islam, 2014</t>
  </si>
  <si>
    <t>172100514767</t>
  </si>
  <si>
    <t>2026117701</t>
  </si>
  <si>
    <t>M. Saidul Muzakki, S.Pd.I., M.Pd.</t>
  </si>
  <si>
    <t>198408252015031004</t>
  </si>
  <si>
    <t>3320062508840005</t>
  </si>
  <si>
    <t>Pendidikan Agama Islam UII Tahun 2009</t>
  </si>
  <si>
    <t>Kurikulum dan Teknologi Pembelajaran Univ. Negeri Semarang, Tahun 2012</t>
  </si>
  <si>
    <t>2025088402</t>
  </si>
  <si>
    <t>Media Pembelajaran</t>
  </si>
  <si>
    <t>Agung Setiyawan, S.Pd.I., M.Pd.I.</t>
  </si>
  <si>
    <t>198711212015031002</t>
  </si>
  <si>
    <t>3317142111870003</t>
  </si>
  <si>
    <t>Pendidikan Bahasa Arab UIN Sunan Kalijaga Tahun  2010</t>
  </si>
  <si>
    <t>Pendidikan Bahasa Arab UIN Sunan Kalijaga Tahun  2012</t>
  </si>
  <si>
    <t>182100516022</t>
  </si>
  <si>
    <t>0521118701</t>
  </si>
  <si>
    <t xml:space="preserve">Sekretaris Program Studi Doktor (S3)  Pendidikan Bahasa Arab </t>
  </si>
  <si>
    <t>Dr. Rohmatun Lukluk Isnaini, S.Pd.I., M.Pd.I.</t>
  </si>
  <si>
    <t>198811072015032004</t>
  </si>
  <si>
    <t>3310164711880001</t>
  </si>
  <si>
    <t>Pendidikan Bahasa Arab STAIN Surakarta Tahun  2010</t>
  </si>
  <si>
    <t>Manajemen Pendidikan Islam   STAIN Surakarta Tahun  2012</t>
  </si>
  <si>
    <t>Ilmu Pendidikan UNY Tahun 2021</t>
  </si>
  <si>
    <t xml:space="preserve">182100516019 </t>
  </si>
  <si>
    <t>Ketua Program Studi Pendidikan Profesi Guru</t>
  </si>
  <si>
    <t>Yuli Kuswandari, S.Pd., M.Hum.</t>
  </si>
  <si>
    <t>N 105613</t>
  </si>
  <si>
    <t>197407252006042008</t>
  </si>
  <si>
    <t>3404036507740001</t>
  </si>
  <si>
    <t>Pendidikan Bahasa Inggris UNY Tahun 2000</t>
  </si>
  <si>
    <t>Linguistik Terapan UNY Tahun 2016</t>
  </si>
  <si>
    <t>222100517760</t>
  </si>
  <si>
    <t>Nora Saiva Jannana, M.Pd.</t>
  </si>
  <si>
    <t>199108302018012002</t>
  </si>
  <si>
    <t>3308207008910002</t>
  </si>
  <si>
    <t>Pendidikan Administrasi Perkantoran UNY Tahun 2013</t>
  </si>
  <si>
    <t>Manajemen Pendidikan UNY Tahun 2016</t>
  </si>
  <si>
    <t>222100517751</t>
  </si>
  <si>
    <t>2030089103</t>
  </si>
  <si>
    <t>Sekretaris Program Studi Manajemen Pendidikan Islam</t>
  </si>
  <si>
    <t>Raekha Azka, M.Pd.</t>
  </si>
  <si>
    <t>198709192018011001</t>
  </si>
  <si>
    <t>3305071909870003</t>
  </si>
  <si>
    <t>Pendidikan Matematika Universitas Negeri Yogyakarta Tahun 2014</t>
  </si>
  <si>
    <t>222100517761</t>
  </si>
  <si>
    <t>0619098703</t>
  </si>
  <si>
    <t>Dian Permatasari, M.Pd.</t>
  </si>
  <si>
    <t xml:space="preserve">199210052019032022 </t>
  </si>
  <si>
    <t>3471014510920001</t>
  </si>
  <si>
    <t>Magister Pendidikan Matematika UNY Tahun 2018</t>
  </si>
  <si>
    <t>Muhammad Zamhari, S.Pd.Si., M.Sc.</t>
  </si>
  <si>
    <t>P. 684472</t>
  </si>
  <si>
    <t>198607022011011014</t>
  </si>
  <si>
    <t>3375020207860003</t>
  </si>
  <si>
    <t>UIN Sunan Kalijaga, Pendidikan Kimia, Tahun 2009</t>
  </si>
  <si>
    <t>Chemistry  Prince of Songkla University  Thailand Tahun 2017</t>
  </si>
  <si>
    <t>232100519191</t>
  </si>
  <si>
    <t>Dr. Shaleh, S.Ag., M.Pd.</t>
  </si>
  <si>
    <t>197702172011011002</t>
  </si>
  <si>
    <t>3402161702770005</t>
  </si>
  <si>
    <t>Penelitian dan Evaluasi Pendidikan UNY Tahun 2020</t>
  </si>
  <si>
    <t>2017027703</t>
  </si>
  <si>
    <t>Metodologi Penelitian</t>
  </si>
  <si>
    <t>Ketua Satuan Pengawasan Internal (SPI) UIN Sunan Kalijaga Yogyakarta Masa Jabatan 2024 - 2028</t>
  </si>
  <si>
    <t>Dr. Iwan Kuswidi, S.Pd. I., M.Sc.</t>
  </si>
  <si>
    <t>N 044397</t>
  </si>
  <si>
    <t>197907112006041002</t>
  </si>
  <si>
    <t>3314151107790001</t>
  </si>
  <si>
    <t>01-01-2023</t>
  </si>
  <si>
    <t>Tadris Matematika IAIN Sunan Kalijaga Tahun 2003</t>
  </si>
  <si>
    <t>Matematika UGM Tahun 2009</t>
  </si>
  <si>
    <t>Pendidikan Matematika UPI Bandung Tahun 2017</t>
  </si>
  <si>
    <t>Hafidh 'Aziz, S.Pd.I., M.Pd.I.</t>
  </si>
  <si>
    <t>198310242015031002</t>
  </si>
  <si>
    <t>3502082410830001</t>
  </si>
  <si>
    <t>Pendidikan Agama Islam UIN Malang Tahun 2007</t>
  </si>
  <si>
    <t xml:space="preserve"> Pendidikan Islam IAIN Sunan Ampel Tahun 2010</t>
  </si>
  <si>
    <t>182100516023</t>
  </si>
  <si>
    <t>Pengajaran Kemahiran</t>
  </si>
  <si>
    <t>Sekretaris Program Studi Pendidikan Anak Usia Dini (PIAUD)</t>
  </si>
  <si>
    <t>Annisa Firanti, S.Pd.Si., M.Pd.</t>
  </si>
  <si>
    <t>198710312015032006</t>
  </si>
  <si>
    <t>3304067110870001</t>
  </si>
  <si>
    <t>Pendidikan Biologi UIN Sunan Kalijaga Tahun  2010</t>
  </si>
  <si>
    <t>Pendidikan Sains UNY Tahun 2013</t>
  </si>
  <si>
    <t>Pendidikan Biologi</t>
  </si>
  <si>
    <t>Sekretaris Program Studi Pendidikan Biologi</t>
  </si>
  <si>
    <t>Mike Dewi Kurniasih, M.Pd.</t>
  </si>
  <si>
    <t xml:space="preserve">198705232019032011 </t>
  </si>
  <si>
    <t>3322186305870001</t>
  </si>
  <si>
    <t>Universitas Negeri Semarang Tahun 2009</t>
  </si>
  <si>
    <t>Pendidikan Ilmu Pengetahuan Alam UNES Tahun 2013</t>
  </si>
  <si>
    <t>0623058701</t>
  </si>
  <si>
    <t xml:space="preserve">Dosen Pendidikan Biologi </t>
  </si>
  <si>
    <t>Laili Nailul Muna, M.Sc.</t>
  </si>
  <si>
    <t xml:space="preserve">199108202019032018 </t>
  </si>
  <si>
    <t>3402156008910002</t>
  </si>
  <si>
    <t>UAD Tahun 2013</t>
  </si>
  <si>
    <t>Ilmu Farmasi UGM Tahun 2015</t>
  </si>
  <si>
    <t>0520089101</t>
  </si>
  <si>
    <t>Farmasi</t>
  </si>
  <si>
    <t>Sekretaris Program Studi Sains Biomedis</t>
  </si>
  <si>
    <t>Fina Hanifa Hidayati, M.Pd.</t>
  </si>
  <si>
    <t xml:space="preserve">198907142019032007 </t>
  </si>
  <si>
    <t>3375035407890005</t>
  </si>
  <si>
    <t>Pendidikan Matematika UNS Tahun 2014</t>
  </si>
  <si>
    <t xml:space="preserve">Pendidikan Matematika </t>
  </si>
  <si>
    <t>Burhanuddin Latif, M.Si.</t>
  </si>
  <si>
    <t>Purbalingga</t>
  </si>
  <si>
    <t xml:space="preserve">199204042019031010 </t>
  </si>
  <si>
    <t>3210180404920001</t>
  </si>
  <si>
    <t>UPI Bandung Tahun 2014</t>
  </si>
  <si>
    <t>Matematika ITB Tahun 2017</t>
  </si>
  <si>
    <t>Pendidikan Matematika dan Analisis</t>
  </si>
  <si>
    <t>Ketua  Program Studi Pendidikan Matematika</t>
  </si>
  <si>
    <t>Anita Ekantini, M.Pd.</t>
  </si>
  <si>
    <t xml:space="preserve">199210092019032018 </t>
  </si>
  <si>
    <t>3401044910920001</t>
  </si>
  <si>
    <t>UNY Tahun 2015</t>
  </si>
  <si>
    <t>Magister Pendidikan Sains UNY Yogyakarta Tahun 2018</t>
  </si>
  <si>
    <t>Pendidikan Ilmu Pengetahuan Alam</t>
  </si>
  <si>
    <t>Sekretaris Program Studi S1  Pendidikan Guru Madrasah Ibtidaiyah</t>
  </si>
  <si>
    <t>Eko Suhendro, M.Pd.</t>
  </si>
  <si>
    <t xml:space="preserve">198910072019031006 </t>
  </si>
  <si>
    <t>3323090710890002</t>
  </si>
  <si>
    <t>STAIN Salatiga Tahun 2011</t>
  </si>
  <si>
    <t>Studi Islam UII Tahun 2017</t>
  </si>
  <si>
    <t>Strategi Pembelajaran</t>
  </si>
  <si>
    <t>Sumbaji Putranto, M.Pd.</t>
  </si>
  <si>
    <t xml:space="preserve">199305272019031006 </t>
  </si>
  <si>
    <t>3401082705930001</t>
  </si>
  <si>
    <t>Pendidikan Matematika UNY Tahun 2018</t>
  </si>
  <si>
    <t xml:space="preserve">Dosen Pendidikan Matematika </t>
  </si>
  <si>
    <t>Sekretaris  Program Studi Pendidikan Matematika</t>
  </si>
  <si>
    <t>Syaefudin, M.Pd.</t>
  </si>
  <si>
    <t xml:space="preserve">198910042019031011  </t>
  </si>
  <si>
    <t>3308052211890004</t>
  </si>
  <si>
    <t>UIN Sunan Kalijaga Tahun 2015</t>
  </si>
  <si>
    <t>Pendidikan Agama Islam Konsentrasi Manajemen dan Kebijaka UIN Sunan Kalijaga Tahun 2018</t>
  </si>
  <si>
    <t>Retno Aliyatul Fikroh, M.Sc.</t>
  </si>
  <si>
    <t xml:space="preserve">199204272019032018 </t>
  </si>
  <si>
    <t>3519036704920001</t>
  </si>
  <si>
    <t>UIN SunanKalijaga Tahun 2013</t>
  </si>
  <si>
    <t>Ilmu Kimia UGM Tahun 2017</t>
  </si>
  <si>
    <t>0727049201</t>
  </si>
  <si>
    <t>Kimia</t>
  </si>
  <si>
    <t>Sekretaris Program Studi Pendidikan Kimia</t>
  </si>
  <si>
    <t>Erna Wulandari, M.Sc.</t>
  </si>
  <si>
    <t xml:space="preserve">198603072019032012 </t>
  </si>
  <si>
    <t>3371024703860001</t>
  </si>
  <si>
    <t>UNY Tahun 2010</t>
  </si>
  <si>
    <t>Biologi UGM Tahun 2017</t>
  </si>
  <si>
    <t>Mikro Biologi</t>
  </si>
  <si>
    <t>Koordinator Bidang Pendidikan Biologi pada Laboratorium Terpadu</t>
  </si>
  <si>
    <t>Dr. H. Zamakhsari, M.Pd</t>
  </si>
  <si>
    <t>196706121998031002</t>
  </si>
  <si>
    <t>3404071206670004</t>
  </si>
  <si>
    <t>Bahasa Arab IAIN Sunan Kalijaga Tahun 1991</t>
  </si>
  <si>
    <t>Penelitian dan Evaluasi Pendidikan  UNY  Tahun 1999</t>
  </si>
  <si>
    <t>Doctor of Philosophy UMY 2016</t>
  </si>
  <si>
    <t>Asrofi Hilal, S. Ag., MA.</t>
  </si>
  <si>
    <t>N 527126</t>
  </si>
  <si>
    <t>197602122005011003</t>
  </si>
  <si>
    <t>3404121202760001</t>
  </si>
  <si>
    <t>IAIN, PMH</t>
  </si>
  <si>
    <t>UGM, 2004, Perbandingan Agama</t>
  </si>
  <si>
    <t>DPK STIT Yogyakarta</t>
  </si>
  <si>
    <t>Nina Hamidah, S.Si.,MA</t>
  </si>
  <si>
    <t>N 048210</t>
  </si>
  <si>
    <t>30-06-1977</t>
  </si>
  <si>
    <t>197706302006042001</t>
  </si>
  <si>
    <t>3217097006770003</t>
  </si>
  <si>
    <t>Kimia UGM Tahun 2001</t>
  </si>
  <si>
    <t>Ilmu Kimia UGM Tahun 2012</t>
  </si>
  <si>
    <t>Kependidikan  Kimia</t>
  </si>
  <si>
    <t>Indra Fajar Nurdin, S.Pd., M.Ag.</t>
  </si>
  <si>
    <t>198104202015031003</t>
  </si>
  <si>
    <t>3204132004810005</t>
  </si>
  <si>
    <t>Pendidikan Bahasa Inggris Univ. Pendidikan Indonesia Tahun  2009</t>
  </si>
  <si>
    <t xml:space="preserve"> Ilmu Agama Islam UIN Sunan Gunung Djati Tahun 2013 </t>
  </si>
  <si>
    <t>182100516030</t>
  </si>
  <si>
    <t>2020048104</t>
  </si>
  <si>
    <t>Miftahus Sa'adah, S.Pd.I., M.Ed.</t>
  </si>
  <si>
    <t>198210192015032002</t>
  </si>
  <si>
    <t>3308025910820001</t>
  </si>
  <si>
    <t>Pendidikan Bahasa Arab UIN Sunan Kalijaga Tahun  2004</t>
  </si>
  <si>
    <t>Master Education Flinders University  Tahun 2008</t>
  </si>
  <si>
    <t>182100516021</t>
  </si>
  <si>
    <t xml:space="preserve">Sekretaris  UPT Pusat Pengembangan Bahasa Masa Jabatan 2024-2028 </t>
  </si>
  <si>
    <t>Nira Nurwulandari, M.Pd.</t>
  </si>
  <si>
    <t xml:space="preserve">199003022019032014 </t>
  </si>
  <si>
    <t>3505114203900003</t>
  </si>
  <si>
    <t>Univ. Muhammadiyah Malang Tahun 2012</t>
  </si>
  <si>
    <t>Pendidikan Fisika Universitas Negeri Malang Tahun 2015</t>
  </si>
  <si>
    <t>0702039001</t>
  </si>
  <si>
    <t>Dosen Pendidikan Fisika Asisten Ahli</t>
  </si>
  <si>
    <t>Nurhapsari Pradnya Paramita, M.Pd.I.</t>
  </si>
  <si>
    <t xml:space="preserve">198402212019032011 </t>
  </si>
  <si>
    <t>3471046102840001</t>
  </si>
  <si>
    <t>Pendidikan Islam Konsentrasi Pendidikan Bahasa Arab UIN Sunan Kalijaga Tahun 2013</t>
  </si>
  <si>
    <t>Dosen Kitabah</t>
  </si>
  <si>
    <t>Plt. Sekretaris Program Studi Pendidikan Bahasa Arab S1</t>
  </si>
  <si>
    <t>21./10/2024</t>
  </si>
  <si>
    <t>Heru Sulistya, M.Pd.</t>
  </si>
  <si>
    <t xml:space="preserve">199410212019031009 </t>
  </si>
  <si>
    <t>3401092110940001</t>
  </si>
  <si>
    <t>UIN Sunan Kalijaga Tahun 2016</t>
  </si>
  <si>
    <t>Pendidikan Agama Islam Konsentrasi Manajemen dan Kebijakan Pendidikan Islam UIN Sunan Kalijaga Tahun 2018</t>
  </si>
  <si>
    <t>Puspo Rohmi, M.Pd.</t>
  </si>
  <si>
    <t xml:space="preserve">199103032019032020 </t>
  </si>
  <si>
    <t>3319044303910003</t>
  </si>
  <si>
    <t>Universitas Negeri Semarang Tahun 2012</t>
  </si>
  <si>
    <t>Pendidikan Ilmu Pengetahuan Alam UPI Tahun 2015</t>
  </si>
  <si>
    <t>Sekretaris Program Studi Pendidikan Fisika</t>
  </si>
  <si>
    <t>Inggit Dyaning Wijayanti, M.Pd.</t>
  </si>
  <si>
    <t xml:space="preserve">199112022019032025 </t>
  </si>
  <si>
    <t>3404074212910003</t>
  </si>
  <si>
    <t>Pendidikan Guru Madrasah Ibtidaiyah Konsentrasi Sains UIN Sunan Kalijaga Tahun 2016</t>
  </si>
  <si>
    <t>Kurikulum Pendidikan Dasar</t>
  </si>
  <si>
    <t>Andhika Yahya Putra, M.Or.</t>
  </si>
  <si>
    <t xml:space="preserve">199111192019031011 </t>
  </si>
  <si>
    <t>3313041911910002</t>
  </si>
  <si>
    <t>UNS Tahun 2013</t>
  </si>
  <si>
    <t>Ilmu Keolahragaan, UNS Tahun 2018</t>
  </si>
  <si>
    <t>Olahraga</t>
  </si>
  <si>
    <t>Asniyah Nailasariy, M.Pd.I.</t>
  </si>
  <si>
    <t xml:space="preserve">198808052019032012 </t>
  </si>
  <si>
    <t>3310064508880001</t>
  </si>
  <si>
    <t>UIN Sunan Kalijaga Tahun 2010</t>
  </si>
  <si>
    <t>Pendidikan Islam Kons. Manajemen dan Kebijakan Pendidikan Islam UIN Sunan Kalijaga Tahun 2013</t>
  </si>
  <si>
    <t>Sekretaris Program Studi Pendidikan Agama Islam (PAI) Masa Jabatan 2024-2028</t>
  </si>
  <si>
    <t>Indriyani Ma'rifah, M.Pd.I.</t>
  </si>
  <si>
    <t xml:space="preserve">198612092019032018 </t>
  </si>
  <si>
    <t>3404074912860004</t>
  </si>
  <si>
    <t>Pendidikan Islam Kons. Pemikiran Pendidikan Islam UIN Sunan Kalijaga Tahun 2011</t>
  </si>
  <si>
    <t>Irwanto, M.Pd.</t>
  </si>
  <si>
    <t>Indramayu</t>
  </si>
  <si>
    <t xml:space="preserve">199009072019031009 </t>
  </si>
  <si>
    <t>3204050709900005</t>
  </si>
  <si>
    <t>UIN Sunan Gunung Djati Bandung Tahun 2013</t>
  </si>
  <si>
    <t>Manajemen Pendidikan Islam UIN Sunan Gunung Djati Bandung Tahun 2018</t>
  </si>
  <si>
    <t>Ekonomi Pendidikan</t>
  </si>
  <si>
    <t xml:space="preserve">Plt. Sekretaris Program Studi Magister Manajemen Pendidikan Islam </t>
  </si>
  <si>
    <t>Muhamad Iskhak, M.Pd.</t>
  </si>
  <si>
    <t xml:space="preserve">198612022019031008 </t>
  </si>
  <si>
    <t>3321010212860001</t>
  </si>
  <si>
    <t>STIE Dharma Putra Semarang Tahun 2010</t>
  </si>
  <si>
    <t>Pendidikan Ekonomi Univ. Negeri Surabaya Tahun 2017</t>
  </si>
  <si>
    <t>0602128602</t>
  </si>
  <si>
    <t>Evaluasi Pendidikan</t>
  </si>
  <si>
    <t>Sekretaris Program Studi Pendidikan Profesi Guru</t>
  </si>
  <si>
    <t>Norma Sidik Risdianto, S.Pd., M.Sc.</t>
  </si>
  <si>
    <t>Wonosobo</t>
  </si>
  <si>
    <t>198706302015031003</t>
  </si>
  <si>
    <t>3307093006870004</t>
  </si>
  <si>
    <t>Pendidikan Fisika Universitas Negeri Semarang Tahun 2010</t>
  </si>
  <si>
    <t>Fisika UGM Tahun 2013</t>
  </si>
  <si>
    <t>Koordinator Bidang Fisika pada Laboratorium Terpadu</t>
  </si>
  <si>
    <t>Rachmad Resmiyanto, S.Si., M.Sc.</t>
  </si>
  <si>
    <t>198203222015031002</t>
  </si>
  <si>
    <t>3310232203820001</t>
  </si>
  <si>
    <t>Fisika UGM Tahun 2006</t>
  </si>
  <si>
    <t>Fisika UGM Tahun 2014</t>
  </si>
  <si>
    <t>222100517762</t>
  </si>
  <si>
    <t>0522038201</t>
  </si>
  <si>
    <t>Kurikulum Fisika Sekolah Menengah</t>
  </si>
  <si>
    <t>Muhammad Aufal Minan, M.Pd.</t>
  </si>
  <si>
    <t xml:space="preserve">199105052019031025 </t>
  </si>
  <si>
    <t>3320010505910003</t>
  </si>
  <si>
    <t>2005059101</t>
  </si>
  <si>
    <t>Iva Nandya Atika, S.Pd., M.Ed.</t>
  </si>
  <si>
    <t>199312042020122011</t>
  </si>
  <si>
    <t>3304064412930007</t>
  </si>
  <si>
    <t>Pendidikan Ilmu Pengetahuan Alam Hiroshima University Tahun 2019</t>
  </si>
  <si>
    <t>2004129301</t>
  </si>
  <si>
    <t>Pendidikan IPA</t>
  </si>
  <si>
    <t>Ketua Program Studi Pendidikan Fisika</t>
  </si>
  <si>
    <t>Setia Rahmawan, M.Pd.</t>
  </si>
  <si>
    <t>Subang</t>
  </si>
  <si>
    <t>199306262020121005</t>
  </si>
  <si>
    <t>3213012606930001</t>
  </si>
  <si>
    <t>Pendidikan Ilmu Pengetahuan Alam Universitas Pendidikan Indonesia Tahun 2019</t>
  </si>
  <si>
    <t>2026069301</t>
  </si>
  <si>
    <t>Pendidikan Sains</t>
  </si>
  <si>
    <t>Aprillyana Dwi Utami, S.Pd., M.A.</t>
  </si>
  <si>
    <t>199404262020122014</t>
  </si>
  <si>
    <t>1571076604940061</t>
  </si>
  <si>
    <t>Pendidikan Ilmu Pengetahuan Alam University College London Tahun 2017</t>
  </si>
  <si>
    <t>Devi Nurtiyasari, S.Si., M.Sc.</t>
  </si>
  <si>
    <t>199112312020122011</t>
  </si>
  <si>
    <t>3310267012910004</t>
  </si>
  <si>
    <t>Matematika UGM Tahun 2017</t>
  </si>
  <si>
    <t>2031129103</t>
  </si>
  <si>
    <t xml:space="preserve">Dosen Matematika </t>
  </si>
  <si>
    <t>Alfian Eko Widodo Adi Prasetyo, M.Pd.</t>
  </si>
  <si>
    <t>199206032020121010</t>
  </si>
  <si>
    <t>3317010306920003</t>
  </si>
  <si>
    <t>Pendidikan Seni Universitas Negeri Semarang Tahun 2018</t>
  </si>
  <si>
    <t>2003069203</t>
  </si>
  <si>
    <t>Seni Tari</t>
  </si>
  <si>
    <t>Bahtiar Arbi, S.Pd., M.Pd.</t>
  </si>
  <si>
    <t>199305042020121006</t>
  </si>
  <si>
    <t>3308200405930001</t>
  </si>
  <si>
    <t>Pendidikan Seni Universitas Negeri Semarang Tahun 2017</t>
  </si>
  <si>
    <t>2004059301</t>
  </si>
  <si>
    <t>Seni Musik</t>
  </si>
  <si>
    <t>Nidya Ferry Wulandari, M.Pd.</t>
  </si>
  <si>
    <t>199108092020122010</t>
  </si>
  <si>
    <t>3404054908910002</t>
  </si>
  <si>
    <t>Pendidikan Matematika UNY Tahun 2015</t>
  </si>
  <si>
    <t>2009089103</t>
  </si>
  <si>
    <t>Wed Giyarti, M.Si.</t>
  </si>
  <si>
    <t>198503222020122003</t>
  </si>
  <si>
    <t>3402156203850006</t>
  </si>
  <si>
    <t>Matematika UI Tahun 2014</t>
  </si>
  <si>
    <t>2022038503</t>
  </si>
  <si>
    <t>Dosen Matematika</t>
  </si>
  <si>
    <t xml:space="preserve">Koordinator Bidang Matematika pada Laboratorium Terpadu </t>
  </si>
  <si>
    <t>Iqbal Ramadani, M.Pd.</t>
  </si>
  <si>
    <t>199401252020121004</t>
  </si>
  <si>
    <t>1471092501940003</t>
  </si>
  <si>
    <t>Pendidikan Matematika Universitas Pendidikan Indonesia Tahun 2019</t>
  </si>
  <si>
    <t>2025019401</t>
  </si>
  <si>
    <t>Ari Cahya Mawardi, M.Pd.</t>
  </si>
  <si>
    <t xml:space="preserve">198806022019031011 </t>
  </si>
  <si>
    <t>3323080206880002</t>
  </si>
  <si>
    <t>Teknologi Pendidikan Universitas Sebelas Maret Tahun 2016</t>
  </si>
  <si>
    <t>Dosen Media Pembelajaran</t>
  </si>
  <si>
    <t>Fahrunnisa, M.Psi.</t>
  </si>
  <si>
    <t>198511272020122003</t>
  </si>
  <si>
    <t>3404046711850004</t>
  </si>
  <si>
    <t>Psikologi UGM Tahun 2014</t>
  </si>
  <si>
    <t>2027118502</t>
  </si>
  <si>
    <t xml:space="preserve">Bimbingan dan Konseling </t>
  </si>
  <si>
    <t>Adhi Setiyawan, S.Pd., M.Pd.</t>
  </si>
  <si>
    <t>01-09-1980</t>
  </si>
  <si>
    <t>198009012008011011</t>
  </si>
  <si>
    <t>3402120109800006</t>
  </si>
  <si>
    <t>Ilmu Pendidikan - Teknologi Pendidikan UNY, Tahun 2021</t>
  </si>
  <si>
    <t>Sekretaris Program Magister Pendidikan Agama Islam</t>
  </si>
  <si>
    <t>E. FAKULTAS USHULUDDIN DAN PEMIKIRAN ISLAM</t>
  </si>
  <si>
    <t>Prof. Dr. H. Muhammad, M.Ag.</t>
  </si>
  <si>
    <t>E.894472</t>
  </si>
  <si>
    <t>195905151990011002</t>
  </si>
  <si>
    <t>3471131505590003</t>
  </si>
  <si>
    <t>Perbandingan Agama IAIN Sunan Kalijaga Tahun 1989</t>
  </si>
  <si>
    <t>Program Doktor IAIN Sunan Kalijaga Tahun 2003</t>
  </si>
  <si>
    <t>09210050085</t>
  </si>
  <si>
    <t>Ilmu Al-Qur`an dan Tafsir (S2)</t>
  </si>
  <si>
    <t>Prof. Syafa'atun Almirzanah, Ph.D, D.Min.</t>
  </si>
  <si>
    <t>E. 900301</t>
  </si>
  <si>
    <t>196309241989032003</t>
  </si>
  <si>
    <t>3471036009630001</t>
  </si>
  <si>
    <t>Perbandingan Agama IAIN Sunan Kalijaga Tahun 1988</t>
  </si>
  <si>
    <t>Doctor of Philosophy, Lutheran School of Theology at Chicago, 2008</t>
  </si>
  <si>
    <t>092100500206</t>
  </si>
  <si>
    <t>Studi Agama Agama (S2)</t>
  </si>
  <si>
    <t xml:space="preserve">Studi Agama </t>
  </si>
  <si>
    <t xml:space="preserve">Prof. Dr.Phil. H.Al Makin, S.Ag, MA </t>
  </si>
  <si>
    <t>L. 046297</t>
  </si>
  <si>
    <t>197209122001121002</t>
  </si>
  <si>
    <t>3404011209720001</t>
  </si>
  <si>
    <t>Tafsir Hadits IAIN Sunan Kalijaga Tahun 1996</t>
  </si>
  <si>
    <t>Univ McGill Canada, Th 2000</t>
  </si>
  <si>
    <t>Philosophy, The University of Heidelberg Germany, Tahun Tahun 2008</t>
  </si>
  <si>
    <t>Aqidah dan Filsafat Islam (S3)</t>
  </si>
  <si>
    <t>Filsafat</t>
  </si>
  <si>
    <t>Prof. Dr. H. Abdul Mustaqim, S.Ag., M.Ag.</t>
  </si>
  <si>
    <t>G.292206</t>
  </si>
  <si>
    <t>197212041997031003</t>
  </si>
  <si>
    <t>3402120412720003</t>
  </si>
  <si>
    <t>Agama Filsafat Kons. Filsafat Islam IAIN Sunan Kalijaga Tahun 1999</t>
  </si>
  <si>
    <t>092100500260</t>
  </si>
  <si>
    <t>Ulumul Qur'an</t>
  </si>
  <si>
    <t>Prof. Dr. Sekar Ayu Aryani, M.Ag.</t>
  </si>
  <si>
    <t>E.725869</t>
  </si>
  <si>
    <t>195912181987032001</t>
  </si>
  <si>
    <t>3311125812590003</t>
  </si>
  <si>
    <t>Perbandingan Agama IAIN Sunan Kalijaga Tahun 1985</t>
  </si>
  <si>
    <t>Aqidah Filsafat IAIN Sunan Kalijaga Tahun 1994</t>
  </si>
  <si>
    <t>Program Doktor IAIN Sunan Kalijaga 2003</t>
  </si>
  <si>
    <t>092100500196</t>
  </si>
  <si>
    <t>Psikologi Agama</t>
  </si>
  <si>
    <t>Prof. Dr. Ahmad Baidowi, S.Ag,M.Si.</t>
  </si>
  <si>
    <t>G. 292207</t>
  </si>
  <si>
    <t>196901201997031001</t>
  </si>
  <si>
    <t>3404102001690002</t>
  </si>
  <si>
    <t>Tafsir Hadits IAIN Sunan Kalijaga Tahun 1995</t>
  </si>
  <si>
    <t>Studi Islam UIN Sunan Kalijaga Tahun  2009</t>
  </si>
  <si>
    <t>092100500262</t>
  </si>
  <si>
    <t>Studi Al-Qur'an</t>
  </si>
  <si>
    <t>Prof. Fatimah, MA, Ph.D.</t>
  </si>
  <si>
    <t>E. 946983</t>
  </si>
  <si>
    <t>196511141992032001</t>
  </si>
  <si>
    <t>3404075411650002</t>
  </si>
  <si>
    <t>Aqidah Filsafat IAIN Sunan Kalijaga Tahun 1990</t>
  </si>
  <si>
    <t>Islamic Studies  McGill University Tahun 1997</t>
  </si>
  <si>
    <t>Islamic Studies The University Moulbourne Tahun 2004</t>
  </si>
  <si>
    <t>092100500226</t>
  </si>
  <si>
    <t>Filsafat Agama</t>
  </si>
  <si>
    <t>Prof. Dr. Inayah Rohmaniyah,S.Ag.M.Hum, MA</t>
  </si>
  <si>
    <t>H.009417</t>
  </si>
  <si>
    <t>197110191996032001</t>
  </si>
  <si>
    <t>3404075910710005</t>
  </si>
  <si>
    <t>Ilmu Filsafat UGM Tahun 2001 / Religious Studies Arizona State University Tahun 2006</t>
  </si>
  <si>
    <t>Ilmu Agama dan Lintas Budaya UGM Tahun 2013</t>
  </si>
  <si>
    <t>092100500257</t>
  </si>
  <si>
    <t>Prof. Dr. Phil. Sahiron, MA.</t>
  </si>
  <si>
    <t>G.294460</t>
  </si>
  <si>
    <t>196806051994031003</t>
  </si>
  <si>
    <t>3402150506680008</t>
  </si>
  <si>
    <t>Tafsir Hadits IAIN Sunan Kalijaga Tahun 1993</t>
  </si>
  <si>
    <t>Islamic Studies McGill University Tahun 1998</t>
  </si>
  <si>
    <t xml:space="preserve">Otto Friedrich Universitat Bamberg Jerman Tahun 2006  </t>
  </si>
  <si>
    <t>092100500239</t>
  </si>
  <si>
    <t>Direktur Pendidikan Tinggi Keagamaan Islam Direktorat Jenderal Pendidikan Islam Kementerian Agama (TMT 24-12-2024)</t>
  </si>
  <si>
    <t>Prof. Dr. Nurun Najwah, M.Ag.</t>
  </si>
  <si>
    <t>G. 038152</t>
  </si>
  <si>
    <t>196912121993032004</t>
  </si>
  <si>
    <t>3404095212690004</t>
  </si>
  <si>
    <t>Tafsir Hadits IAIN Sunan Kalijaga Tahun 1992</t>
  </si>
  <si>
    <t>Studi Islam UIN Sunan Kalijaga Tahun 2005</t>
  </si>
  <si>
    <t>092100500307</t>
  </si>
  <si>
    <t>Ilmu Hadis (S1)</t>
  </si>
  <si>
    <t>Ilmu Hadis</t>
  </si>
  <si>
    <t xml:space="preserve">Prof. Dr. H. Zuhri, S.Ag., M.Ag. </t>
  </si>
  <si>
    <t>L 031074</t>
  </si>
  <si>
    <t>197007112001121001</t>
  </si>
  <si>
    <t>3404010110770004</t>
  </si>
  <si>
    <t>Ilmu Agama Islam IAIN Sunan Ampel Tahun 1999</t>
  </si>
  <si>
    <t>092100500288</t>
  </si>
  <si>
    <t>Aqidah dan Filsafat Islam (S2)</t>
  </si>
  <si>
    <t>Sosiologi Pengetahuan Islam</t>
  </si>
  <si>
    <t>Ketua Program Studi Doktor Aqidah dan Filsafat Islam (AFI)</t>
  </si>
  <si>
    <t>Prof. Dr. Saifuddin Zuhri, S.Th.I, MA.</t>
  </si>
  <si>
    <t>P. 623365</t>
  </si>
  <si>
    <t>23-01-1980</t>
  </si>
  <si>
    <t>198001232009011004</t>
  </si>
  <si>
    <t>3402122301800004</t>
  </si>
  <si>
    <t>01-04-2023</t>
  </si>
  <si>
    <t>Tafsir Hadis IAIN Sunan Kalijaga Tahun 2003</t>
  </si>
  <si>
    <t>Perbandingan Agama UGM Tahun 2006</t>
  </si>
  <si>
    <t>Ilmu Agama &amp; Lintas Budaya UGM Tahun 2015</t>
  </si>
  <si>
    <t>2023018002</t>
  </si>
  <si>
    <t>Wakil Dekan  Bid. Akademik Fakultas  Ushuluddin dan  Pemikiran Islam Masa Jabatan 2024-2028</t>
  </si>
  <si>
    <t>Dr. H. Shofiyullah MZ, S.Ag, M.Ag.</t>
  </si>
  <si>
    <t>J 088814</t>
  </si>
  <si>
    <t>197105282000031001</t>
  </si>
  <si>
    <t>3404072805710005</t>
  </si>
  <si>
    <t>Peradilan Agama Institut Keislaman Hasyim Asy'ari Tebu Ireng Jombang Tahun  1995</t>
  </si>
  <si>
    <t>Agama Filsafat IAIN Sunan Kalijaga Tahun 1998</t>
  </si>
  <si>
    <t>092100500282</t>
  </si>
  <si>
    <t xml:space="preserve">Drs. Rahmat Fajri, M.Ag. </t>
  </si>
  <si>
    <t>G. 289531</t>
  </si>
  <si>
    <t>196802261995031001</t>
  </si>
  <si>
    <t>3404012602680002</t>
  </si>
  <si>
    <t>Perbandingan Agama IAIN Sunan Kalijaga Tahun 1993</t>
  </si>
  <si>
    <t>Agama dan Filsafat Kons. Hubungan Antar Agama UIN Sunan Kalijaga Tahun 2005</t>
  </si>
  <si>
    <t>092100500314</t>
  </si>
  <si>
    <t>Studi Agama-Agama (S1)</t>
  </si>
  <si>
    <t>Ilmu Sosiologi Agama</t>
  </si>
  <si>
    <t>Drs. H. Mohamad Yusup, M.S.I</t>
  </si>
  <si>
    <t>G.141822</t>
  </si>
  <si>
    <t>Jati Rogo</t>
  </si>
  <si>
    <t>196002071994031001</t>
  </si>
  <si>
    <t>3471130702600002</t>
  </si>
  <si>
    <t>IAIN/Ekonomi Islam, Th 2000</t>
  </si>
  <si>
    <t xml:space="preserve">IAIN Tahun 2003. </t>
  </si>
  <si>
    <t>092100500243</t>
  </si>
  <si>
    <t>Ilmu al-Qur'an dan Tafsir (S1)</t>
  </si>
  <si>
    <t>Tafsir Hadist</t>
  </si>
  <si>
    <t>Dr. Alim Roswantoro, M.Ag.</t>
  </si>
  <si>
    <t>H. 009420</t>
  </si>
  <si>
    <t>196812081998031002</t>
  </si>
  <si>
    <t>3404100812680001</t>
  </si>
  <si>
    <t>Aqidah Filsafat IAIN Sunan Kalijaga Tahun 1995</t>
  </si>
  <si>
    <t>Agama dan Filsafat Kons. Studi Al-qu'an dan Hadis UIN Sunan Kalijaga Tahun 2009</t>
  </si>
  <si>
    <t>092100500274</t>
  </si>
  <si>
    <t>Dr. Moh. Soehadha,S.Sos.M.Hum.</t>
  </si>
  <si>
    <t>J 012482</t>
  </si>
  <si>
    <t>197204171999031003</t>
  </si>
  <si>
    <t>3404101704720003</t>
  </si>
  <si>
    <t>Antropologi UGM Tahun 1995</t>
  </si>
  <si>
    <t>Antropologi UGM Tahun 2003</t>
  </si>
  <si>
    <t>Ilmu-ilmu Humaniora UGM Tahun 2010</t>
  </si>
  <si>
    <t>092100500279</t>
  </si>
  <si>
    <t>Sosiologi Agama (S1)</t>
  </si>
  <si>
    <t>Antropologi</t>
  </si>
  <si>
    <t>Dr. Fahruddin Faiz, S.Ag ,M.Ag.</t>
  </si>
  <si>
    <t>J. 091915</t>
  </si>
  <si>
    <t>Mojokerto</t>
  </si>
  <si>
    <t>197508162000031001</t>
  </si>
  <si>
    <t>3404071608760008</t>
  </si>
  <si>
    <t>Agama dan Filsafat Kons. Filsafat Islam IAIN Sunan Kalijaga Tahun 2001</t>
  </si>
  <si>
    <t>Hermeneutika</t>
  </si>
  <si>
    <t>Prof. Ahmad Muttaqin, S.Ag, M.Ag., MA, Ph.D</t>
  </si>
  <si>
    <t>J. 050004</t>
  </si>
  <si>
    <t>197204141999031002</t>
  </si>
  <si>
    <t>3403101404720002</t>
  </si>
  <si>
    <t>Perbandingan Agama IAIN Sunan Kalijaga Tahun 1996</t>
  </si>
  <si>
    <t>Religous Studies Florida International University  Tahun 2005</t>
  </si>
  <si>
    <t>Sosiologi Agama University of Western Sydney Tahun 2012</t>
  </si>
  <si>
    <t>Dr. Ustadi Hamsah,S.Ag., M.Ag.</t>
  </si>
  <si>
    <t>J. 091916</t>
  </si>
  <si>
    <t>197411062000031001</t>
  </si>
  <si>
    <t>3404100611740002</t>
  </si>
  <si>
    <t>Perbandingan Agama IAIN Sunan Kalijaga Tahun 1999</t>
  </si>
  <si>
    <t>Agama dan Filsafat Kons. Hubungan Antar Agama IAIN Sunan Kalijaga Tahun 2003</t>
  </si>
  <si>
    <t>Ilmu Hubungan Antar Agama</t>
  </si>
  <si>
    <t>Dr. Indal Abror, M.Ag</t>
  </si>
  <si>
    <t>G.013074</t>
  </si>
  <si>
    <t>196808051993031007</t>
  </si>
  <si>
    <t>3404100508680006</t>
  </si>
  <si>
    <t>Studi Islam UIN Sunan Kalijaga Tahun 2004</t>
  </si>
  <si>
    <t>092100500230</t>
  </si>
  <si>
    <t>Ketua Program Studi S1 Ilmu Hadis</t>
  </si>
  <si>
    <t>Muh  Fatkhan, S.Ag ,M.Hum.</t>
  </si>
  <si>
    <t>J. 012484</t>
  </si>
  <si>
    <t>197203281999031002</t>
  </si>
  <si>
    <t>3308092803720001</t>
  </si>
  <si>
    <t xml:space="preserve">Sejarah dan Kebudayaan Islam IAIN Sunan Kalijaga Tahun 1997 </t>
  </si>
  <si>
    <t>Sejarah UGM Tahun 2003</t>
  </si>
  <si>
    <t>092100500320</t>
  </si>
  <si>
    <t>Aqidah dan Filsafat Islam (S1)</t>
  </si>
  <si>
    <t>Sejarah Islam Indonesia</t>
  </si>
  <si>
    <t xml:space="preserve">Ketua Program Studi Magister Aqidah dan Filsafat Islam </t>
  </si>
  <si>
    <t>Dr. Afdawaiza, S.Ag ,M.Ag.</t>
  </si>
  <si>
    <t>J. 012483</t>
  </si>
  <si>
    <t>Muara Panas</t>
  </si>
  <si>
    <t>197408181999031002</t>
  </si>
  <si>
    <t>3404101808740004</t>
  </si>
  <si>
    <t>Peradilan Agama IAIN Sunan Kalijaga Tahun 1998</t>
  </si>
  <si>
    <t>Hukum Islam Kons. Muamalat Tahun 2003</t>
  </si>
  <si>
    <t>Studi Islam UIN Sunan Kalijaga Tahun 2017</t>
  </si>
  <si>
    <t>Dr. Muhammad Taufik, S.Ag., M.A.</t>
  </si>
  <si>
    <t>H. 006960</t>
  </si>
  <si>
    <t>Bangkinang</t>
  </si>
  <si>
    <t>197106161997031003</t>
  </si>
  <si>
    <t>3471141606710001</t>
  </si>
  <si>
    <t>Aqidah dan Filsafat IAIN Sunan Kalijaga Tahun 1996</t>
  </si>
  <si>
    <t>Agama dan Filsafat Kons. Filsafat Islam UIN Sunan Kalijaga Tahun 2003</t>
  </si>
  <si>
    <t>Dr. Masroer, S. Ag., M. Si.</t>
  </si>
  <si>
    <t>M 068085</t>
  </si>
  <si>
    <t>196910292005011001</t>
  </si>
  <si>
    <t>3404102910690002</t>
  </si>
  <si>
    <t>Sosiologi Agama Universitas Kristen Satya Wacana Tahun 2000</t>
  </si>
  <si>
    <t xml:space="preserve">Sosiologi Agama Universitas Kristen Satya Wacana Tahun 2015  </t>
  </si>
  <si>
    <t>Dr. Ahmad Salehudin, S.Th.I.,M.A.</t>
  </si>
  <si>
    <t>P 437833</t>
  </si>
  <si>
    <t>05-04-1978</t>
  </si>
  <si>
    <t>197804052009011010</t>
  </si>
  <si>
    <t>3519010504780003</t>
  </si>
  <si>
    <t>01-10-2024</t>
  </si>
  <si>
    <t>Perbandingan Agama IAIN Sunan Kalijaga Tahun 2002</t>
  </si>
  <si>
    <t>Ilmu Perbandingan Agama UGM Tahun 2006</t>
  </si>
  <si>
    <t>Inter-Religious Studies UGM Tahun 2018</t>
  </si>
  <si>
    <t>01-05-2043</t>
  </si>
  <si>
    <t>Antropologi Agama</t>
  </si>
  <si>
    <t>Wakil Dekan  Bid. Kemahasiswaan dan Kerjasama Fakultas  Ushuluddin dan Pemikiran Islam Masa Jabatan 2024-2028</t>
  </si>
  <si>
    <t>Dr. Roma Ulinnuha, S.S., M. Hum</t>
  </si>
  <si>
    <t>N. 048208</t>
  </si>
  <si>
    <t>197409042006041002</t>
  </si>
  <si>
    <t>3402160409740003</t>
  </si>
  <si>
    <t>Bahasa dan Sastra Inggris UNDIP Tahun 1999</t>
  </si>
  <si>
    <t>Pengkajian Amerika UGM Tahun 2005</t>
  </si>
  <si>
    <t xml:space="preserve">Studi Islam </t>
  </si>
  <si>
    <t>Perbandingan Agama</t>
  </si>
  <si>
    <t>Dr. RR.Siti Kurnia Widiastuti, S.Ag, M.Pd., MA.</t>
  </si>
  <si>
    <t>M 136390</t>
  </si>
  <si>
    <t>197409192005012001</t>
  </si>
  <si>
    <t>3402125909740002</t>
  </si>
  <si>
    <t>Penelitian dan Evaluasi Pendidikan UNY Tahun 2004 / Social Justice In Intercultural Relations United State of America 2007</t>
  </si>
  <si>
    <t>Agama dan Lintas Budaya UGM Tahun 2017</t>
  </si>
  <si>
    <t>Dr. Robby Habiba Abror, S.Ag., M.Hum.</t>
  </si>
  <si>
    <t>P. 439499</t>
  </si>
  <si>
    <t>23-03-1978</t>
  </si>
  <si>
    <t>197803232007101003</t>
  </si>
  <si>
    <t>3404122303780008</t>
  </si>
  <si>
    <t>Aqidah Filsafat IAIN Sunan Kalijaga Tahun 2001</t>
  </si>
  <si>
    <t>Ilmu Filsafat UGM Tahun 2004</t>
  </si>
  <si>
    <t>Ilmu Kajian Budaya dan Media UGM Tahun 2014</t>
  </si>
  <si>
    <t>01-04-2043</t>
  </si>
  <si>
    <t xml:space="preserve">Filsafat </t>
  </si>
  <si>
    <t>Dekan Fak.  Ushuluddin dan Pemikiran Islam Masa Jabatan 2024 - 2028</t>
  </si>
  <si>
    <t xml:space="preserve">Dr. H. Agung Danarta, M.Ag </t>
  </si>
  <si>
    <t>G.278179</t>
  </si>
  <si>
    <t>196801241994031001</t>
  </si>
  <si>
    <t>3401052401680002</t>
  </si>
  <si>
    <t>Ilmu Agama Islam IAIN Alauddin Ujung Pandang Tahun 1997</t>
  </si>
  <si>
    <t xml:space="preserve">Studi Islam UIN Sunan Kalijaga 2008 </t>
  </si>
  <si>
    <t>092100500240</t>
  </si>
  <si>
    <t>Drs. Muhammad Mansur, M.Ag</t>
  </si>
  <si>
    <t>G  013073</t>
  </si>
  <si>
    <t>196801281993031001</t>
  </si>
  <si>
    <t>3404092801680003</t>
  </si>
  <si>
    <t>Aqidah Filsafat IAIN Sunan Kalijaga Tahun 2002</t>
  </si>
  <si>
    <t>Dadi Nurhaedi,S.Ag.M.Si.</t>
  </si>
  <si>
    <t>G. 313917</t>
  </si>
  <si>
    <t>197112121997031002</t>
  </si>
  <si>
    <t>3404081212710006</t>
  </si>
  <si>
    <t>Sosiologi UGM Tahun 2001</t>
  </si>
  <si>
    <t>092100500261</t>
  </si>
  <si>
    <t xml:space="preserve">Muhammad Hidayat Noor, S.Ag, M.Ag. </t>
  </si>
  <si>
    <t>J 050005</t>
  </si>
  <si>
    <t>197109011999031002</t>
  </si>
  <si>
    <t>3402120109710007</t>
  </si>
  <si>
    <t>Tafsir Hadits IAIN Sunan Kalijaga Tahun 1998</t>
  </si>
  <si>
    <t>Al-Qur'an / Ulumul Qur'an</t>
  </si>
  <si>
    <t>Dr. Munawar Ahmad, SS, M.Si.</t>
  </si>
  <si>
    <t>L. 169552</t>
  </si>
  <si>
    <t>196910172002121001</t>
  </si>
  <si>
    <t>3402091710690001</t>
  </si>
  <si>
    <t>Filsafat UGM Tahun 1995</t>
  </si>
  <si>
    <t>Ilmu Politik UGM Tahun 2002</t>
  </si>
  <si>
    <t>Ilmu Politik UGM Tahun 2007</t>
  </si>
  <si>
    <t>Wakil Dekan  Bid. Administrasi Umum, Perencanaan dan Keuangan Fakultas  Ushuluddin dan  Pemikiran Islam Masa Jabatan 2024-2028</t>
  </si>
  <si>
    <t>Dr. Adib Sofia, S.S., M. Hum.</t>
  </si>
  <si>
    <t>N 046757</t>
  </si>
  <si>
    <t>15-01-1978</t>
  </si>
  <si>
    <t>197801152006042001</t>
  </si>
  <si>
    <t>3404115501780002</t>
  </si>
  <si>
    <t>Sastra Indonesia UGM Tahun 2002</t>
  </si>
  <si>
    <t>Sastra UGM Tahun 2005</t>
  </si>
  <si>
    <t>lmu-Ilmu Humaniora (Sastra) UGM Tahun 2016</t>
  </si>
  <si>
    <t>Filologi</t>
  </si>
  <si>
    <t>Dr. Mutiullah, S.Fil.I., M.Hum.</t>
  </si>
  <si>
    <t>N 046756</t>
  </si>
  <si>
    <t>13-12-1979</t>
  </si>
  <si>
    <t>197912132006041005</t>
  </si>
  <si>
    <t>1119141312790006</t>
  </si>
  <si>
    <t>Akidah Filsafat IAIN Sunan Kalijaga Tahun 2002</t>
  </si>
  <si>
    <t>Ilmu Filsafat UGM Tahun 2005</t>
  </si>
  <si>
    <t>Filsafat Barat</t>
  </si>
  <si>
    <t>Ketua Program Studi S1 Studi Islam</t>
  </si>
  <si>
    <t>Khairullah Zikri.S.Ag.MA.St.Rel</t>
  </si>
  <si>
    <t>I.O27751</t>
  </si>
  <si>
    <t>Kuala Tungkal</t>
  </si>
  <si>
    <t>197405251998031005</t>
  </si>
  <si>
    <t>3402122505740005</t>
  </si>
  <si>
    <t>dakwah IAIN Sultan Thaha Saifuddin Jambi Tahun 1996</t>
  </si>
  <si>
    <t>Studies in Religion The University of Queensland Tahun 2000</t>
  </si>
  <si>
    <t>Ilmu Perbandingan Agama</t>
  </si>
  <si>
    <t>Sekretaris Program Studi S1 Studi Agama-Agama</t>
  </si>
  <si>
    <t>Dr. Imam Iqbal, S.Fil.I, M.S.I.</t>
  </si>
  <si>
    <t>P. 167933</t>
  </si>
  <si>
    <t>29-06-1978</t>
  </si>
  <si>
    <t>197806292008011003</t>
  </si>
  <si>
    <t>3471032906780001</t>
  </si>
  <si>
    <t>Aqidah Filsafat UIN Sunan Kalijaga Tahun 2005</t>
  </si>
  <si>
    <t>Agama dan Filsafat Kons. Filsafat Islam UIN Sunan Kalijaga Tahun 2007</t>
  </si>
  <si>
    <t>01-07-2043</t>
  </si>
  <si>
    <t>Filsafat Islam</t>
  </si>
  <si>
    <t>Dr. Dian Nur Anna, S.Ag, M.A.</t>
  </si>
  <si>
    <t>N 527148</t>
  </si>
  <si>
    <t>16-03-1976</t>
  </si>
  <si>
    <t>197603162007012023</t>
  </si>
  <si>
    <t>3404145603760001</t>
  </si>
  <si>
    <t>Aqidah Filsafat IAIN Sunan Kalijaga Tahun 2000</t>
  </si>
  <si>
    <t>Ilmu Perbandingan Agama UGM Tahun 2004</t>
  </si>
  <si>
    <t>01-04-2041</t>
  </si>
  <si>
    <t>Ketua Program Studi Magister Studi Agama-Agama</t>
  </si>
  <si>
    <t>Roni Ismail, S.Th.I., M.S.I.</t>
  </si>
  <si>
    <t>Q. 151241</t>
  </si>
  <si>
    <t>198002282011011003</t>
  </si>
  <si>
    <t>3404072802800015</t>
  </si>
  <si>
    <t>Perbandingan Agama UIN Sunan Kalijaga Tahun 2005</t>
  </si>
  <si>
    <t>Agama dan Filsafat Kons. Studi Islam UIN Sunan Kalijaga Tahun  2010</t>
  </si>
  <si>
    <t>Ketua Program Studi S1 Studi Agama-Agama</t>
  </si>
  <si>
    <t>Subkhani Kusuma Dewi, M.A.</t>
  </si>
  <si>
    <t xml:space="preserve">  </t>
  </si>
  <si>
    <t>198101202015032002</t>
  </si>
  <si>
    <t>3572016001810003</t>
  </si>
  <si>
    <t>Agama dan Lintas Budaya UGM Tahun 2009</t>
  </si>
  <si>
    <t>172100514769</t>
  </si>
  <si>
    <t>01-02-2046</t>
  </si>
  <si>
    <t>Hadits dan Sosial Budaya</t>
  </si>
  <si>
    <t>Lien Iffah Naf'atu Fina, M.Hum.</t>
  </si>
  <si>
    <t>198506052015032002</t>
  </si>
  <si>
    <t>3674054506850006</t>
  </si>
  <si>
    <t>Tafsir dan Hadis UIN Sunan Kalijaga Tahun 2009</t>
  </si>
  <si>
    <t>Agama dan Filsafat Kons. Studi Al-Qur'an dan Hadis UIN Sunan Kalijaga Tahun 2011</t>
  </si>
  <si>
    <t>2005068501</t>
  </si>
  <si>
    <t>01-07-2050</t>
  </si>
  <si>
    <t>Ilmu al-Qur'an dan Tafsir</t>
  </si>
  <si>
    <t>Dr. Ali Imron, S.Th.I., M.S.I.</t>
  </si>
  <si>
    <t>P. 623367</t>
  </si>
  <si>
    <t>198211052009121002</t>
  </si>
  <si>
    <t>3404010511820006</t>
  </si>
  <si>
    <t xml:space="preserve">Tafisr Hadis UIN Sunan Kalijaga Tahun 2006  </t>
  </si>
  <si>
    <t>Agama dan Filsafat Kons. Studi Al-Qur'an dan Hadis UIN Sunan Kalijaga Tahun 2009</t>
  </si>
  <si>
    <t>Agama dan Lintas Budaya UGM Tahun 2016</t>
  </si>
  <si>
    <t>2005118201</t>
  </si>
  <si>
    <t>Ulumul Hadis</t>
  </si>
  <si>
    <t>Ketua Program Studi Magister Ilmu Al-Qur'an dan Tafsir</t>
  </si>
  <si>
    <t>Dr. Mahbub Ghozali</t>
  </si>
  <si>
    <t>Sampang</t>
  </si>
  <si>
    <t xml:space="preserve">198704142019031008 </t>
  </si>
  <si>
    <t>3527031404870005</t>
  </si>
  <si>
    <t>IAIN Sunan Ampel Tahun 2011</t>
  </si>
  <si>
    <t>IAIN Sunan Ampel Tahun 2013</t>
  </si>
  <si>
    <t>Ilmu Al-Qur'an dan Tafsir UIN Sunan Ampel Surabaya Tahun 2018</t>
  </si>
  <si>
    <t>232100519186</t>
  </si>
  <si>
    <t>2014048702</t>
  </si>
  <si>
    <t>Ilmu Al-Qur'an dan Tafsir</t>
  </si>
  <si>
    <t>Ketua Program Studi S1 Ilmu Al Qur'an dan Tafsir</t>
  </si>
  <si>
    <t>Dr. Novian Widiadharma, S.Fil,M.Hum</t>
  </si>
  <si>
    <t>N 519124</t>
  </si>
  <si>
    <t>14-11-1974</t>
  </si>
  <si>
    <t>197411142008011009</t>
  </si>
  <si>
    <t>3404111411740001</t>
  </si>
  <si>
    <t>01-04-2022</t>
  </si>
  <si>
    <t>Filsafat UGM Tahun 1999</t>
  </si>
  <si>
    <t>Doktor Filsafat, UGM, 2023</t>
  </si>
  <si>
    <t>162100514220</t>
  </si>
  <si>
    <t>01-12-2039</t>
  </si>
  <si>
    <t>Filsafat Timur</t>
  </si>
  <si>
    <t xml:space="preserve">Ketua Program Studi S1 Aqidah dan Filsafat Islam  </t>
  </si>
  <si>
    <t>Fitriana Firdausi, S.Th.I., M.Hum.</t>
  </si>
  <si>
    <t>198402082015032004</t>
  </si>
  <si>
    <t>3402134802840002</t>
  </si>
  <si>
    <t>Perbandingan Agama UIN Sunan Kalijaga Tahun 2007</t>
  </si>
  <si>
    <t>Agama dan Filsafat Kons. Studi al-Qur'an dan Hadis Tahun 2011</t>
  </si>
  <si>
    <t>182100516039</t>
  </si>
  <si>
    <t>2008028402</t>
  </si>
  <si>
    <t>01-03-2049</t>
  </si>
  <si>
    <t>Aida Hidayah, S.Th.I., M.Hum.</t>
  </si>
  <si>
    <t>198805232015032005</t>
  </si>
  <si>
    <t>3321116305880002</t>
  </si>
  <si>
    <t>Tafsir dan Hadis UIN Sunan Kalijaga Tahun 2011</t>
  </si>
  <si>
    <t>Agama dan Filsafat Kons. Studi al-Qur'an dan Hadis Tahun 2014</t>
  </si>
  <si>
    <t>2023058802</t>
  </si>
  <si>
    <t>01-06-2053</t>
  </si>
  <si>
    <t>Sekretaris Program Studi S1 Ilmu Al-Qur'an dan Tafsir</t>
  </si>
  <si>
    <t>Abd. Aziz Faiz, M.Hum.</t>
  </si>
  <si>
    <t>198909112018011002</t>
  </si>
  <si>
    <t>3527111109890005</t>
  </si>
  <si>
    <t>Sosiologi Agama UIN Sunan Kalijaga Tahun 2011</t>
  </si>
  <si>
    <t>Agama dan Filsafat Konsentrasi Studi Agama dan Resolusi Konflik UIN Sunan Kalijaga  Tahun 2014</t>
  </si>
  <si>
    <t>222100517759</t>
  </si>
  <si>
    <t>2011098902</t>
  </si>
  <si>
    <t>Ratna Istriyani, M.A.</t>
  </si>
  <si>
    <t>199103292018012003</t>
  </si>
  <si>
    <t>3404126903910002</t>
  </si>
  <si>
    <t>Sosiologi Universitas Gajah Mada Tahun 2015</t>
  </si>
  <si>
    <t>.222100517746</t>
  </si>
  <si>
    <t>2029039101</t>
  </si>
  <si>
    <t>Achmad Yafik Mursyid, M.A.</t>
  </si>
  <si>
    <t xml:space="preserve">199003092019031004 </t>
  </si>
  <si>
    <t xml:space="preserve"> 3525070903900001</t>
  </si>
  <si>
    <t>Basic Islamic Sciences Istanbul University Tahun 2017</t>
  </si>
  <si>
    <t>0509039001</t>
  </si>
  <si>
    <t>Ilmu Al-Quran dan Tafsir (S1)</t>
  </si>
  <si>
    <t>Al-Qur'an dan Hadis</t>
  </si>
  <si>
    <t>Rizal Al Hamid, M.S.I.</t>
  </si>
  <si>
    <t>Pacitan</t>
  </si>
  <si>
    <t xml:space="preserve">198610122019031007 </t>
  </si>
  <si>
    <t>3501041210860007</t>
  </si>
  <si>
    <t>UIN Sunan Kalijaga Tahun 2008</t>
  </si>
  <si>
    <t>Hukum Islam Kons. Studi Politik dan Pemerintahan dalam Islam UIN Sunan Kalijaga Tahun 2010</t>
  </si>
  <si>
    <t>0512108601</t>
  </si>
  <si>
    <t>Filsafat Politik</t>
  </si>
  <si>
    <t xml:space="preserve">Sekretaris Program Studi S1 Aqidah dan Filsafat Islam  </t>
  </si>
  <si>
    <t>Nur Afni Khafsoh, M.Sos.</t>
  </si>
  <si>
    <t>199110112019032014</t>
  </si>
  <si>
    <t>3307135110910006</t>
  </si>
  <si>
    <t>Ilmu Sosial Univ. Brawijaya Tahun 2016</t>
  </si>
  <si>
    <t>0711109101</t>
  </si>
  <si>
    <t>Ilmu Sosial</t>
  </si>
  <si>
    <t>Dr. Mahatva Yoga Adi Pradana, M.Sos.</t>
  </si>
  <si>
    <t xml:space="preserve">199012102019031011 </t>
  </si>
  <si>
    <t>3404081302940001</t>
  </si>
  <si>
    <t>UNBRAW Tahun 2013</t>
  </si>
  <si>
    <t>Sosiologi, Universitas Brawijaya Malang Tahun 2024</t>
  </si>
  <si>
    <t>232100519177</t>
  </si>
  <si>
    <t>2010129001</t>
  </si>
  <si>
    <t>Dosen Ilmu Sosial</t>
  </si>
  <si>
    <t>Ketua Program Studi S1 Sosiologi Agama</t>
  </si>
  <si>
    <t>Asrul, M.Hum.</t>
  </si>
  <si>
    <t>Luwu Utara</t>
  </si>
  <si>
    <t xml:space="preserve">198508092019031007 </t>
  </si>
  <si>
    <t>7322110908850008</t>
  </si>
  <si>
    <t>UAD Tahun 2011</t>
  </si>
  <si>
    <t>Agama dan Filsafat Kons. Studi Al-qu'an dan Hadis UIN Sunan Kalijaga Tahun 2013</t>
  </si>
  <si>
    <t>0909088503</t>
  </si>
  <si>
    <t>Tafsir Kesejahteraan Sosial</t>
  </si>
  <si>
    <t>Sekretaris Program Studi S1 Ilmu Hadis</t>
  </si>
  <si>
    <t>Derry Ahmad Rizal, M.A.</t>
  </si>
  <si>
    <t xml:space="preserve">199212192019031010 </t>
  </si>
  <si>
    <t>3404131912920001</t>
  </si>
  <si>
    <t>Interdisciplinary Islamic Studies Konsentrasi Pekerjaan Sosial UIN Sunan Kalijaga Tahun 2018</t>
  </si>
  <si>
    <t>2019129201</t>
  </si>
  <si>
    <t>Studi Agama Agama (S1)</t>
  </si>
  <si>
    <t>Sekretaris Program Studi Doktor Aqidah dan Filsafat Islam (AFI)</t>
  </si>
  <si>
    <t>Dr. Waryani Fajar Riyanto, S.HI., M.Ag.</t>
  </si>
  <si>
    <t>197906232006041003</t>
  </si>
  <si>
    <t>3402152306790003</t>
  </si>
  <si>
    <t>AKHWAL SYAHSIYAH IAIN Sunan Kalijaga Tahun 2003</t>
  </si>
  <si>
    <t>Hukum Keluarga UIN Sunan Kalijaga Tahun 2005</t>
  </si>
  <si>
    <t>2023067902</t>
  </si>
  <si>
    <t>Studi Islam</t>
  </si>
  <si>
    <t>Dr. Bambang Sujiyono, S.PAK, M.Pd</t>
  </si>
  <si>
    <t>196012011982011010</t>
  </si>
  <si>
    <t>3313120112600002</t>
  </si>
  <si>
    <t>Universitas Sebelas Maret Tahun 2006</t>
  </si>
  <si>
    <t>Doktor Teologi Konsentrasi Teologi Sekolah Tinggi Teologi Kadesi Yogyakarta Tahun 2019</t>
  </si>
  <si>
    <t>2001126002</t>
  </si>
  <si>
    <t>Ali Usman, M.S.I.</t>
  </si>
  <si>
    <t xml:space="preserve">198404202019031012 </t>
  </si>
  <si>
    <t>3529062004840002</t>
  </si>
  <si>
    <t>Agama dan Filsafat Konsentrasi Filsafat Islam UIN Sunan Kalijaga Tahun 2010</t>
  </si>
  <si>
    <t>232100519175</t>
  </si>
  <si>
    <t>2120048403</t>
  </si>
  <si>
    <t>Dr. Siti Khodijah Nurul Aula, M.Ag.</t>
  </si>
  <si>
    <t xml:space="preserve">199204172019032022 </t>
  </si>
  <si>
    <t>3572015704920001</t>
  </si>
  <si>
    <t>Aqidah dan Filsafat Islam Kons. Studi Agama dan Resolusi Konflik UIN Sunan Kalijaga Tahun 2016</t>
  </si>
  <si>
    <t>Studi Islam Konsentrasi Studi Antar Iman UIN Sunan Kalijaga Tahun 2023</t>
  </si>
  <si>
    <t>2017049201</t>
  </si>
  <si>
    <t>Sekretaris Program Studi Magister Studi Agama-Agama</t>
  </si>
  <si>
    <t>Achmad Dahlan, Lc., MA.</t>
  </si>
  <si>
    <t>Q 250601</t>
  </si>
  <si>
    <t>197803232011011007</t>
  </si>
  <si>
    <t>3471082303780002</t>
  </si>
  <si>
    <t>Hadith Sciences Islamic University of Madinah Munawwarah 2002</t>
  </si>
  <si>
    <t>Qur'an dan Sunnah Studies International Islamic University Malaysia Tahun 2007</t>
  </si>
  <si>
    <t>172100514772</t>
  </si>
  <si>
    <t>M. Yaser Arafat, M.A.</t>
  </si>
  <si>
    <t>198309302015031003</t>
  </si>
  <si>
    <t>1271043009830004</t>
  </si>
  <si>
    <t>UIN Sunan Kalijaga Yogyakarta, Ilmu Antropologi Tahun 2013</t>
  </si>
  <si>
    <t>222100517754</t>
  </si>
  <si>
    <t>2030098302</t>
  </si>
  <si>
    <t>Dr.phil. Fadhli Lukman, M.Hum.</t>
  </si>
  <si>
    <t>Agam</t>
  </si>
  <si>
    <t>199006172020121008</t>
  </si>
  <si>
    <t>1306041706900001</t>
  </si>
  <si>
    <t>Studi Qur'an Hadis UIN Sunan Kalijaga Tahun 2015</t>
  </si>
  <si>
    <t>Doctor of Philosophy  Der Albert Ludwigs University Freiburg Im Breisgau  Tahun 2013</t>
  </si>
  <si>
    <t>2017069002</t>
  </si>
  <si>
    <t>Tafsir Kontemporer</t>
  </si>
  <si>
    <t>Tugas Belajar  (Posdok) 1 Oktober 2023</t>
  </si>
  <si>
    <t>Rosi Islamiyati, S.Ag., M.Ag.</t>
  </si>
  <si>
    <t>199509162020122011</t>
  </si>
  <si>
    <t>3310115609950003</t>
  </si>
  <si>
    <t>Filsafat Islam UIN Sunan Kalijaga Tahun 2019</t>
  </si>
  <si>
    <t>2016099501</t>
  </si>
  <si>
    <t>Ilmu Tasawuf</t>
  </si>
  <si>
    <t>Muhammad Arif, S. Fil. I., M. Ag.</t>
  </si>
  <si>
    <t>198908012020121007</t>
  </si>
  <si>
    <t>3510100108890001</t>
  </si>
  <si>
    <t xml:space="preserve">Plt. Sekretaris Program Studi Magister Aqidah dan Filsafat Islam </t>
  </si>
  <si>
    <t>Ayub, S.Pd.I., M.A</t>
  </si>
  <si>
    <t>Kalosi (Kab. Enrekang)</t>
  </si>
  <si>
    <t>199006192020121009</t>
  </si>
  <si>
    <t>7316031906900002</t>
  </si>
  <si>
    <t>Studi Islam SOAS University of London Tahun 2018</t>
  </si>
  <si>
    <t>2019069004</t>
  </si>
  <si>
    <t>Ilmu Al Qur`an dan Tafsir</t>
  </si>
  <si>
    <t>Dr. Muhammad Akmaluddin, M.S.I.</t>
  </si>
  <si>
    <t>198912112020121007</t>
  </si>
  <si>
    <t>3319031112890003</t>
  </si>
  <si>
    <t>Studi Islam Universitas Islam Negeri Walisongo Semarang Tahun 2015</t>
  </si>
  <si>
    <t>Studi Islam Konsentrasi Studi Al-Qur'an dan Hadis UIN Sunan Kalijaga Yogyakarta Tahun 2019</t>
  </si>
  <si>
    <t>2011128904</t>
  </si>
  <si>
    <t>Ilmu Hadits</t>
  </si>
  <si>
    <t>Plt. Sekretaris Program Studi Magister Ilmu Al-Qur'an dan Tafsir</t>
  </si>
  <si>
    <t>Moh. Arif Afandi, S.Fil.I., M.Ag.</t>
  </si>
  <si>
    <t>199307202020121006</t>
  </si>
  <si>
    <t>3319012007930002</t>
  </si>
  <si>
    <t>2020079301</t>
  </si>
  <si>
    <t>Tauhid</t>
  </si>
  <si>
    <t>Nafisatul Mu'Awwanah, M.A.</t>
  </si>
  <si>
    <t>199503242020122014</t>
  </si>
  <si>
    <t>3521046403950001</t>
  </si>
  <si>
    <t>2024039501</t>
  </si>
  <si>
    <t>Hikmalisa, S.Sos., M.A.</t>
  </si>
  <si>
    <t>Kampar</t>
  </si>
  <si>
    <t>‌199411252020122013</t>
  </si>
  <si>
    <t>1401076511940003</t>
  </si>
  <si>
    <t>Sosiologi Agama UIN Sunan Kalijaga Tahun 2019</t>
  </si>
  <si>
    <t>Sekretaris Program Studi S1 Sosiologi Agama</t>
  </si>
  <si>
    <t>Asep Nahrul Musadad, M.Ag.</t>
  </si>
  <si>
    <t>199205032022031001</t>
  </si>
  <si>
    <t>3278050305920002</t>
  </si>
  <si>
    <t xml:space="preserve"> Aqidah dan Filsafat Islam Universitas Islam Negeri Sunan Kalijaga Tahun 2016</t>
  </si>
  <si>
    <t>Asisten Ahli - Dosen Ilmu Qira'at</t>
  </si>
  <si>
    <t>Adhika Alvianto, M.Pd.</t>
  </si>
  <si>
    <t xml:space="preserve">Wonogiri </t>
  </si>
  <si>
    <t>199306022022031001</t>
  </si>
  <si>
    <t>'3312070206930002</t>
  </si>
  <si>
    <t>Ilmu Agama Islam UII 2018</t>
  </si>
  <si>
    <t>Asisten Ahli - Dosen Filsafat Islam</t>
  </si>
  <si>
    <t>Hasna Safarina Rasyidah, M.Phil.</t>
  </si>
  <si>
    <t>198907102020122009</t>
  </si>
  <si>
    <t>3323035007890003</t>
  </si>
  <si>
    <t>Cados</t>
  </si>
  <si>
    <t>Filsafat UGM Tahun 2019</t>
  </si>
  <si>
    <t>Lathif Rifa'i, S.Th.I., M.Hum.</t>
  </si>
  <si>
    <t>198909122020121006</t>
  </si>
  <si>
    <t>3308041209890001</t>
  </si>
  <si>
    <t>Ilmu Hadis UIN Sunan Kalijaga Tahun 2015</t>
  </si>
  <si>
    <t>Dr.phil. Mu'ammar Zayn Qadafy, M.Hum.</t>
  </si>
  <si>
    <t xml:space="preserve">Nganjuk </t>
  </si>
  <si>
    <t>198907022022031002</t>
  </si>
  <si>
    <t>'3518110207890001</t>
  </si>
  <si>
    <t>Studi Islam University of Freiburg Tahun 2021</t>
  </si>
  <si>
    <t>Muhammad Luthfi Dhulkifli, S.Ag., M.A.</t>
  </si>
  <si>
    <t>Kab. Demak</t>
  </si>
  <si>
    <t>16/04/1995</t>
  </si>
  <si>
    <t>199504162024031001</t>
  </si>
  <si>
    <t>01/03/2024</t>
  </si>
  <si>
    <t>Islamic Studies 2023</t>
  </si>
  <si>
    <t>F. FAKULTAS SAINS DAN TEKNOLOGI</t>
  </si>
  <si>
    <t>Prof. Dr. Hj. Maizer Said Nahdi, M.Si</t>
  </si>
  <si>
    <t>E. 080114</t>
  </si>
  <si>
    <t>27-04-1955</t>
  </si>
  <si>
    <t>195504271984032001</t>
  </si>
  <si>
    <t>3404072704550001</t>
  </si>
  <si>
    <t>01-08-2019</t>
  </si>
  <si>
    <t>Biologi UGM Tahun 1981</t>
  </si>
  <si>
    <t>Ilmu Lingkungan UGM Tahun 1995</t>
  </si>
  <si>
    <t>Biologi UGM Tahun 2013</t>
  </si>
  <si>
    <t>092100500183</t>
  </si>
  <si>
    <t>Biologi (S1)</t>
  </si>
  <si>
    <t>Biologi</t>
  </si>
  <si>
    <t>Prof. Dr. Dra. Hj. Khurul Wardati, M.Si.</t>
  </si>
  <si>
    <t>J. 088816</t>
  </si>
  <si>
    <t>31-07-1966</t>
  </si>
  <si>
    <t>196607312000032001</t>
  </si>
  <si>
    <t>3404083107660001</t>
  </si>
  <si>
    <t>Matematika UGM Tahun 1991</t>
  </si>
  <si>
    <t>Matematika UGM Tahun 2015</t>
  </si>
  <si>
    <t>092100500321</t>
  </si>
  <si>
    <t>Matematika (S1)</t>
  </si>
  <si>
    <t>Aljabar</t>
  </si>
  <si>
    <t>Dekan Fakultas Sains dan Teknologi Masa Jabatan 2024-2028</t>
  </si>
  <si>
    <t>Prof. Dr. Shofwatul 'Uyun, S.T, M.Kom., IPM., ASEAN Eng.</t>
  </si>
  <si>
    <t>N 044396</t>
  </si>
  <si>
    <t>198205112006042002</t>
  </si>
  <si>
    <t>3404015105820004</t>
  </si>
  <si>
    <t>01-08-2023</t>
  </si>
  <si>
    <t>Teknik Informatika UII Tahun 2004</t>
  </si>
  <si>
    <t>Ilmu Komputer UGM 2006</t>
  </si>
  <si>
    <t>Ilmu Komputer UGM 2014</t>
  </si>
  <si>
    <t>Informatika (S2)</t>
  </si>
  <si>
    <t>Sistem Cerdas</t>
  </si>
  <si>
    <t>Wakil Dekan  Bid. Akademik Fakultas  Sains dan Teknologi Masa Jabatan 2024-2028</t>
  </si>
  <si>
    <t>Prof. Dr. Maya Rahmayanti, S.Si.,M.Si</t>
  </si>
  <si>
    <t>N 044393</t>
  </si>
  <si>
    <t>Tembilahan</t>
  </si>
  <si>
    <t>27-06-1981</t>
  </si>
  <si>
    <t>198106272006042003</t>
  </si>
  <si>
    <t>3404176706810002</t>
  </si>
  <si>
    <t>Kimia UNY Tahun 2004</t>
  </si>
  <si>
    <t>Ilmu Kimia UGM Tahun 2006</t>
  </si>
  <si>
    <t>Ilmu Kimia UGM Tahun 2016</t>
  </si>
  <si>
    <t>Kimia (S1)</t>
  </si>
  <si>
    <t>Kimia Lingkungan</t>
  </si>
  <si>
    <t>Ketua  Program Studi  Kimia</t>
  </si>
  <si>
    <t>Prof. Dwi Agustina Kurniawati, S.T, M.Eng.,Ph.D.</t>
  </si>
  <si>
    <t>N 044391</t>
  </si>
  <si>
    <t>197908062006042001</t>
  </si>
  <si>
    <t>3471142107550001</t>
  </si>
  <si>
    <t>Teknik Industri ITB Tahun 2003</t>
  </si>
  <si>
    <t>Enggineering UTM Tahun 2006</t>
  </si>
  <si>
    <t>Teknologi Industri NTU Singapura Tahun  2018</t>
  </si>
  <si>
    <t>152100513474</t>
  </si>
  <si>
    <t>Teknik Industri (S2)</t>
  </si>
  <si>
    <t>Rekayasa Industri</t>
  </si>
  <si>
    <t>Muchammad Abrori, S.Si, M.Kom</t>
  </si>
  <si>
    <t>J. 012487</t>
  </si>
  <si>
    <t>23-04-1972</t>
  </si>
  <si>
    <t>197204231999031003</t>
  </si>
  <si>
    <t>3471132304720002</t>
  </si>
  <si>
    <t>01-09-2010</t>
  </si>
  <si>
    <t>UNS Tahun 1997</t>
  </si>
  <si>
    <t>Ilmu Komputer UGM Tahun  2007</t>
  </si>
  <si>
    <t>Dr. Susy Yunita Prabawati, M. Si</t>
  </si>
  <si>
    <t>J.012486</t>
  </si>
  <si>
    <t>Sumbawa Besar</t>
  </si>
  <si>
    <t>197606211999032005</t>
  </si>
  <si>
    <t>3404116106760004</t>
  </si>
  <si>
    <t>01-06-2011</t>
  </si>
  <si>
    <t>Kimia UGM Tahun 1998</t>
  </si>
  <si>
    <t>Ilmu Kimia UGM Tahun 2003</t>
  </si>
  <si>
    <t>Ilmu Kimia UGM Tahun 20013</t>
  </si>
  <si>
    <t>Dr. Agus Mulyanto, S.Si, M.Kom., ASEAN Eng.</t>
  </si>
  <si>
    <t>J. 090944</t>
  </si>
  <si>
    <t>23-08-1971</t>
  </si>
  <si>
    <t>197108231999031003</t>
  </si>
  <si>
    <t>3404122308700001</t>
  </si>
  <si>
    <t>Elektronika dan Instrumentasi UGM Tahun 1997</t>
  </si>
  <si>
    <t>Ilmu Komputer UGM Tahun 2005</t>
  </si>
  <si>
    <t>Ilmu Komputer UGM Tahun 2024</t>
  </si>
  <si>
    <t>Teknik Informatika (S1)</t>
  </si>
  <si>
    <t xml:space="preserve">Sistem Informasi           </t>
  </si>
  <si>
    <t>Wakil Dekan  Bid. Adm. Umum, Perencanaan dan Keuangan Fakultas  Sains dan Teknologi Masa Jabatan 2024-2028</t>
  </si>
  <si>
    <t>Dr. Imelda Fajriati, M.Si</t>
  </si>
  <si>
    <t>J. 165171</t>
  </si>
  <si>
    <t>197507252000032001</t>
  </si>
  <si>
    <t>3404076507770001</t>
  </si>
  <si>
    <t>Univ. Brawijaya Malang Tahun 1998</t>
  </si>
  <si>
    <t>Ilmu Kimia UGM Tahun 2002</t>
  </si>
  <si>
    <t>Kimia Analitik</t>
  </si>
  <si>
    <t>Khamidinal, S.Si, M.Si</t>
  </si>
  <si>
    <t>J. 088817</t>
  </si>
  <si>
    <t>04-11-1969</t>
  </si>
  <si>
    <t>196911042000031002</t>
  </si>
  <si>
    <t>3401040411690001</t>
  </si>
  <si>
    <t>01-10-2011</t>
  </si>
  <si>
    <t>Kimia UGM Tahun 1995</t>
  </si>
  <si>
    <t xml:space="preserve"> Ilmu Kimia  UGM Tahun 2006</t>
  </si>
  <si>
    <t>Dr. Muhammad Wakhid Musthofa, S. Si.,M.Si</t>
  </si>
  <si>
    <t>M. 135303</t>
  </si>
  <si>
    <t>198004022005011003</t>
  </si>
  <si>
    <t>3471090204800001</t>
  </si>
  <si>
    <t>Matematika UGM Tahun 2004</t>
  </si>
  <si>
    <t xml:space="preserve"> Matematika ITB Tahun 2007</t>
  </si>
  <si>
    <t>Magister Teknik Industri</t>
  </si>
  <si>
    <t>Matematika Terapan</t>
  </si>
  <si>
    <t>Dr. Epha Diana Supandi, S.Si, M.Sc.</t>
  </si>
  <si>
    <t>P 163256</t>
  </si>
  <si>
    <t>197509122008012015</t>
  </si>
  <si>
    <t>3404125209750008</t>
  </si>
  <si>
    <t>Statistika IPB Tahun 1999</t>
  </si>
  <si>
    <t xml:space="preserve">Statistik Universiti Putra Malaysia Tahun 2005 </t>
  </si>
  <si>
    <t>Ilmu Matematika UGM Tahun 2017</t>
  </si>
  <si>
    <t>01-10-2040</t>
  </si>
  <si>
    <t>Statistika</t>
  </si>
  <si>
    <t>Ketua Program Studi  Matematika</t>
  </si>
  <si>
    <t>Maria Ulfah Siregar, S.Kom., MIT., Ph.D.</t>
  </si>
  <si>
    <t>L. 134413</t>
  </si>
  <si>
    <t>197801062002122001</t>
  </si>
  <si>
    <t>3404074601780006</t>
  </si>
  <si>
    <t>Teknik Informatika ITS Tahun 2002</t>
  </si>
  <si>
    <t>Sains Komputer Universitas Kebangsaan Malaysia Tahun 2007</t>
  </si>
  <si>
    <t>Computer Science University of Sheffield United Kingdom  Tahun 2017</t>
  </si>
  <si>
    <t>Dr. Bambang Sugiantoro, M.T., IPU.,ASEAN Eng.</t>
  </si>
  <si>
    <t>P.513663</t>
  </si>
  <si>
    <t>197510242009121002</t>
  </si>
  <si>
    <t>3404112410750002</t>
  </si>
  <si>
    <t>Ilmu Komputer UGM Tahun 2000</t>
  </si>
  <si>
    <t>Teknik Elektro ITB Tahun 2004</t>
  </si>
  <si>
    <t>Ilmu Komputer UGM Tahun 2016</t>
  </si>
  <si>
    <t>0524107501</t>
  </si>
  <si>
    <t>Jaringan Komputer dan Sistem Operasi</t>
  </si>
  <si>
    <t>Muhammad Taufiq Nuruzzaman, ST., M.Eng., Ph.D.</t>
  </si>
  <si>
    <t>M. 135297</t>
  </si>
  <si>
    <t>197911182005011003</t>
  </si>
  <si>
    <t>3404121011790007</t>
  </si>
  <si>
    <t>Teknik ITB 2003</t>
  </si>
  <si>
    <t>Chonnam National University 2011</t>
  </si>
  <si>
    <t>Computer Science and Information Engineering, National Taiwan University 2020</t>
  </si>
  <si>
    <t>Sistem Komputer dan Jaringan</t>
  </si>
  <si>
    <t>Wakil Dekan Bid. Kemahasiswaan, dan Kerjasama  Fakultas  Sains dan Teknologi Masa Jabatan 2024-2028</t>
  </si>
  <si>
    <t>Dr. Ir. Yandra Rahadian Perdana, ST, MT.</t>
  </si>
  <si>
    <t>P. 513660</t>
  </si>
  <si>
    <t>198110252009121002</t>
  </si>
  <si>
    <t>3601252510810001</t>
  </si>
  <si>
    <t>Teknik Industri UII Tahun 2005</t>
  </si>
  <si>
    <t>Teknik Industri UII Tahun 2008</t>
  </si>
  <si>
    <t>Manajemen UGM Tahun .....</t>
  </si>
  <si>
    <t>Perencanaan dan Pengendalian Sistem Industri</t>
  </si>
  <si>
    <t xml:space="preserve">Dr. Esti Wahyu Widowati, M.Si. </t>
  </si>
  <si>
    <t>M 263435</t>
  </si>
  <si>
    <t>197608302003122001</t>
  </si>
  <si>
    <t>3323037008760001</t>
  </si>
  <si>
    <t>Kimia UNDIP Tahun 1999</t>
  </si>
  <si>
    <t>Ilmu Kimia UGM Tahun 2003 / Bioteknologi UGM Tahun 2010</t>
  </si>
  <si>
    <t>Westfalische Technische Hochschule (RWTH) Aachen University, Jerman 2018</t>
  </si>
  <si>
    <t>Biokimia</t>
  </si>
  <si>
    <t>Sekretaris CDCIA</t>
  </si>
  <si>
    <t xml:space="preserve">Dr. Arifah Khusnuryani, S.Si., M.Si </t>
  </si>
  <si>
    <t>J. 090951</t>
  </si>
  <si>
    <t>15-05-1975</t>
  </si>
  <si>
    <t>197505152000032001</t>
  </si>
  <si>
    <t>3434055505750002</t>
  </si>
  <si>
    <t>01-07-2010</t>
  </si>
  <si>
    <t>Biologi Lingkungan UGM Tahun 1998</t>
  </si>
  <si>
    <t>Bioteknologi UGM Tahun 2016</t>
  </si>
  <si>
    <t xml:space="preserve">Ketua Pengelola Laboraotorium Terpadu  </t>
  </si>
  <si>
    <t>Dr. Sumarsono, ST., M. Kom.</t>
  </si>
  <si>
    <t>M 135296</t>
  </si>
  <si>
    <t>197102092005011003</t>
  </si>
  <si>
    <t>3471140902710001</t>
  </si>
  <si>
    <t>Teknik Informatika UAD Tahun 2000</t>
  </si>
  <si>
    <t>Ilmu Komputer UGM Tahun 2004</t>
  </si>
  <si>
    <t>Pendidikan Agama Islam UIN Sunan Kalijaga Tahun 2023</t>
  </si>
  <si>
    <t>Sistem Informasi</t>
  </si>
  <si>
    <t>Ketua Program Studi Magister Informatika</t>
  </si>
  <si>
    <t>Dr. Thaqibul Fikri Niyartama, S. Si., M.Si.</t>
  </si>
  <si>
    <t>M. 135299</t>
  </si>
  <si>
    <t>197710252005011004</t>
  </si>
  <si>
    <t>3471132510770005</t>
  </si>
  <si>
    <t xml:space="preserve">Fisika UNDIP Tahun 2001 </t>
  </si>
  <si>
    <t>Ilmu Fisika UGM Tahun 2005</t>
  </si>
  <si>
    <t>Fisika ITB Tahun 2016</t>
  </si>
  <si>
    <t>Fisika (S1)</t>
  </si>
  <si>
    <t>Geofisika dan Kebencanaan</t>
  </si>
  <si>
    <t>Dr. Ir. Ira Setyaningsih, S.T., M.Sc.</t>
  </si>
  <si>
    <t>N 044386</t>
  </si>
  <si>
    <t>197903262006042002</t>
  </si>
  <si>
    <t>3402126603790004</t>
  </si>
  <si>
    <t>01-10-2010</t>
  </si>
  <si>
    <t>Teknik Informatika UGM Tahun 2003</t>
  </si>
  <si>
    <t>Peningkatan Kualiti dan Produktiviti Universitas Kebangsaan Malaysia Tahun 2006</t>
  </si>
  <si>
    <t>Ilmu Manajemen UGM Tahun 2021</t>
  </si>
  <si>
    <t>Manajemen Industri</t>
  </si>
  <si>
    <t>Ketua Prodi Magister Teknik Industri</t>
  </si>
  <si>
    <t>Dr. Widayanti, S.Si.,M.Si</t>
  </si>
  <si>
    <t>N. 044387</t>
  </si>
  <si>
    <t>26-05-1976</t>
  </si>
  <si>
    <t>197605262006042005</t>
  </si>
  <si>
    <t>3372046605760001</t>
  </si>
  <si>
    <t xml:space="preserve">Fisika UGM Tahun 2001 </t>
  </si>
  <si>
    <t>Ilmu Fisika UGM Tahun 2006</t>
  </si>
  <si>
    <t>Fisika UGM  Tahun 2018</t>
  </si>
  <si>
    <t>Material Sensor</t>
  </si>
  <si>
    <t>Ketua  Program Studi  Fisika</t>
  </si>
  <si>
    <t>Mohammad Farhan Qudratullah,S.Si, M.Si</t>
  </si>
  <si>
    <t>N 519123</t>
  </si>
  <si>
    <t>22-09-1979</t>
  </si>
  <si>
    <t>197909222008011011</t>
  </si>
  <si>
    <t>5272012209790005</t>
  </si>
  <si>
    <t xml:space="preserve"> Statistika UGM  Tahun 2002</t>
  </si>
  <si>
    <t>Matematika UGM Tahun 2007</t>
  </si>
  <si>
    <t>Dr. Nita Handayani, S.Si, M.Si</t>
  </si>
  <si>
    <t>N 519115</t>
  </si>
  <si>
    <t>26-01-1982</t>
  </si>
  <si>
    <t>198201262008012008</t>
  </si>
  <si>
    <t>3471131706820001</t>
  </si>
  <si>
    <t>Fisika UNS Tahun 2003</t>
  </si>
  <si>
    <t xml:space="preserve"> Fisika Medis ITB Tahun 2018</t>
  </si>
  <si>
    <t>Biofisika dan Fisika Medis</t>
  </si>
  <si>
    <t>Koordinator Pusat Inovasi, Kekayaan Intelektual dan Hilirisasi pada pada LP2M Masa Jabatan 2024-2028</t>
  </si>
  <si>
    <t>Sri Utami Zuliana, S.Si, M.Sc., Ph.D.</t>
  </si>
  <si>
    <t>K. 018919</t>
  </si>
  <si>
    <t>03-10-1974</t>
  </si>
  <si>
    <t>197410032000032002</t>
  </si>
  <si>
    <t>3471134310740001</t>
  </si>
  <si>
    <t>01-01-2013</t>
  </si>
  <si>
    <t>Matematika UGM  Tahun 1999</t>
  </si>
  <si>
    <t>Matematika UGM Tahun 2008</t>
  </si>
  <si>
    <t>Statistics, University of Essex United Kingdom Tahun 2018</t>
  </si>
  <si>
    <t>Frida Agung Rakhmadi, S. Si., M.Sc.</t>
  </si>
  <si>
    <t>M. 135301</t>
  </si>
  <si>
    <t>197805102005011003</t>
  </si>
  <si>
    <t>3310081005780007</t>
  </si>
  <si>
    <t>Fisika UNY Tahun 2004</t>
  </si>
  <si>
    <t>Fisika UGM Tahun 2011</t>
  </si>
  <si>
    <t xml:space="preserve">Instrumentasi dan Pengukuran </t>
  </si>
  <si>
    <t>Dr. Sugiyanto, S.Si, S.T., M.Si</t>
  </si>
  <si>
    <t>P 163255</t>
  </si>
  <si>
    <t>198005052008011028</t>
  </si>
  <si>
    <t>3402150505800003</t>
  </si>
  <si>
    <t>01-03-2013</t>
  </si>
  <si>
    <t>Matematika UNY Tahun 2004 / Teknik Mesin UGM Tahun 2008</t>
  </si>
  <si>
    <t>Matematika UGM Tahun 2019</t>
  </si>
  <si>
    <t>01-06-2045</t>
  </si>
  <si>
    <t>Noor Saif Muhammad Mussafi, S.Si., M.Sc., Ph.D.</t>
  </si>
  <si>
    <t>P. 513659</t>
  </si>
  <si>
    <t>198206172009121005</t>
  </si>
  <si>
    <t xml:space="preserve">Matematika UNY Tahun 2004   </t>
  </si>
  <si>
    <t>Mathematik Technische Universitat Chemnitz Germany, 2009</t>
  </si>
  <si>
    <t>Matematika UTM Tahun 2022</t>
  </si>
  <si>
    <t>Ketua Cendi</t>
  </si>
  <si>
    <t>Karmanto, S.Si., M.Sc.</t>
  </si>
  <si>
    <t>P.513662</t>
  </si>
  <si>
    <t>198205042009121005</t>
  </si>
  <si>
    <t>3301040405820009</t>
  </si>
  <si>
    <t xml:space="preserve">Kimia UGM Tahun 2006  </t>
  </si>
  <si>
    <t>Ilmu Kimia UGM Tahun 2008</t>
  </si>
  <si>
    <t xml:space="preserve">Koordinator Bidang Kimia pada Laboratorium Terpadu </t>
  </si>
  <si>
    <t>Nurochman, S.Kom., M.Kom.</t>
  </si>
  <si>
    <t>P. 516620</t>
  </si>
  <si>
    <t>198012232009011007</t>
  </si>
  <si>
    <t>3404072312800016</t>
  </si>
  <si>
    <t xml:space="preserve">Teknik Informatika Institut Sains dan Teknologi AKPRIND Yogyakarta Tahun 2004 </t>
  </si>
  <si>
    <t xml:space="preserve"> Ilmu Komputer UGM Tahun 2007</t>
  </si>
  <si>
    <t>Dr. Eka Sulistiyowati, S.Si, MA.</t>
  </si>
  <si>
    <t>P 163500</t>
  </si>
  <si>
    <t>198107052008012032</t>
  </si>
  <si>
    <t>3402144507810002</t>
  </si>
  <si>
    <t>Biologi UGM Tahun 2003</t>
  </si>
  <si>
    <t>Educational Studies McGill University Canada, 2007</t>
  </si>
  <si>
    <t>Ilmu Lingkungan, UGM, 2023</t>
  </si>
  <si>
    <t>01-08-2046</t>
  </si>
  <si>
    <t>Pendidikan Biologi dan Biologi Lingkungan</t>
  </si>
  <si>
    <t>Siti Aisah, S.Si, M.Si</t>
  </si>
  <si>
    <t>N 519116</t>
  </si>
  <si>
    <t>11-06-1974</t>
  </si>
  <si>
    <t>197406112008012009</t>
  </si>
  <si>
    <t>3404015106740002</t>
  </si>
  <si>
    <t>01-11-2014</t>
  </si>
  <si>
    <t>Ilmu Lingkungan UGM Tahun 2001</t>
  </si>
  <si>
    <t>Lela Susilawati, S.Pd., M.Si.</t>
  </si>
  <si>
    <t>197901272009012004</t>
  </si>
  <si>
    <t>3471026701790002</t>
  </si>
  <si>
    <t xml:space="preserve">Pendidikan Biologi UAD Tahun 2004 </t>
  </si>
  <si>
    <t xml:space="preserve">Biologi UGM Tahun 2007 </t>
  </si>
  <si>
    <t>0527017902</t>
  </si>
  <si>
    <t>Mikrobiologi</t>
  </si>
  <si>
    <t>Dr. Agung Fatwanto, S. Si., M. Kom.</t>
  </si>
  <si>
    <t>M. 135302</t>
  </si>
  <si>
    <t>197701032005011003</t>
  </si>
  <si>
    <t>3310080301770001</t>
  </si>
  <si>
    <t>01-05-2015</t>
  </si>
  <si>
    <t>UGM Tahun 2004</t>
  </si>
  <si>
    <t>Komputer Sains Australian National University (ANU) 2012</t>
  </si>
  <si>
    <t>Rekayasa Perangkat Lunak</t>
  </si>
  <si>
    <t>Najda Rifqiyati, S.Si., M.Si.</t>
  </si>
  <si>
    <t>P. 512927</t>
  </si>
  <si>
    <t>197905232009012008</t>
  </si>
  <si>
    <t>3521126305790002</t>
  </si>
  <si>
    <t>Biologi UNS Tahun 2002</t>
  </si>
  <si>
    <t>Biologi Reproduksi IPB Tahun 2006</t>
  </si>
  <si>
    <t>Irwan Nugraha, S.Si., M.Sc.</t>
  </si>
  <si>
    <t>P. 684482</t>
  </si>
  <si>
    <t>198203292011011005</t>
  </si>
  <si>
    <t>3206242903820002</t>
  </si>
  <si>
    <t>Kimia Univ. Pendidikan Indonesia Bandung Tahun 2006</t>
  </si>
  <si>
    <t>Ilmu Kimia UGM Tahun 2010</t>
  </si>
  <si>
    <t>0029038202</t>
  </si>
  <si>
    <t>Kimia Anorganik</t>
  </si>
  <si>
    <t>Asih Melati, S.Si., M.Sc., Ph.D.</t>
  </si>
  <si>
    <t>P. 684483</t>
  </si>
  <si>
    <t>198411102011012017</t>
  </si>
  <si>
    <t>3404065011840003</t>
  </si>
  <si>
    <t xml:space="preserve">Fisika UGM Tahun 2008 </t>
  </si>
  <si>
    <t>Fisika UGM Tahun 2010</t>
  </si>
  <si>
    <t>Physics, INSA Centre Val De Loire France 2024</t>
  </si>
  <si>
    <t>Material Komposit</t>
  </si>
  <si>
    <t>Erny Qurotul Ainy, S.Si., M.Si.</t>
  </si>
  <si>
    <t>P. 516615</t>
  </si>
  <si>
    <t>197912172009012004</t>
  </si>
  <si>
    <t>3313115712790002</t>
  </si>
  <si>
    <t>Biologi ITB Tahun 2004</t>
  </si>
  <si>
    <t>Bioteknologi ITB Tahun 2008</t>
  </si>
  <si>
    <t>Malahayati, S.Si., M.Sc.</t>
  </si>
  <si>
    <t>P. 684480</t>
  </si>
  <si>
    <t>Tanjung Karang</t>
  </si>
  <si>
    <t>198404122011012010</t>
  </si>
  <si>
    <t>1801135204840012</t>
  </si>
  <si>
    <t>Matematika UGM Tahun 2006</t>
  </si>
  <si>
    <t>Matematika UGM Tahun 2010</t>
  </si>
  <si>
    <t>0012048402</t>
  </si>
  <si>
    <t xml:space="preserve">Analisis           </t>
  </si>
  <si>
    <t>Ir. Muhammad Didik Rohmad Wahyudi, ST, MT.</t>
  </si>
  <si>
    <t>P. 512928</t>
  </si>
  <si>
    <t>197608122009011015</t>
  </si>
  <si>
    <t>3404012087800001</t>
  </si>
  <si>
    <t xml:space="preserve">Manajemen Informatika &amp; Teknik Komputer AKPRIND 2000 </t>
  </si>
  <si>
    <t xml:space="preserve">Teknik Elektro UGM Tahun 2003 </t>
  </si>
  <si>
    <t>Sistem Informasi dan Basis Data</t>
  </si>
  <si>
    <t>Sekretaris Program Studi Magister Informatika</t>
  </si>
  <si>
    <t>M. Mustakim, ST., M.T</t>
  </si>
  <si>
    <t>M. 136385</t>
  </si>
  <si>
    <t>Srikaton</t>
  </si>
  <si>
    <t>197903312005011004</t>
  </si>
  <si>
    <t>3402033103790001</t>
  </si>
  <si>
    <t>Teknik Informatika UII Tahun 2001</t>
  </si>
  <si>
    <t>Informatika ITB Tahun 2007</t>
  </si>
  <si>
    <t>Ketua  Program Studi  Teknik Informatika</t>
  </si>
  <si>
    <t>Ir. Taufiq Aji, S.T.,M.T., IPM.</t>
  </si>
  <si>
    <t>N 048209</t>
  </si>
  <si>
    <t>15-07-1980</t>
  </si>
  <si>
    <t>198007152006041002</t>
  </si>
  <si>
    <t>3404031507800001</t>
  </si>
  <si>
    <t>Teknik Industri UGM Tahun 2003</t>
  </si>
  <si>
    <t>Teknik dan Manajemen Industri ITB Tahun 2007</t>
  </si>
  <si>
    <t>Teknik Industri (S1)</t>
  </si>
  <si>
    <t>Tutik Farihah, ST. M.Sc.</t>
  </si>
  <si>
    <t>M. 135298</t>
  </si>
  <si>
    <t>198007062005012007</t>
  </si>
  <si>
    <t>3505010460790002</t>
  </si>
  <si>
    <t>Teknik Industri ITSN Surabaya Tahun 2003</t>
  </si>
  <si>
    <t>Teknik Industri UGM Tahun 2014</t>
  </si>
  <si>
    <t>Pengambilan Keputusan Industri</t>
  </si>
  <si>
    <t>Ika Nugraheni Ari Martiwi, S.Si, M.Si.</t>
  </si>
  <si>
    <t>P. 513657</t>
  </si>
  <si>
    <t>198002072009122002</t>
  </si>
  <si>
    <t>3404114702800002</t>
  </si>
  <si>
    <t xml:space="preserve">Biologi UGM Tahun 2003 </t>
  </si>
  <si>
    <t>132100511960</t>
  </si>
  <si>
    <t>0007028002</t>
  </si>
  <si>
    <t>Botani</t>
  </si>
  <si>
    <t>Ketua  Program Studi  Biologi</t>
  </si>
  <si>
    <t>Ade Ratnasari, S.Kom, M.T</t>
  </si>
  <si>
    <t>N 044394</t>
  </si>
  <si>
    <t>17-12-1980</t>
  </si>
  <si>
    <t>198012172006042002</t>
  </si>
  <si>
    <t>3471135712800001</t>
  </si>
  <si>
    <t>01-03-2018</t>
  </si>
  <si>
    <t>Teknik Informatika UTY Tahun 2003</t>
  </si>
  <si>
    <t>Teknologi Informasi UGM Tahun 2006</t>
  </si>
  <si>
    <t>Didik Krisdiyanto, S.Si., M.Sc.</t>
  </si>
  <si>
    <t>P. 684485</t>
  </si>
  <si>
    <t>198111112011011007</t>
  </si>
  <si>
    <t>3471030408810002</t>
  </si>
  <si>
    <t>Kimia UGM Tahun 2005</t>
  </si>
  <si>
    <t>Ilmu Kimia UGM Tahun 2009</t>
  </si>
  <si>
    <t xml:space="preserve">182100516049 </t>
  </si>
  <si>
    <t>Kimia Fisika/Komputasi</t>
  </si>
  <si>
    <t>Ir. Trio Yonathan Teja Kusuma, S.T., M.T., IPM.</t>
  </si>
  <si>
    <t>198907152015031007</t>
  </si>
  <si>
    <t>3402161507890002</t>
  </si>
  <si>
    <t>Teknik Industri UIN Sunan Kalijaga Tahun 2011</t>
  </si>
  <si>
    <t>Teknik  Industri UII Tahun 2013</t>
  </si>
  <si>
    <t>Koordinator Pusat Pemeringkatan dan Sustainable Development Goals (SDGs) pada pada LP2M Masa Jabatan 2024-2028</t>
  </si>
  <si>
    <t>Dr. Ir. Aulia Faqih Rifa'i, M.Kom.</t>
  </si>
  <si>
    <t>P. 684481</t>
  </si>
  <si>
    <t>Grobogan</t>
  </si>
  <si>
    <t>198603062011011009</t>
  </si>
  <si>
    <t>3315020603860002</t>
  </si>
  <si>
    <t xml:space="preserve">Sistem Informasi Univ. Dian Nuswantoro Tahun 2007 </t>
  </si>
  <si>
    <t xml:space="preserve">Teknik Informatika Univ. Dian Nuswantoro Tahun 2010 </t>
  </si>
  <si>
    <t>Studi Islam UIN Sunan Kalijaga Tahun 2023</t>
  </si>
  <si>
    <t>0006038601</t>
  </si>
  <si>
    <t>Informatika</t>
  </si>
  <si>
    <t>Kepala  UPT Pusat Pengembangan Bisnis Masa Jabatan 2024-2028</t>
  </si>
  <si>
    <t>Anis Yuniati, S.Si.,M.Si., Ph.D.</t>
  </si>
  <si>
    <t>P. 516622</t>
  </si>
  <si>
    <t>198306142009012009</t>
  </si>
  <si>
    <t>3311095406830002</t>
  </si>
  <si>
    <t xml:space="preserve">Fisika UNS Tahun 2005 </t>
  </si>
  <si>
    <t xml:space="preserve">Ilmu Fisika UGM Tahun 2007 </t>
  </si>
  <si>
    <t>Fisika NTNU Tahun 2018</t>
  </si>
  <si>
    <t xml:space="preserve">182100516034 </t>
  </si>
  <si>
    <t>Biofisika dan Neurosains</t>
  </si>
  <si>
    <t>Cecilia Yanuarief, M.Si.</t>
  </si>
  <si>
    <t>198401272015031001</t>
  </si>
  <si>
    <t>3402122701840001</t>
  </si>
  <si>
    <t>Fisika UNY Tahun 2009</t>
  </si>
  <si>
    <t>Ilmu Fisika UNS Tahun 2012</t>
  </si>
  <si>
    <t xml:space="preserve">182100516047 </t>
  </si>
  <si>
    <t>2027018402</t>
  </si>
  <si>
    <t>Fisika Matematika</t>
  </si>
  <si>
    <t>Sudarlin, S.Pd.I., M.Si.</t>
  </si>
  <si>
    <t>Wajo</t>
  </si>
  <si>
    <t>198506112015031002</t>
  </si>
  <si>
    <t>3402121106850004</t>
  </si>
  <si>
    <t>Kimia UIN Sunan Kalijaga Tahun 2008</t>
  </si>
  <si>
    <t>Kimia ITB Tahun 2012</t>
  </si>
  <si>
    <t>2011068501</t>
  </si>
  <si>
    <t>Fisika Kimia</t>
  </si>
  <si>
    <t>Sekretaris  Program Studi  Kimia</t>
  </si>
  <si>
    <t>Dr. Isma Kurniatanty, S.Si.,M.Si.</t>
  </si>
  <si>
    <t>N 044395</t>
  </si>
  <si>
    <t>26-10-1979</t>
  </si>
  <si>
    <t>197910262006042002</t>
  </si>
  <si>
    <t>3471276610790002</t>
  </si>
  <si>
    <t>01-01-2022</t>
  </si>
  <si>
    <t>Biologi UGM Tahun 2006</t>
  </si>
  <si>
    <t>Biologi ITB Tahun 2016</t>
  </si>
  <si>
    <t>Koordinator Bidang Biologi pada Laboratorium Terpadu</t>
  </si>
  <si>
    <t>Jumailatus Solihah, S. Si., M.Si.</t>
  </si>
  <si>
    <t>M 135300</t>
  </si>
  <si>
    <t>197606242005012007</t>
  </si>
  <si>
    <t>3404076406760004</t>
  </si>
  <si>
    <t>Biologi UGM Tahun 2004</t>
  </si>
  <si>
    <t>Bioteknologi UGM Tahun 2012</t>
  </si>
  <si>
    <t>Bioteknologi</t>
  </si>
  <si>
    <t>Dias Idha Pramesti, S.Si., M.Si.</t>
  </si>
  <si>
    <t>P.513656</t>
  </si>
  <si>
    <t>198209282009122002</t>
  </si>
  <si>
    <t>3275016809820040</t>
  </si>
  <si>
    <t xml:space="preserve">Biologi Universitas Negeri Surabaya Tahun 2006 </t>
  </si>
  <si>
    <t xml:space="preserve"> Biologi UNBRAW Tahun 2009        </t>
  </si>
  <si>
    <t>132100511953</t>
  </si>
  <si>
    <t>Biologi Tumbuhan</t>
  </si>
  <si>
    <t>Rahmat Hidayat, S.Kom., M.Cs.</t>
  </si>
  <si>
    <t>B 01034789</t>
  </si>
  <si>
    <t>198505142015031002</t>
  </si>
  <si>
    <t>3509081405850002</t>
  </si>
  <si>
    <t>Teknik Informatika UII Tahun 2008</t>
  </si>
  <si>
    <t>Ilmu Komputer UGM Tahun 2011</t>
  </si>
  <si>
    <t>0514058501</t>
  </si>
  <si>
    <t>Muhamad Zaki Riyanto, S.Si., M.Sc.</t>
  </si>
  <si>
    <t xml:space="preserve">Yogyakarta </t>
  </si>
  <si>
    <t>198401132015031001</t>
  </si>
  <si>
    <t>3471121301840002</t>
  </si>
  <si>
    <t>Matematika UGM Tahun 2011</t>
  </si>
  <si>
    <t>182100516044</t>
  </si>
  <si>
    <t>2013018401</t>
  </si>
  <si>
    <t>Rumpun Aljabar</t>
  </si>
  <si>
    <t>Ardyan Pramudya Kurniawan, S.Si., M.Si.</t>
  </si>
  <si>
    <t>198412032015031003</t>
  </si>
  <si>
    <t>3175060312840005</t>
  </si>
  <si>
    <t>Biologi UGM Tahun 2009</t>
  </si>
  <si>
    <t>Biologi ITB Tahun 2012</t>
  </si>
  <si>
    <t>2003128401</t>
  </si>
  <si>
    <t xml:space="preserve">Ekologi  </t>
  </si>
  <si>
    <t>Priyagung Dhemi Widiakongko, M.Sc.</t>
  </si>
  <si>
    <t xml:space="preserve">199003302019031008 </t>
  </si>
  <si>
    <t>3471013003900001</t>
  </si>
  <si>
    <t>UGM Tahun 2013</t>
  </si>
  <si>
    <t>232100519190</t>
  </si>
  <si>
    <t>Kimia Organik</t>
  </si>
  <si>
    <t>Ir. Khusna Dwijayanti, S.T., M.Eng., Ph.D., ASEAN Eng.</t>
  </si>
  <si>
    <t xml:space="preserve">198512122019032018 </t>
  </si>
  <si>
    <t>3404055212850001</t>
  </si>
  <si>
    <t>UGM Tahun 2007</t>
  </si>
  <si>
    <t>Universitas Malaya Tahun 2012</t>
  </si>
  <si>
    <t>Integrated Design Engineering Keio University Japan Tahun 2015</t>
  </si>
  <si>
    <t>0612128503</t>
  </si>
  <si>
    <t xml:space="preserve">Dosen Teknik Industri </t>
  </si>
  <si>
    <t>Sekretaris Prodi Magister Teknik Industri</t>
  </si>
  <si>
    <t>Gunawan Budi Susilo, M.Eng.</t>
  </si>
  <si>
    <t xml:space="preserve">198604232019031007 </t>
  </si>
  <si>
    <t>3306012304860002</t>
  </si>
  <si>
    <t>UNY Tahun 2011</t>
  </si>
  <si>
    <t>Teknik Mesin UGM Tahun 2014</t>
  </si>
  <si>
    <t>0523048602</t>
  </si>
  <si>
    <t>Dosen Teknik Mesin</t>
  </si>
  <si>
    <t>Sekretaris  Program Studi  Sarjana Teknik Industri</t>
  </si>
  <si>
    <t>Atika Yahdiyani Ikhsani, M.Sc.</t>
  </si>
  <si>
    <t xml:space="preserve">199206132019032014 </t>
  </si>
  <si>
    <t>3311105306920001</t>
  </si>
  <si>
    <t>UNBRAW Tahun 2014</t>
  </si>
  <si>
    <t>Ilmu dan teknologi Pangan UGM Tahun 2016</t>
  </si>
  <si>
    <t>Chandra Kartika Dewi, M.Kes.</t>
  </si>
  <si>
    <t xml:space="preserve">199004212019032017 </t>
  </si>
  <si>
    <t>3518164104900003</t>
  </si>
  <si>
    <t>Universitas Airlangga Tahun 2011</t>
  </si>
  <si>
    <t>Administrasi dan Kebijakan Kesehatan Univ. Airlangga Tahun 2016</t>
  </si>
  <si>
    <t>Pendidikan Dokter</t>
  </si>
  <si>
    <t>Muhammad Galih Wonoseto, M.T.</t>
  </si>
  <si>
    <t xml:space="preserve">199011132019031012 </t>
  </si>
  <si>
    <t>3402011311900001</t>
  </si>
  <si>
    <t>Univ. Telkom Bandung Tahun 2014</t>
  </si>
  <si>
    <t>Informatika ITB Tahun 2017</t>
  </si>
  <si>
    <t>0613119001</t>
  </si>
  <si>
    <t>Teknik Informatika</t>
  </si>
  <si>
    <t>Koordinator Pusat Analisis Informasi pada LPM Masa Jabatan 2024 - 2028</t>
  </si>
  <si>
    <t>Ika Qurrotul Afifah, M.Si.</t>
  </si>
  <si>
    <t xml:space="preserve">199111282019032022 </t>
  </si>
  <si>
    <t>3516036811910001</t>
  </si>
  <si>
    <t>Universitas Airlangga Tahun 2014</t>
  </si>
  <si>
    <t>Bioteknologi ITB Tahun 2018</t>
  </si>
  <si>
    <t>Shilfiana Rahayu, M.Sc.</t>
  </si>
  <si>
    <t xml:space="preserve">199210222019032015 </t>
  </si>
  <si>
    <t>3517026210920002</t>
  </si>
  <si>
    <t>UNAIR Tahun 2015</t>
  </si>
  <si>
    <t>Biologi UGM Tahun 2018</t>
  </si>
  <si>
    <t>Sekretaris Program Studi Biologi</t>
  </si>
  <si>
    <t>Arif Munandar, M.Sc.</t>
  </si>
  <si>
    <t xml:space="preserve">199207212019031013 </t>
  </si>
  <si>
    <t>3402112107920003</t>
  </si>
  <si>
    <t>Matematika UGM Tahun 2016</t>
  </si>
  <si>
    <t>Sekretaris  Program Studi  Matematika</t>
  </si>
  <si>
    <t>Dian Aruni Kumalawati, M.Sc.</t>
  </si>
  <si>
    <t xml:space="preserve">198505092019032009 </t>
  </si>
  <si>
    <t>3471084905850001</t>
  </si>
  <si>
    <t>Biologi UGM Tahun 2011</t>
  </si>
  <si>
    <t>Genetika</t>
  </si>
  <si>
    <t>Ketua Program Studi Sains Biomedis</t>
  </si>
  <si>
    <t>Anti Damayanti H, S.Si., M.Mol.Bio.</t>
  </si>
  <si>
    <t>N 044392</t>
  </si>
  <si>
    <t>22-05-1981</t>
  </si>
  <si>
    <t>198105222006042005</t>
  </si>
  <si>
    <t>3217016205810001</t>
  </si>
  <si>
    <t>Molecular Biology,  The University of Queensland Australia, 2010</t>
  </si>
  <si>
    <t>Endaruji Sedyadi, S.Pd.I., M.Sc.</t>
  </si>
  <si>
    <t>198202052015031003</t>
  </si>
  <si>
    <t>3404010502820003</t>
  </si>
  <si>
    <t>Kimia UNY Tahun 2005</t>
  </si>
  <si>
    <t xml:space="preserve">182100516046 </t>
  </si>
  <si>
    <t>2005028203</t>
  </si>
  <si>
    <t>Pipit Pratiwi Rahayu, S.Si., M.Sc.</t>
  </si>
  <si>
    <t>198612082015032006</t>
  </si>
  <si>
    <t>3404124812860002</t>
  </si>
  <si>
    <t>2008128601</t>
  </si>
  <si>
    <t>Rumpun Analisis/Geometri</t>
  </si>
  <si>
    <t>Usfita Kiftiyani, M.Sc.</t>
  </si>
  <si>
    <t xml:space="preserve">199206092019032020 </t>
  </si>
  <si>
    <t>3523194906920001</t>
  </si>
  <si>
    <t>Ilmu Komputer Tahun 2018</t>
  </si>
  <si>
    <t>Mandahadi Kusuma, M.Eng.</t>
  </si>
  <si>
    <t>Bengkalis</t>
  </si>
  <si>
    <t xml:space="preserve">198411152019031003 </t>
  </si>
  <si>
    <t>1471061511840001</t>
  </si>
  <si>
    <t>STIMIK AMIKOM Tahun 2007</t>
  </si>
  <si>
    <t>Magister Teknik Elektro UGM Tahun 2018</t>
  </si>
  <si>
    <t>Teknologi Informasi</t>
  </si>
  <si>
    <t xml:space="preserve">Koordinator Bidang Informatika pada Laboratorium Terpadu </t>
  </si>
  <si>
    <t>Eko Hadi Gunawan, M.Eng.</t>
  </si>
  <si>
    <t xml:space="preserve">198712282019031004 </t>
  </si>
  <si>
    <t>3404072812870003</t>
  </si>
  <si>
    <t>Teknik Elektro UGM Tahun 2018</t>
  </si>
  <si>
    <t>Sri Istiyarti Uswatun Chasanah, M.Si.</t>
  </si>
  <si>
    <t xml:space="preserve">199101112019032018 </t>
  </si>
  <si>
    <t>3306115101910008</t>
  </si>
  <si>
    <t>UNSOED Tahun 2013</t>
  </si>
  <si>
    <t>Matematika Terapan IPB Tahun 2017</t>
  </si>
  <si>
    <t>Analisis Terapan</t>
  </si>
  <si>
    <t>Eulis Yulianti Faridah, M.Ds.</t>
  </si>
  <si>
    <t xml:space="preserve">198807102019032017 </t>
  </si>
  <si>
    <t>3273035007880002</t>
  </si>
  <si>
    <t>Desain ITB Tahun 2014</t>
  </si>
  <si>
    <t>Dosen Design Interior</t>
  </si>
  <si>
    <t>Plt. Sekretaris Prodi Sarjana Arsitektur</t>
  </si>
  <si>
    <t>Ni Kadek Pujiani Dewi, M.ERG.</t>
  </si>
  <si>
    <t>Klungkung</t>
  </si>
  <si>
    <t xml:space="preserve">198609202019032007 </t>
  </si>
  <si>
    <t>5105036009860002</t>
  </si>
  <si>
    <t>Univ. Pendidikan Ganesha Singaraja Tahun 2009</t>
  </si>
  <si>
    <t>Ergonomi Fisiologi Kerja Univ. Udayana Tahun 2011</t>
  </si>
  <si>
    <t>0820098602</t>
  </si>
  <si>
    <t>Sekretaris ADMISI</t>
  </si>
  <si>
    <t>Andi, M.Sc.</t>
  </si>
  <si>
    <t xml:space="preserve">198702102019031005 </t>
  </si>
  <si>
    <t>3205271002870002</t>
  </si>
  <si>
    <t>UGM Tahun 2010</t>
  </si>
  <si>
    <t>Fisika UGM Tahun 2016</t>
  </si>
  <si>
    <t>0410028707</t>
  </si>
  <si>
    <t>Geofisika</t>
  </si>
  <si>
    <t>Sekretaris  Program Studi  Fisika</t>
  </si>
  <si>
    <t xml:space="preserve">Hindun Khairotun Nadlifah, M.URP. </t>
  </si>
  <si>
    <t xml:space="preserve">199109252019032016 </t>
  </si>
  <si>
    <t>3471036509910001</t>
  </si>
  <si>
    <t>UII Tahun 2014</t>
  </si>
  <si>
    <t>Magister Perencanaan Wilayah dan Kota UGM Tahun 2018</t>
  </si>
  <si>
    <t>Teknik Perencanaan Wilayah Kota</t>
  </si>
  <si>
    <t>Aulia Khifah Futhona, M.Sc.</t>
  </si>
  <si>
    <t xml:space="preserve">199206052019032021 </t>
  </si>
  <si>
    <t>3404084506920003</t>
  </si>
  <si>
    <t>UGM Tahun 2015</t>
  </si>
  <si>
    <t xml:space="preserve">Matematika UGM Tahun 2017 </t>
  </si>
  <si>
    <t>Dosen Analisis Asisten Ahli</t>
  </si>
  <si>
    <t>Ade Kurniawan, M.Si.</t>
  </si>
  <si>
    <t xml:space="preserve">198903122019031009 </t>
  </si>
  <si>
    <t>3201241203890002</t>
  </si>
  <si>
    <t>IPB Tahun 2011</t>
  </si>
  <si>
    <t>Biofisika IPB Bogor Tahun 2015</t>
  </si>
  <si>
    <t>Agessty Ika Nurlita, M.Si.</t>
  </si>
  <si>
    <t xml:space="preserve">198908102019032016 </t>
  </si>
  <si>
    <t>3174055008890003</t>
  </si>
  <si>
    <t>IPB Tahun 2012</t>
  </si>
  <si>
    <t>Mikrobiologi IPB Tahun 2016</t>
  </si>
  <si>
    <t>Dosen Mikro Biologi</t>
  </si>
  <si>
    <t>Dwi Otik Kurniawati, M.Eng.</t>
  </si>
  <si>
    <t>Lumajang</t>
  </si>
  <si>
    <t xml:space="preserve">198610232019032003 </t>
  </si>
  <si>
    <t>3508106310860001</t>
  </si>
  <si>
    <t>AKPRIND Yogyakarta Tahun 2012</t>
  </si>
  <si>
    <t>Teknik elektro UGM Tahun 2016</t>
  </si>
  <si>
    <t>0523108603</t>
  </si>
  <si>
    <t>Teknik Elektro</t>
  </si>
  <si>
    <t>Plt. Sekretaris  Program Studi  Teknik Informatika</t>
  </si>
  <si>
    <t>Herninanjati Paramawardhani, M.Sc.</t>
  </si>
  <si>
    <t xml:space="preserve">199203312019032015 </t>
  </si>
  <si>
    <t>3404077103920001</t>
  </si>
  <si>
    <t>Logistics and Supply Chain Management, Lund University, Sweden, Tahun 2018</t>
  </si>
  <si>
    <t xml:space="preserve">Teknik Industri </t>
  </si>
  <si>
    <t>Ketua  Program Studi Sarjana Teknik Industri</t>
  </si>
  <si>
    <t>Kartiansmara Lilih Purnaumbara, M.Sc.</t>
  </si>
  <si>
    <t xml:space="preserve">198704212019031009 </t>
  </si>
  <si>
    <t>3404062104870003</t>
  </si>
  <si>
    <t>UII Tahun 2010</t>
  </si>
  <si>
    <t>Arsitektur UGM Tahun 2016</t>
  </si>
  <si>
    <t>Teknik Arsitektur</t>
  </si>
  <si>
    <t>Ketua Prodi Sarjana Arsitektur</t>
  </si>
  <si>
    <t>Nia Maharani Raharja, M.Eng.</t>
  </si>
  <si>
    <t xml:space="preserve">198807272019032021 </t>
  </si>
  <si>
    <t>3311016707880002</t>
  </si>
  <si>
    <t>UMS Tahun 2012</t>
  </si>
  <si>
    <t>Teknik Elektro UGM Tahun 2016</t>
  </si>
  <si>
    <t>Satiti Ratnasari, M.Sc.</t>
  </si>
  <si>
    <t xml:space="preserve">198806082019032011 </t>
  </si>
  <si>
    <t>3404114806880002</t>
  </si>
  <si>
    <t>Agronomi UGM Tahun 2016</t>
  </si>
  <si>
    <t>0508068803</t>
  </si>
  <si>
    <t>Fisiologi Tumbuhan</t>
  </si>
  <si>
    <t>Ir. Titi Sari, S.T., M.Sc., IPM.</t>
  </si>
  <si>
    <t xml:space="preserve">199110102019032032 </t>
  </si>
  <si>
    <t>3402125010910002</t>
  </si>
  <si>
    <t>UGM Tahun 2014</t>
  </si>
  <si>
    <t>Eindhoven University of Technology Netherlands Tahun 2017</t>
  </si>
  <si>
    <t>Desi Suantari, M.K.M.</t>
  </si>
  <si>
    <t>199012292020122004</t>
  </si>
  <si>
    <t>3402106912900003</t>
  </si>
  <si>
    <t>Kesehatan Masyarakat Universitas Indonesia Tahun 2018</t>
  </si>
  <si>
    <t>Siti Fatimah, S.Kp.G, MPH</t>
  </si>
  <si>
    <t>199102232020122007</t>
  </si>
  <si>
    <t>3402056302910001</t>
  </si>
  <si>
    <t>Kesehatan Masyarakat UGM Tahun 2017</t>
  </si>
  <si>
    <t>Dosen Pendidikan Dokter</t>
  </si>
  <si>
    <t>Syaeful Arief, S.T., M.T.</t>
  </si>
  <si>
    <t>198709152020121004</t>
  </si>
  <si>
    <t>3306031509870004</t>
  </si>
  <si>
    <t>Teknik Industri Universitas Islam Indonesia Tahun 2012</t>
  </si>
  <si>
    <t>0515098703</t>
  </si>
  <si>
    <t>Teknik Industri</t>
  </si>
  <si>
    <t>Dien F. Awaliyah, M.T.</t>
  </si>
  <si>
    <t>Parepare</t>
  </si>
  <si>
    <t xml:space="preserve">199005132019032016 </t>
  </si>
  <si>
    <t>7315025305900002</t>
  </si>
  <si>
    <t>Pengelolaan Infrastruktur Air Bersih dan Sanitasi ITB Tahun 2015</t>
  </si>
  <si>
    <t>Dosen Teknik Lingkungan Asisten Ahli</t>
  </si>
  <si>
    <t>Deddy Rahmadi, M.Sc.</t>
  </si>
  <si>
    <t>199308072022031001</t>
  </si>
  <si>
    <t>'3310240708930003</t>
  </si>
  <si>
    <t>Matematika UGM Tahun 2018</t>
  </si>
  <si>
    <t>Asisten Ahli - Dosen Matematika</t>
  </si>
  <si>
    <t>Anisa Nazera Fauzia, M.Biotech</t>
  </si>
  <si>
    <t xml:space="preserve">199101022019032013 </t>
  </si>
  <si>
    <t>3402134201910003</t>
  </si>
  <si>
    <t>Bioteknologi UGM Tahun 2017</t>
  </si>
  <si>
    <t>Dosen Bioteknologi Asisten Ahli</t>
  </si>
  <si>
    <t>Apt. Gita Miranda Warsito, S.Farm., M.K.M., M.P.H.</t>
  </si>
  <si>
    <t>199011292022032002</t>
  </si>
  <si>
    <t>'3578186911900001</t>
  </si>
  <si>
    <t>Ilmu Kesehatan Masyarakat UI Tahun 2019</t>
  </si>
  <si>
    <t>Kesehatan Masyarakat</t>
  </si>
  <si>
    <t>Dr. Siti Mutmainah, S.Kom., M.Cs.</t>
  </si>
  <si>
    <t>N 048071</t>
  </si>
  <si>
    <t>Belitung</t>
  </si>
  <si>
    <t>197912042006042003</t>
  </si>
  <si>
    <t>3471014412790002</t>
  </si>
  <si>
    <t>Teknik Informatika dan Otomatisasi Artois University Perancis Tahun 2021</t>
  </si>
  <si>
    <t>Kepala UPT Pusat Teknologi Informasi dan Pangkalan Data Masa Jabatan 2024 - 2028</t>
  </si>
  <si>
    <t>Muhammad Arief Rochman, S.T., M.T.</t>
  </si>
  <si>
    <t>04-03-1982</t>
  </si>
  <si>
    <t>198203042008011009</t>
  </si>
  <si>
    <t>3313130403820006</t>
  </si>
  <si>
    <t>01-10-2018</t>
  </si>
  <si>
    <t>Magister Teknik UII Tahun 2015</t>
  </si>
  <si>
    <t>G. FAKULTAS ILMU SOSIAL DAN HUMANIORA</t>
  </si>
  <si>
    <t>Prof. Dr. Iswandi Syahputra, S. Ag., M.Si.</t>
  </si>
  <si>
    <t>M 135308</t>
  </si>
  <si>
    <t>197304232005011006</t>
  </si>
  <si>
    <t>3404072304732410</t>
  </si>
  <si>
    <t>Perbandingan Madzhab IAIN Sunan Kalijaga Tahun 1998</t>
  </si>
  <si>
    <t>Komunikasi UI Tahun 2004</t>
  </si>
  <si>
    <t>Kajian Budaya dan Media UGM Tahun  2010</t>
  </si>
  <si>
    <t>Ilmu Komunikasi (S1)</t>
  </si>
  <si>
    <t>Dra. Marfuah Sri Sanityastuti, M.Si.</t>
  </si>
  <si>
    <t>F. 335183</t>
  </si>
  <si>
    <t>196108161992032003</t>
  </si>
  <si>
    <t>3404125608610002</t>
  </si>
  <si>
    <t>01-05-2013</t>
  </si>
  <si>
    <t>Komunikasi Massa UNS Tahun 1987</t>
  </si>
  <si>
    <t>092100500228</t>
  </si>
  <si>
    <t>Dr. Napsiah, S.Sos., M.Si.</t>
  </si>
  <si>
    <t>M. 112117</t>
  </si>
  <si>
    <t>Gedung Raja Lampung Utara</t>
  </si>
  <si>
    <t>197210182005012002</t>
  </si>
  <si>
    <t>3404075810720003</t>
  </si>
  <si>
    <t>Sosiologi UGM Tahun 1995</t>
  </si>
  <si>
    <t>Sosiologi Universitas Padjajaran Bandung Tahun 2015</t>
  </si>
  <si>
    <t>Sosiologi (S1)</t>
  </si>
  <si>
    <t xml:space="preserve">Ketua Program Studi Sosiologi </t>
  </si>
  <si>
    <t>Dr. Erika Setyanti Kusumaputri, S. Psi., M. Si.</t>
  </si>
  <si>
    <t>M 136388</t>
  </si>
  <si>
    <t>197505142005012004</t>
  </si>
  <si>
    <t>3471135405750004</t>
  </si>
  <si>
    <t>Psikologi Universitas Kristen Maranatha Bandung Tahun 2000</t>
  </si>
  <si>
    <t>Psikologi UGM Tahun 2003</t>
  </si>
  <si>
    <t>Psikologi (S1)</t>
  </si>
  <si>
    <t>Psikologi Industri dan Organisasi</t>
  </si>
  <si>
    <t>Dekan Fakultas Ilmu Sosial dan Humaniora Masa Jabatan 2024 - 2028</t>
  </si>
  <si>
    <t>Dr. Muryanti, S.Sos., M.A.</t>
  </si>
  <si>
    <t>P. 516626</t>
  </si>
  <si>
    <t>198008292009012005</t>
  </si>
  <si>
    <t>3404096908800001</t>
  </si>
  <si>
    <t xml:space="preserve">Sosiologi UGM Tahun 2006 </t>
  </si>
  <si>
    <t xml:space="preserve"> Sosiologi UGM Tahun 2008</t>
  </si>
  <si>
    <t>Sosiologi Pedesaan  IPB Tahun 2017</t>
  </si>
  <si>
    <t>Sosiologi Pedesaan dan Perkotaan</t>
  </si>
  <si>
    <t>Sekretaris Program Studi Sosiologi Program Magister (S2)</t>
  </si>
  <si>
    <t xml:space="preserve">Dr. Nurus Sa'adah, S.Psi,M.Si, Psi. </t>
  </si>
  <si>
    <t>J. 088818</t>
  </si>
  <si>
    <t>197411202000032003</t>
  </si>
  <si>
    <t>3402126011740004</t>
  </si>
  <si>
    <t>Psikologi UGM Tahun 1998</t>
  </si>
  <si>
    <t>Psikologi UGM Tahun 2013</t>
  </si>
  <si>
    <t>Dr. Rama Kertamukti, S.Sos., MSn.</t>
  </si>
  <si>
    <t>P. 684467</t>
  </si>
  <si>
    <t>197210262011011001</t>
  </si>
  <si>
    <t>3306062610720002</t>
  </si>
  <si>
    <t xml:space="preserve"> Ilmu Penerangan UNPAD Tahun  1996</t>
  </si>
  <si>
    <t>Penciptaan Seni ISI Yogyakarta Tahun 2007</t>
  </si>
  <si>
    <t>Kajian Budaya dan Media  UGM Tahun 2020</t>
  </si>
  <si>
    <t>Komunikasi Visual</t>
  </si>
  <si>
    <t>Wakil Dekan Bid. Kemahasiswaan dan Kerjasama  Fakultas  Ilmu Sosial dan Humaniora Masa Jabatan 2024-2028</t>
  </si>
  <si>
    <t>Dr. Yayan Suryana, M.Ag.</t>
  </si>
  <si>
    <t>I. 012371</t>
  </si>
  <si>
    <t>197010131998031008</t>
  </si>
  <si>
    <t>3404101310700001</t>
  </si>
  <si>
    <t>01/04/2010</t>
  </si>
  <si>
    <t>Muamalah Jinayah IAIN Sunan Kalijaga Tahun 1996</t>
  </si>
  <si>
    <t>Agama dan Filsafat IAIN Sunan Kalijaga Tahun 1999</t>
  </si>
  <si>
    <t>Drs. Bono Setyo, M.Si</t>
  </si>
  <si>
    <t>N 527137</t>
  </si>
  <si>
    <t>196903172008011013</t>
  </si>
  <si>
    <t>3310241703690001</t>
  </si>
  <si>
    <t>Komunikasi Massa UNS Tahun 1992</t>
  </si>
  <si>
    <t>Ilmu Sosial UNPAD Tahun 1999</t>
  </si>
  <si>
    <t>01-04-2034</t>
  </si>
  <si>
    <t>Komunikasi Manusia (Human Communication)</t>
  </si>
  <si>
    <t>Dr. Raden Rachmy Diana, S. Psi., MA., Psi.</t>
  </si>
  <si>
    <t>M 136387</t>
  </si>
  <si>
    <t>197509102005012003</t>
  </si>
  <si>
    <t>3404125009750003</t>
  </si>
  <si>
    <t>Psikologi UGM Tahun 1999</t>
  </si>
  <si>
    <t>Psikologi UGM Tahun  2009</t>
  </si>
  <si>
    <t>Psikologi Pendidikan Islam UMY Tahun 2020</t>
  </si>
  <si>
    <t>2010097501</t>
  </si>
  <si>
    <t>Drs. Siantari Rihartono, M.Si.</t>
  </si>
  <si>
    <t>E. 942345</t>
  </si>
  <si>
    <t>Pematang Siantar</t>
  </si>
  <si>
    <t>196003231991031002</t>
  </si>
  <si>
    <t>3471042303600001</t>
  </si>
  <si>
    <t>Ilmu Komunikasi UGM Tahun 1990</t>
  </si>
  <si>
    <t>Ilmu Administrasi Negara UGM Tahun 2008</t>
  </si>
  <si>
    <t>Komunikasi Massa</t>
  </si>
  <si>
    <t xml:space="preserve">Retno Pandan Arum Kusumowardhani,S.Psi,M.Si,Psi. </t>
  </si>
  <si>
    <t>N 527140</t>
  </si>
  <si>
    <t>197312292008012005</t>
  </si>
  <si>
    <t>3404056912730001</t>
  </si>
  <si>
    <t>'2029127301</t>
  </si>
  <si>
    <t>01-01-2039</t>
  </si>
  <si>
    <t>Psikologi Sosial</t>
  </si>
  <si>
    <t>Dr. Yani Tri Wijayanti, S.Sos, M.Si</t>
  </si>
  <si>
    <t>N 527138</t>
  </si>
  <si>
    <t>198003262008012010</t>
  </si>
  <si>
    <t>3404066603800003</t>
  </si>
  <si>
    <t>Komunikasi Massa UNS Tahun 2003</t>
  </si>
  <si>
    <t>Ilmu Komunikasi UNS Tahun 2005</t>
  </si>
  <si>
    <t>Ilmu Komunikasi UNPAD Tahun 2016</t>
  </si>
  <si>
    <t>01-04-2045</t>
  </si>
  <si>
    <t xml:space="preserve">Manajemen Komunikasi  </t>
  </si>
  <si>
    <t>Ambar Sari Dewi, S.Sos, M.Si., Ph.D.</t>
  </si>
  <si>
    <t>N 527136</t>
  </si>
  <si>
    <t>197612102008012008</t>
  </si>
  <si>
    <t>3402155012760005</t>
  </si>
  <si>
    <t>Sosiologi UGM Tahun 2006</t>
  </si>
  <si>
    <t>Doctor of Philosophy University of Queensland Tahun 2019</t>
  </si>
  <si>
    <t>01-01-2042</t>
  </si>
  <si>
    <t>Sosiologi Ekonomi</t>
  </si>
  <si>
    <t>Wakil Dekan  Bid. Akademik Fakultas  Ilmu Sosial dan Humaniora Masa Jabatan 2024-2028</t>
  </si>
  <si>
    <t>Benny Herlena, S.Psi., M.Si.</t>
  </si>
  <si>
    <t>N 043777</t>
  </si>
  <si>
    <t>Sliyeg Indramayu</t>
  </si>
  <si>
    <t>24-11-1975</t>
  </si>
  <si>
    <t>197511242006041002</t>
  </si>
  <si>
    <t>3404112411750001</t>
  </si>
  <si>
    <t>Psikologi UII Tahun 2000</t>
  </si>
  <si>
    <t>Psikologi UGM Tahun 2004</t>
  </si>
  <si>
    <t>Muhammad Johan Nasrul Huda, S.Psi.,M.Si.</t>
  </si>
  <si>
    <t>P. 516623</t>
  </si>
  <si>
    <t>197912282009011012</t>
  </si>
  <si>
    <t>3502172812790003</t>
  </si>
  <si>
    <t>Psikologi UIN Malang Tahun 2004</t>
  </si>
  <si>
    <t>Psikologi UGM Tahun 2007</t>
  </si>
  <si>
    <t>Miftahun Ni'mah Suseno, S.P.Si., Psi, MA.</t>
  </si>
  <si>
    <t>197703132009122001</t>
  </si>
  <si>
    <t>3471075303770001</t>
  </si>
  <si>
    <t>Psikologi UII Tahun 1999</t>
  </si>
  <si>
    <t xml:space="preserve">Psikologi UGM Tahun 2008   </t>
  </si>
  <si>
    <t>0513037701</t>
  </si>
  <si>
    <t>Psikometri</t>
  </si>
  <si>
    <t>Satih Saidiyah, Dipl.Psy., M.Si.</t>
  </si>
  <si>
    <t>B 01034877</t>
  </si>
  <si>
    <t>197608052005012003</t>
  </si>
  <si>
    <t>3402154508760007</t>
  </si>
  <si>
    <t>Univ. Of. Punjab Tahun 2001</t>
  </si>
  <si>
    <t>Psikologi Perkembangan</t>
  </si>
  <si>
    <t>Dr. Fatma Dian Pratiwi, S.Sos, M. Si.</t>
  </si>
  <si>
    <t>N 043776</t>
  </si>
  <si>
    <t>197503072006042001</t>
  </si>
  <si>
    <t>3372014703750004</t>
  </si>
  <si>
    <t>Komunikasi Massa UNS Tahun 1998</t>
  </si>
  <si>
    <t>Komunikasi UNS Tahun 2004</t>
  </si>
  <si>
    <t>Kajian Budaya dan Media  UGM Tahun 2021</t>
  </si>
  <si>
    <t>122100509806</t>
  </si>
  <si>
    <t>Komunikasi Media dan Budaya</t>
  </si>
  <si>
    <t xml:space="preserve">Ketua Program Studi Media dan Komunikasi Program Magister </t>
  </si>
  <si>
    <t>Zidni Immawan Muslimin, S.Psi, M.Si</t>
  </si>
  <si>
    <t>N 527135</t>
  </si>
  <si>
    <t>196802202008011008</t>
  </si>
  <si>
    <t>3471062002680001</t>
  </si>
  <si>
    <t>Psikologi UGM Tahun 1996</t>
  </si>
  <si>
    <t>01-03-2033</t>
  </si>
  <si>
    <t>Dr. Mustadin, S.Psi., M.Si.</t>
  </si>
  <si>
    <t>P. 516624</t>
  </si>
  <si>
    <t>198202202009011006</t>
  </si>
  <si>
    <t>3471032002820001</t>
  </si>
  <si>
    <t>Psikologi UST Tahun 2006</t>
  </si>
  <si>
    <t xml:space="preserve">Psikologi UGM Tahun 2008 </t>
  </si>
  <si>
    <t>Psikologi UGM Tahun  2014</t>
  </si>
  <si>
    <t>Pranata Humas Ahli pada Kemenpora</t>
  </si>
  <si>
    <t>Dr. Rika Lusri Virga, S.IP., M.A.</t>
  </si>
  <si>
    <t>P. 684491</t>
  </si>
  <si>
    <t>Sintang</t>
  </si>
  <si>
    <t>198509142011012014</t>
  </si>
  <si>
    <t>6105015499850002</t>
  </si>
  <si>
    <t xml:space="preserve">Ilmu Komunikasi  UMY Tahun 2008      </t>
  </si>
  <si>
    <t>Ilmu Komunikasi UGM Tahun 2010</t>
  </si>
  <si>
    <t>Ilmu Komunikasi Universitas Padjajaran Tahun 2023</t>
  </si>
  <si>
    <t>Periklanan</t>
  </si>
  <si>
    <t>Sekretaris Lembaga Penelitian dan Pengabdian kepada Masyarakat (LP2M) Masa Jabatan 2024-2028</t>
  </si>
  <si>
    <t>Dr. Diah Ajeng Purwani, S.Sos, M.Si.</t>
  </si>
  <si>
    <t>197907202009122001</t>
  </si>
  <si>
    <t>3471126007790001</t>
  </si>
  <si>
    <t>Ilmu Komunikasi UPN  Yogyakarta  Tahun 2005</t>
  </si>
  <si>
    <t>Ilmu Komunikasi Konsens Manajemen Komunikasi UNS Tahun 2009</t>
  </si>
  <si>
    <t>Komunikasi Pemberdayaan</t>
  </si>
  <si>
    <t>Sekretaris  UPT Pusat Pengembangan Bisnis Masa Jabatan 2024-2028</t>
  </si>
  <si>
    <t>Nuristighfari Masri Khaerani, S.Psi., M.Psi.</t>
  </si>
  <si>
    <t>197610282009122001</t>
  </si>
  <si>
    <t>3404076810760001</t>
  </si>
  <si>
    <t xml:space="preserve"> Psikologi  UII Tahun 2002 </t>
  </si>
  <si>
    <t xml:space="preserve"> Profesi Psikologi UGM Tahun 2009</t>
  </si>
  <si>
    <t>Psikologi Faal</t>
  </si>
  <si>
    <t>Ahmad Norma Permata, S.Ag., M.A., Ph.D.</t>
  </si>
  <si>
    <t>07-12-1971</t>
  </si>
  <si>
    <t>197112072009011003</t>
  </si>
  <si>
    <t>3404021811750005</t>
  </si>
  <si>
    <t xml:space="preserve"> Perbandingan Agama UMS Tahun 1994</t>
  </si>
  <si>
    <t xml:space="preserve">Agama dan Filsafat Kons. Hubungan Antar Agama UIN Sunan Kalijaga Tahun 2005 </t>
  </si>
  <si>
    <t>Westfalische Wilhelms Universitat Muster, German, Political Science and Anthropology, 2008</t>
  </si>
  <si>
    <t>162100514222</t>
  </si>
  <si>
    <t>2007127105</t>
  </si>
  <si>
    <t>01-01-2037</t>
  </si>
  <si>
    <t>Sosiologi Politik</t>
  </si>
  <si>
    <t>Ketua Program Studi Sosiologi Program Magister (S2)</t>
  </si>
  <si>
    <t>Maya Fitria, S. Psi., M.A.</t>
  </si>
  <si>
    <t>M 135307</t>
  </si>
  <si>
    <t>197704102005012002</t>
  </si>
  <si>
    <t>3402155004770003</t>
  </si>
  <si>
    <t>Psikologi UGM Tahun 2011</t>
  </si>
  <si>
    <t>Lisnawati, S.Psi., M.Psi.</t>
  </si>
  <si>
    <t>P. 684490</t>
  </si>
  <si>
    <t>197508102011012001</t>
  </si>
  <si>
    <t>3471086008750001</t>
  </si>
  <si>
    <t>Psikologi  UGM Tahun 2010</t>
  </si>
  <si>
    <t>132100511970</t>
  </si>
  <si>
    <t>Sara Palila, S.Psi,Psi, M.A.</t>
  </si>
  <si>
    <t>P. 516625</t>
  </si>
  <si>
    <t>Palembang</t>
  </si>
  <si>
    <t>198110142009012004</t>
  </si>
  <si>
    <t>1671095410810002</t>
  </si>
  <si>
    <t xml:space="preserve">Psikologi Klinis </t>
  </si>
  <si>
    <t>Mayreyna Nurwardani, S.Psi., M.Psi.</t>
  </si>
  <si>
    <t>P. 586732</t>
  </si>
  <si>
    <t>198105052009012011</t>
  </si>
  <si>
    <t>3404074505810032</t>
  </si>
  <si>
    <t>Magister Profesi Psikologi UGM Tahun 2007</t>
  </si>
  <si>
    <t>Dr. Pihasniwati, S.Psi., M.A.,Psikolog</t>
  </si>
  <si>
    <t>M 136389</t>
  </si>
  <si>
    <t>197411172005012006</t>
  </si>
  <si>
    <t>3402155711740003</t>
  </si>
  <si>
    <t>Psikologi Islam, UIN Syarif Hidayatullah Jakarta Tahun 2024</t>
  </si>
  <si>
    <t>152100513475</t>
  </si>
  <si>
    <t>Psikologi Klinis</t>
  </si>
  <si>
    <t>Very Julianto,  M.Psi.</t>
  </si>
  <si>
    <t>198807172015031003</t>
  </si>
  <si>
    <t>1771021707880003</t>
  </si>
  <si>
    <t>Magister Profesi Psikologi UGM Tahun 2013</t>
  </si>
  <si>
    <t>182100516043</t>
  </si>
  <si>
    <t>Psikologi Umum dan Eksperimen</t>
  </si>
  <si>
    <t>Yanti Dwi Astuti, S.Sos.I, M.A.</t>
  </si>
  <si>
    <t>Langkat</t>
  </si>
  <si>
    <t>198405162015032001</t>
  </si>
  <si>
    <t>3404044611840002</t>
  </si>
  <si>
    <t>Komunikasi dan Penyiaran Islam UIN Sunan Kalijaga Tahun 2008</t>
  </si>
  <si>
    <t>Ilmu Komunikasi UGM Tahun 2014</t>
  </si>
  <si>
    <t>182100516042</t>
  </si>
  <si>
    <t>2016058401</t>
  </si>
  <si>
    <t>Komunikasi Media Massa dan Media Online</t>
  </si>
  <si>
    <t>Dr. Astri Hanjarwati, S.Sos., M.A.</t>
  </si>
  <si>
    <t>198505022015032005</t>
  </si>
  <si>
    <t>3404114205850003</t>
  </si>
  <si>
    <t>Sosiatri UGM Tahun 2007</t>
  </si>
  <si>
    <t>Sosiologi UGM  Tahun 2009</t>
  </si>
  <si>
    <t>Ilmu Geografi UGM Tahun 2019</t>
  </si>
  <si>
    <t>Sosiologi Pembangunan</t>
  </si>
  <si>
    <t>Wakil Dekan  Bid. Adm. Umum, Perencanaan dan Keuangan Fakultas  Ilmu Sosial dan Humaniora Masa Jabatan 2024-2028</t>
  </si>
  <si>
    <t>Lukman Nusa, M.I.Kom.</t>
  </si>
  <si>
    <t>198612212015031005</t>
  </si>
  <si>
    <t>3309092112869002</t>
  </si>
  <si>
    <t>Ilmu Komunikasi UNS Tahun 2011</t>
  </si>
  <si>
    <t>Ilmu Komunikasi UNS Tahun 2013</t>
  </si>
  <si>
    <t>222100517747</t>
  </si>
  <si>
    <t>2021128603</t>
  </si>
  <si>
    <t>Manajemen Media Massa dan Media Online</t>
  </si>
  <si>
    <t>Koordinator Pusat Audit dan Pengendalian Mutu pada LPM Masa Jabatan 2024 - 2028</t>
  </si>
  <si>
    <t>Niken Puspitasari, S.IP., M.A.</t>
  </si>
  <si>
    <t>198301112015032004</t>
  </si>
  <si>
    <t>6171055101830005</t>
  </si>
  <si>
    <t>Ilmu Hubungan Internasioal UPN Veteran Yogyakarta Tahun 2007</t>
  </si>
  <si>
    <t>Ilmu Politik UGM Tahun 2010</t>
  </si>
  <si>
    <t>182100516040</t>
  </si>
  <si>
    <t>0511018301</t>
  </si>
  <si>
    <t>Perkembangan Teknologi</t>
  </si>
  <si>
    <t>Agus Saputro, M.Si.</t>
  </si>
  <si>
    <t xml:space="preserve">Karanganyar </t>
  </si>
  <si>
    <t>199001132018011003</t>
  </si>
  <si>
    <t>3313131301900006</t>
  </si>
  <si>
    <t>Sosiologi Universitas Sebelas Maret Tahun 2016</t>
  </si>
  <si>
    <t>222100517749</t>
  </si>
  <si>
    <t>2013019001</t>
  </si>
  <si>
    <t>Kajian Sosiologi Pedesaan dan Perkotaan</t>
  </si>
  <si>
    <t>Candra Indraswari, M.Psi.</t>
  </si>
  <si>
    <t xml:space="preserve">199111152019032019 </t>
  </si>
  <si>
    <t>1704114704910001</t>
  </si>
  <si>
    <t>Magister Psikologi Profesi UGM Tahun 2018</t>
  </si>
  <si>
    <t>2015119103</t>
  </si>
  <si>
    <t>Industri dan Organisasi</t>
  </si>
  <si>
    <t>Dr. Andri Rosadi, M.Hum</t>
  </si>
  <si>
    <t>197512302009121002</t>
  </si>
  <si>
    <t>1371093012750006</t>
  </si>
  <si>
    <t>UGM Tahun 2006</t>
  </si>
  <si>
    <t>Universitity Of Western Sidney Australia Tahun 2019</t>
  </si>
  <si>
    <t xml:space="preserve">Sekretaris Program Studi Sosiologi </t>
  </si>
  <si>
    <t>Mokhamad Mahfud, S.Sos. I., M.Si.</t>
  </si>
  <si>
    <t>Q 052504</t>
  </si>
  <si>
    <t>13-07-1977</t>
  </si>
  <si>
    <t>197707132006041002</t>
  </si>
  <si>
    <t>3402151307770007</t>
  </si>
  <si>
    <t>Komunikasi dan Penyiaran Islam IAIN Sunan Kalijaga Tahun 2002</t>
  </si>
  <si>
    <t>Komunikasi Islam</t>
  </si>
  <si>
    <t>Ketua Program Studi Ilmu Komunikasi</t>
  </si>
  <si>
    <t>Alip Kunandar, S.Sos., M.Si.</t>
  </si>
  <si>
    <t>P. 516627</t>
  </si>
  <si>
    <t>197606262009011010</t>
  </si>
  <si>
    <t>0952042006770055</t>
  </si>
  <si>
    <t>Ilmu Komunikasi UNHAS Tahun 2001</t>
  </si>
  <si>
    <t>Ilmu Komunikasi UI Tahun 2008</t>
  </si>
  <si>
    <t>1221100509807</t>
  </si>
  <si>
    <t>Sekretaris Program Studi Ilmu Komunikasi</t>
  </si>
  <si>
    <t>Fajar Iqbal, S.Sos., M.Si.</t>
  </si>
  <si>
    <t>197307012011011002</t>
  </si>
  <si>
    <t>3402160107730007</t>
  </si>
  <si>
    <t>Ilmu Komunikasi UI Tahun 2005</t>
  </si>
  <si>
    <t>162100514221</t>
  </si>
  <si>
    <t>2001077303</t>
  </si>
  <si>
    <t>Lintas Budaya</t>
  </si>
  <si>
    <t>Achmad Uzair, S.IP, M.A., Ph.D.</t>
  </si>
  <si>
    <t>P. 684492</t>
  </si>
  <si>
    <t>197803152011011002</t>
  </si>
  <si>
    <t>3320061503780003</t>
  </si>
  <si>
    <t xml:space="preserve"> Ilmu Hubungan Internasional UGM Tahun 2002</t>
  </si>
  <si>
    <t>Development Studies, Poverty Studies and Policy Analysis Institut of Sosial Studies, The Hague Netherlands, 2008</t>
  </si>
  <si>
    <t>Australia</t>
  </si>
  <si>
    <t>182100516025</t>
  </si>
  <si>
    <t>2015037806</t>
  </si>
  <si>
    <t>B.J. Sujibto, M.A.</t>
  </si>
  <si>
    <t xml:space="preserve">198602242019031007 </t>
  </si>
  <si>
    <t>3529132402860001</t>
  </si>
  <si>
    <t>Sociology Selcuk University Turkey Tahun 2017</t>
  </si>
  <si>
    <t>2024028602</t>
  </si>
  <si>
    <t>Muslim Hidayat, M.A.</t>
  </si>
  <si>
    <t xml:space="preserve">198402262019031010 </t>
  </si>
  <si>
    <t>3310222602840002</t>
  </si>
  <si>
    <t>UIN Sunan Kalijaga Tahun 2006</t>
  </si>
  <si>
    <t>Psikologi UGM Tahun 2012</t>
  </si>
  <si>
    <t>Psikologi Islam</t>
  </si>
  <si>
    <t>Ismatul Izzah, S.Th.I., M.A.</t>
  </si>
  <si>
    <t>198407032015032002</t>
  </si>
  <si>
    <t>3402154307840006</t>
  </si>
  <si>
    <t>Tafsir dan Hadis UIN Sunan Kalijaga Tahun 2007</t>
  </si>
  <si>
    <t>182100516041</t>
  </si>
  <si>
    <t>Ui Ardaninggar Luhtitianti, M.A.</t>
  </si>
  <si>
    <t>B 01034723</t>
  </si>
  <si>
    <t>198504072018012001</t>
  </si>
  <si>
    <t>3322084704850002</t>
  </si>
  <si>
    <t>Sosiologi UGM Yogyakarta Tahun 2010</t>
  </si>
  <si>
    <t>222100517758</t>
  </si>
  <si>
    <t>2007048501</t>
  </si>
  <si>
    <t>Denisa Apriliawati, M.Res.</t>
  </si>
  <si>
    <t xml:space="preserve">199004072019032014 </t>
  </si>
  <si>
    <t>3402084704900002</t>
  </si>
  <si>
    <t>Psychology (Mres) The University of Manchester InggrisTahun2017</t>
  </si>
  <si>
    <t>2007049005</t>
  </si>
  <si>
    <t>Statistika dan Psikometrika</t>
  </si>
  <si>
    <t>Ketua Program Studi Psikologi</t>
  </si>
  <si>
    <t>Sabiqotul Husna, M.Sc.</t>
  </si>
  <si>
    <t xml:space="preserve">198802142019032014 </t>
  </si>
  <si>
    <t>3308185402880002</t>
  </si>
  <si>
    <t>UIN Sunan Kalijaga Tahun 2012</t>
  </si>
  <si>
    <t>Psychology Maastrich University Tahun 2017</t>
  </si>
  <si>
    <t>2014028802</t>
  </si>
  <si>
    <t>Biopsikologi</t>
  </si>
  <si>
    <t>Rahmah At Taymini, M.A.</t>
  </si>
  <si>
    <t>Tanjungpinang</t>
  </si>
  <si>
    <t xml:space="preserve">199212162019032015 </t>
  </si>
  <si>
    <t>2172015612920001</t>
  </si>
  <si>
    <t>Aditya Dedy Nugraha, M.Psi.,Psi.</t>
  </si>
  <si>
    <t xml:space="preserve">198612142019031009 </t>
  </si>
  <si>
    <t>3310021412860001</t>
  </si>
  <si>
    <t>UMS Tahun 2008</t>
  </si>
  <si>
    <t>Psikologi Profesi UMS Tahun 2013</t>
  </si>
  <si>
    <t>2014128602</t>
  </si>
  <si>
    <t>Psikologi Umum dan Eksperimental</t>
  </si>
  <si>
    <t>Achmad Zuhri, M.I.Kom.</t>
  </si>
  <si>
    <t xml:space="preserve">199001112019031014  </t>
  </si>
  <si>
    <t>3325091101900001</t>
  </si>
  <si>
    <t>01/24/2024</t>
  </si>
  <si>
    <t>Ilmu Komunikasi Universitas Prof. Dr. Moestopo Tahun 2018</t>
  </si>
  <si>
    <t>2011019001</t>
  </si>
  <si>
    <t xml:space="preserve">Sekretaris Program Studi Media dan Komunikasi Program Magister </t>
  </si>
  <si>
    <t>Syaiful Fakhri, M.Psi.</t>
  </si>
  <si>
    <t xml:space="preserve">198906072019031016 </t>
  </si>
  <si>
    <t>3404060706890001</t>
  </si>
  <si>
    <t>Psikologi Universitas Ahmad Dahlan Tahun 2017</t>
  </si>
  <si>
    <t>2007068902</t>
  </si>
  <si>
    <t>Anggota Divisi SPI</t>
  </si>
  <si>
    <t>07/01/2021</t>
  </si>
  <si>
    <t>Handini, M.I.Kom.</t>
  </si>
  <si>
    <t xml:space="preserve">199109292019031014 </t>
  </si>
  <si>
    <t>3213252909910001</t>
  </si>
  <si>
    <t>2029099101</t>
  </si>
  <si>
    <t>Ketua ADMISI</t>
  </si>
  <si>
    <t>Tariq Yazid, MA.</t>
  </si>
  <si>
    <t xml:space="preserve">198505022019031011 </t>
  </si>
  <si>
    <t>3674050205850003</t>
  </si>
  <si>
    <t>Univ. Prof. Dr. Moestopo Jakarta Tahun 2008</t>
  </si>
  <si>
    <t>Pengurusan Media  Univ. Sains Islam Malaysia Tahun 2011</t>
  </si>
  <si>
    <t>232100519189</t>
  </si>
  <si>
    <t>Komunikasi Industri</t>
  </si>
  <si>
    <t>Ihya' Ulumuddin, M.Sos.</t>
  </si>
  <si>
    <t>199211232020121006</t>
  </si>
  <si>
    <t>3524222311920002</t>
  </si>
  <si>
    <t>Komunikasi Penyiaran Islam UIN Sunan Ampel Surabaya Tahun 2018</t>
  </si>
  <si>
    <t>2023119201</t>
  </si>
  <si>
    <t>Kebijakan Publik</t>
  </si>
  <si>
    <t>Rita Setyani Hadi Sukirno, M.Psi.</t>
  </si>
  <si>
    <t>B 01034722</t>
  </si>
  <si>
    <t>198305012015032006</t>
  </si>
  <si>
    <t>3471074105830001</t>
  </si>
  <si>
    <t>Psikologi UII Tahun 2005</t>
  </si>
  <si>
    <t>Magister Profesi Psikologi UGM  Tahun 2009</t>
  </si>
  <si>
    <t>222100517766</t>
  </si>
  <si>
    <t>Fitriana Widyastuti, M.Psi</t>
  </si>
  <si>
    <t xml:space="preserve">199101022019032012 </t>
  </si>
  <si>
    <t>3402074201910002</t>
  </si>
  <si>
    <t>2002019101</t>
  </si>
  <si>
    <t>Psikologi Anak Asisten Ahli</t>
  </si>
  <si>
    <t>Plt. Sekretaris Program Studi Psikologi</t>
  </si>
  <si>
    <t>Dwi Nur Laela Fithriya, M.A.</t>
  </si>
  <si>
    <t xml:space="preserve">199101232019032013 </t>
  </si>
  <si>
    <t>3524156301910003</t>
  </si>
  <si>
    <t>Ilmu Hubungan Internasional UGM Tahun 2014</t>
  </si>
  <si>
    <t>2023019102</t>
  </si>
  <si>
    <t>Maya Sandra Rosita Dewi, M.I.Kom.</t>
  </si>
  <si>
    <t xml:space="preserve">198704282019032010 </t>
  </si>
  <si>
    <t>3309076804870002</t>
  </si>
  <si>
    <t>UII Tahun 2009</t>
  </si>
  <si>
    <t>Ilmu Komunikasi UNS Surakarta Tahun 2016</t>
  </si>
  <si>
    <t>Komunikasi dan Media Digital</t>
  </si>
  <si>
    <t>dr. Murtafiqoh Hasanah</t>
  </si>
  <si>
    <t>197906292005012007</t>
  </si>
  <si>
    <t>3401066906790001</t>
  </si>
  <si>
    <t>01-04-2015</t>
  </si>
  <si>
    <t>Pendidikan Spesialis Syaraf Tahun 2017</t>
  </si>
  <si>
    <t>Nisrina Muthahari, M.A.</t>
  </si>
  <si>
    <t>‌199009042020122012</t>
  </si>
  <si>
    <t>3471144409900001</t>
  </si>
  <si>
    <t>Sosiologi UGM Tahun 2019</t>
  </si>
  <si>
    <t>Kanita Khoirun Nisa, S.Pd. MA.</t>
  </si>
  <si>
    <t>‌199406222020122012</t>
  </si>
  <si>
    <t>3301046206940009</t>
  </si>
  <si>
    <t>Dosen Sosiologi</t>
  </si>
  <si>
    <t>Latifa Zahra, M.A.</t>
  </si>
  <si>
    <t>Lampung Utara</t>
  </si>
  <si>
    <t>199003272022032001</t>
  </si>
  <si>
    <t>'3471126703900001</t>
  </si>
  <si>
    <t>Ilmu Komunikasi Universitas Gadjah Mada Tahun 2017</t>
  </si>
  <si>
    <t>2027039002</t>
  </si>
  <si>
    <t>Dosen Ilmu Komunikasi</t>
  </si>
  <si>
    <t>Ratna Mustika Handayani, M.Psi.</t>
  </si>
  <si>
    <t>Pelaihari (Kab. Tanah Laut)</t>
  </si>
  <si>
    <t xml:space="preserve">198501102019032011 </t>
  </si>
  <si>
    <t>6371015001850012</t>
  </si>
  <si>
    <t>Profesi Psikologi UGM Tahun 2014</t>
  </si>
  <si>
    <t>0510018501</t>
  </si>
  <si>
    <t>Krysna Yudy Nusantari, M.Psi.</t>
  </si>
  <si>
    <t>199103282022032002</t>
  </si>
  <si>
    <t>'3404116803910001</t>
  </si>
  <si>
    <t xml:space="preserve"> Psikologi Profesi UGM Tahun 2016</t>
  </si>
  <si>
    <t>Asisten Ahli - Dosen Psikologi</t>
  </si>
  <si>
    <t>H. FAKULTAS EKONOMI DAN BISNIS ISLAM</t>
  </si>
  <si>
    <t>Prof. Dr. Misnen Ardiansyah, SE, M.Si., AK.CA., ACPA.</t>
  </si>
  <si>
    <t>J. 090949</t>
  </si>
  <si>
    <t>197109292000031001</t>
  </si>
  <si>
    <t>3471132909710003</t>
  </si>
  <si>
    <t>Akuntansi STIE Widya Wiwaha Tahun 1996</t>
  </si>
  <si>
    <t>Ilmu Akuntansi UGM Tahun 2003</t>
  </si>
  <si>
    <t>Ilmu Ekonomi UNAIR Tahun 2009</t>
  </si>
  <si>
    <t>Ekonomi Syari'ah (S2)</t>
  </si>
  <si>
    <t>Dekan Fakultas Ekonomi dan Bisnis Islam Masa Jabatan 2024-2028</t>
  </si>
  <si>
    <t>Prof. Dr. H. Syafiq Mahmadah Hanafi, S.Ag, M.Ag.</t>
  </si>
  <si>
    <t>H.068458</t>
  </si>
  <si>
    <t>196705181997031003</t>
  </si>
  <si>
    <t>3471131805670001</t>
  </si>
  <si>
    <t>Hukum Islam IAIN Sunan Kalijaga Tahun  2003</t>
  </si>
  <si>
    <t>Ilmu Ekonomi UII Yogyakarta Tahun 2010</t>
  </si>
  <si>
    <t>092100500259</t>
  </si>
  <si>
    <t>Dr. Slamet Haryono, SE, M.Si.</t>
  </si>
  <si>
    <t>J. 090950</t>
  </si>
  <si>
    <t>197612312000031005</t>
  </si>
  <si>
    <t>3323163112760003</t>
  </si>
  <si>
    <t xml:space="preserve">Akuntansi STIE Widya Wiwaha Tahun  </t>
  </si>
  <si>
    <t xml:space="preserve">Akuntansi UGM Tahun </t>
  </si>
  <si>
    <t>Akuntansi UNDIP Tahun  2008</t>
  </si>
  <si>
    <t>092100500285</t>
  </si>
  <si>
    <t>Ilmu Akuntansi</t>
  </si>
  <si>
    <t>Sunarsih, SE, M.Si.</t>
  </si>
  <si>
    <t>J. 050006</t>
  </si>
  <si>
    <t>197409111999032001</t>
  </si>
  <si>
    <t>3402105109740002</t>
  </si>
  <si>
    <t>Manajemen UMY Tahun 1997</t>
  </si>
  <si>
    <t>Manajemen UGM Tahun 2003</t>
  </si>
  <si>
    <t>Manajemen Keuangan Syari'ah (S1)</t>
  </si>
  <si>
    <t>Dr. Muhammad Ghafur Wibowo, SE., M.Sc.</t>
  </si>
  <si>
    <t>198003142003121003</t>
  </si>
  <si>
    <t>1306151403800001</t>
  </si>
  <si>
    <t>Ilmu Ekonomi dan Studi Pembangunan UGM Tahun 2003</t>
  </si>
  <si>
    <t>Ilmu Ekonomi UGM Tahun 2008</t>
  </si>
  <si>
    <t>Studi Islam Konsentrasi Ekonomi Islam UIN Sunan Kalijaga Tahun 2020</t>
  </si>
  <si>
    <t>Ekonomi Syari'ah (S1)</t>
  </si>
  <si>
    <t>Ekonomi Pembangunan</t>
  </si>
  <si>
    <t>Ketua Program Studi Magister Studi Ekonomi Syari'ah</t>
  </si>
  <si>
    <t>Drs. Akhmad Yusuf Khoiruddin, SE, M.Si.</t>
  </si>
  <si>
    <t>E.946971</t>
  </si>
  <si>
    <t>196611191992031002</t>
  </si>
  <si>
    <t>3404061211660002</t>
  </si>
  <si>
    <t xml:space="preserve">Sosiologi UGM Tahun 1991 /
Manajemen Perusahaan UII Tahun 1993
</t>
  </si>
  <si>
    <t>092100500221</t>
  </si>
  <si>
    <t>Perbankan Syari'ah (S1)</t>
  </si>
  <si>
    <t>Managemen</t>
  </si>
  <si>
    <t>Drs. Slamet Khilmi, M.Si</t>
  </si>
  <si>
    <t>F.106446</t>
  </si>
  <si>
    <t>196310141992031002</t>
  </si>
  <si>
    <t>3302261410630002</t>
  </si>
  <si>
    <t>Hukum Islam Konsentrasi Muamalah UIN Sunan Kalijaga Tahun 2006</t>
  </si>
  <si>
    <t>Fiqh Mu'amalah</t>
  </si>
  <si>
    <t>Mukhamad Yazid Afandi, M.Ag</t>
  </si>
  <si>
    <t>M 263434</t>
  </si>
  <si>
    <t>197209132003121001</t>
  </si>
  <si>
    <t>3471141309720002</t>
  </si>
  <si>
    <t>Muamalat Jinayat IAIN Sunan Kalijaga Tahun 1997</t>
  </si>
  <si>
    <t>Hukum Islam Kons. Muamalat Tahun 2001</t>
  </si>
  <si>
    <t>Ekonomi Islam</t>
  </si>
  <si>
    <t>Wakil Dekan Bidang Administrasi Umum, Perencanaan dan Keuangan  Fakultas Ekonomi dan Bisnis Islam Masa Jabatan 2024-2028</t>
  </si>
  <si>
    <t>Dr. Sunaryati, SE, M.Si.</t>
  </si>
  <si>
    <t>L 046292</t>
  </si>
  <si>
    <t>197511112002122002</t>
  </si>
  <si>
    <t>3471125111750001</t>
  </si>
  <si>
    <t>Univ.Wangsa Manggala, Ekonomi Pembangunan Tahun 1998</t>
  </si>
  <si>
    <t>Ilmu Ekonomi dan Studi Pembangunan UGM Tahun 2001</t>
  </si>
  <si>
    <t>Ilmu Ekonomi UGM Tahun 2018</t>
  </si>
  <si>
    <t>Wakil Dekan Bidang Akademik Fakultas Ekonomi dan Bisnis Islam Masa Jabatan 2024-2028</t>
  </si>
  <si>
    <t>Dr. Joko Setyono, SE, M.Si.</t>
  </si>
  <si>
    <t>L 046291</t>
  </si>
  <si>
    <t>197307022002121003</t>
  </si>
  <si>
    <t>3502170207730002</t>
  </si>
  <si>
    <t>Manajemen Perusahaan STIE Kerjasama Tahun 1997</t>
  </si>
  <si>
    <t>Manajemen UGM Tahun 2002</t>
  </si>
  <si>
    <t>Studi Islam  UIN Sunan Kalijaga   Tahun 2021</t>
  </si>
  <si>
    <t>Dr. Abdul Haris, M.Ag.</t>
  </si>
  <si>
    <t>I. 104922</t>
  </si>
  <si>
    <t>197104231999031001</t>
  </si>
  <si>
    <t>3404102504710001</t>
  </si>
  <si>
    <t>Tafsir Hadis IAIN Sunan Kalijaga Tahun 1996</t>
  </si>
  <si>
    <t>Agama dan Filsafat IAIN Sunan Kalijaga Tahun 2001</t>
  </si>
  <si>
    <t>102 1112 5551</t>
  </si>
  <si>
    <t>2023087203</t>
  </si>
  <si>
    <t xml:space="preserve">Tafsir Hadis </t>
  </si>
  <si>
    <t>Ruspita Rani Pertiwi, S.Psi, M.M</t>
  </si>
  <si>
    <t>M 264525</t>
  </si>
  <si>
    <t>197606162005012002</t>
  </si>
  <si>
    <t>3404105606760007</t>
  </si>
  <si>
    <t>Magister Manajemen UGM Tahun 2004</t>
  </si>
  <si>
    <t>Koordinator Pusat Kurikulum dan Pembelajaran pada LPM Masa Jabatan 2024 - 2028</t>
  </si>
  <si>
    <t>Dr. Ibi Satibi, S.H.I., M.Si.</t>
  </si>
  <si>
    <t>197709102009011011</t>
  </si>
  <si>
    <t>3205261009770016</t>
  </si>
  <si>
    <t>Perbandingan Mazhab dan Hukum IAIN Sunan Kalijaga Tahun 2002</t>
  </si>
  <si>
    <t>Ilmu Politik UGM Tahun 2005</t>
  </si>
  <si>
    <t>Studi Islam Konsentrasi Sejarah Kebudayaan Islam UIN Sunan Kalijaga Yogyakarta Tahun 2018</t>
  </si>
  <si>
    <t>2010097701</t>
  </si>
  <si>
    <t>Akuntansi Syari'ah (S1)</t>
  </si>
  <si>
    <t>Politik Islam</t>
  </si>
  <si>
    <t>Wakil Dekan  Bid. Kemahasiswaan dan Kerjasama Fakultas  Ekonomi dan Bisnis Islam Masa Jabatan 2024-2028</t>
  </si>
  <si>
    <t>Jauhar Faradis, S.H.I., M.A.</t>
  </si>
  <si>
    <t>P. 684471</t>
  </si>
  <si>
    <t>198405232011011008</t>
  </si>
  <si>
    <t>3326172305840003</t>
  </si>
  <si>
    <t>al-Ahwal al-Syakhsiyyah UIN Sunan Kalijaga Tahun  2008</t>
  </si>
  <si>
    <t>Ilmu Agama dan Lintas Budaya UGM Tahun 2010</t>
  </si>
  <si>
    <t>152100513472</t>
  </si>
  <si>
    <t>2023058401</t>
  </si>
  <si>
    <t>Ilmu Ekonomi Islam</t>
  </si>
  <si>
    <t>Dr. Darmawan, SPd.,MAB</t>
  </si>
  <si>
    <t xml:space="preserve">Tasikmalaya </t>
  </si>
  <si>
    <t>197608272005011006</t>
  </si>
  <si>
    <t>3204122708760013</t>
  </si>
  <si>
    <t>Matematikan UNINUS Bandung Tahun 2007</t>
  </si>
  <si>
    <t xml:space="preserve">Manajemen Keuangan Negara STIA LAN Jakarta Tahun 2010
  </t>
  </si>
  <si>
    <t>Ilmu Manajemen Kons. Manajemen Keuangan UPI Bandung  Tahun 2014</t>
  </si>
  <si>
    <t>182100516026</t>
  </si>
  <si>
    <t>2027087605</t>
  </si>
  <si>
    <t>Statistik Induktif / Statistik Diskriptif</t>
  </si>
  <si>
    <t>Ketua Program Studi Manajemen Keuangan Syariah</t>
  </si>
  <si>
    <t>Abdul Qoyum, S.E.I., M.Sc.Fin.</t>
  </si>
  <si>
    <t xml:space="preserve">Rembang </t>
  </si>
  <si>
    <t>198506302015031007</t>
  </si>
  <si>
    <t>3317063006850002</t>
  </si>
  <si>
    <t xml:space="preserve"> Keuangan Islam UIN Sunan Kalijaga Tahun 2009</t>
  </si>
  <si>
    <t>Finance, International Islamic University Malaysia, 2013</t>
  </si>
  <si>
    <t>172100514771</t>
  </si>
  <si>
    <t>2030068501</t>
  </si>
  <si>
    <t>Ketua Lembaga Penelitian dan Pengabdian kepada Masyarakat  Masa Jabatan 2024-2028</t>
  </si>
  <si>
    <t>M. Arsyadi Ridha, SE., M.Sc., Ak.CA, ACPA.</t>
  </si>
  <si>
    <t xml:space="preserve">Aceh Tenggara </t>
  </si>
  <si>
    <t>198304192015031002</t>
  </si>
  <si>
    <t>3404071904830024</t>
  </si>
  <si>
    <t>Akuntansi UGM Tahun 2006</t>
  </si>
  <si>
    <t>Akuntansi UGM Tahun 2012</t>
  </si>
  <si>
    <t>182100516033</t>
  </si>
  <si>
    <t>2019048301</t>
  </si>
  <si>
    <t>Dian Nuriyah Solissa, SHI, M.Si.</t>
  </si>
  <si>
    <t>198402162009122004</t>
  </si>
  <si>
    <t>2404105602840001</t>
  </si>
  <si>
    <t xml:space="preserve">Muamalat UIN Sunan Kalijaga Tahun 2006 </t>
  </si>
  <si>
    <t xml:space="preserve">Kajian Wilayah Timur Tengah dan Islam UI Tahun 2009 </t>
  </si>
  <si>
    <t>2016028401</t>
  </si>
  <si>
    <t>Manajemen Perbankan Syari'ah</t>
  </si>
  <si>
    <t>Dr. Ibnu Muhdir, M.Ag.</t>
  </si>
  <si>
    <t>F. 108905</t>
  </si>
  <si>
    <t>196411121992031006</t>
  </si>
  <si>
    <t>3402171211640001</t>
  </si>
  <si>
    <t>Aqidah dan Filsafat IAIN Sunan Kalijaga 1997</t>
  </si>
  <si>
    <t>Studi Islam UIN Sunan Kalijaga 2013</t>
  </si>
  <si>
    <t>Hadis</t>
  </si>
  <si>
    <t xml:space="preserve">Yayu Putri Senjani, SE., M.Sc., ACPA.,CATr. </t>
  </si>
  <si>
    <t xml:space="preserve">Jakarta </t>
  </si>
  <si>
    <t>198710072015032002</t>
  </si>
  <si>
    <t>3175064710870009</t>
  </si>
  <si>
    <t>Akuntansi UIN Syarif Hidayatullah Tahun 2009</t>
  </si>
  <si>
    <t>182100516031</t>
  </si>
  <si>
    <t>2007108701</t>
  </si>
  <si>
    <t>Rosyid Nur Anggara Putra, SPd., M.Si.</t>
  </si>
  <si>
    <t>198805242015031010</t>
  </si>
  <si>
    <t>3312072405880001</t>
  </si>
  <si>
    <t>Pendidikan Ekonomi UNS Tahun 2010</t>
  </si>
  <si>
    <t>Akuntansi UNS Tahun 2014</t>
  </si>
  <si>
    <t>182100516036</t>
  </si>
  <si>
    <t>2024058801</t>
  </si>
  <si>
    <t>Farid Hidayat, S.H., M.S.I.</t>
  </si>
  <si>
    <t>198107262015031002</t>
  </si>
  <si>
    <t>3323032607810001</t>
  </si>
  <si>
    <t>Ilmu Hukum UMY Tahun 2003</t>
  </si>
  <si>
    <t>Hukum Islam UIN Sunan Kalijaga Tahun 2008</t>
  </si>
  <si>
    <t>182100516038</t>
  </si>
  <si>
    <t>2126078101</t>
  </si>
  <si>
    <t>Muhfiatun, S.E.I., M.E.I.</t>
  </si>
  <si>
    <t xml:space="preserve">Cilacap </t>
  </si>
  <si>
    <t>198909192015032009</t>
  </si>
  <si>
    <t>3301055909890002</t>
  </si>
  <si>
    <t>Keuangan Islam UIN Sunan Kalijaga Tahun 2011</t>
  </si>
  <si>
    <t>Hukum Islam UIN Sunan Kalijaga Tahun 2013</t>
  </si>
  <si>
    <t>182100516032</t>
  </si>
  <si>
    <t>2019098901</t>
  </si>
  <si>
    <t>Ketua Laboratorium Bahasa</t>
  </si>
  <si>
    <t>Lailatis Syarifah,  M.A.</t>
  </si>
  <si>
    <t xml:space="preserve">Hulu Sungai Selatan </t>
  </si>
  <si>
    <t>198207092015032002</t>
  </si>
  <si>
    <t>6371014907820004</t>
  </si>
  <si>
    <t>Syari'ah Islamiyah Universitas Al-Azhar Tahun 2006</t>
  </si>
  <si>
    <t>Ilmu Agama dan Lintas Budaya (Kajian Timur Tengah)  Tahun 2010</t>
  </si>
  <si>
    <t>182100516035</t>
  </si>
  <si>
    <t>2009078201</t>
  </si>
  <si>
    <t xml:space="preserve">Izra Berakon, M.Sc. </t>
  </si>
  <si>
    <t>Binjai</t>
  </si>
  <si>
    <t>199009272018011001</t>
  </si>
  <si>
    <t>1275042709900002</t>
  </si>
  <si>
    <t>Manajemen Universitas Gadjah Mada Tahun 2016</t>
  </si>
  <si>
    <t>222100517763</t>
  </si>
  <si>
    <t>2027099001</t>
  </si>
  <si>
    <t>Dwi Marlina Wijayanti, M.Sc.</t>
  </si>
  <si>
    <t>16/03/1992</t>
  </si>
  <si>
    <t xml:space="preserve">199203162019032018 </t>
  </si>
  <si>
    <t>1603015603920001</t>
  </si>
  <si>
    <t>Akuntansi UGM Tahun 2016</t>
  </si>
  <si>
    <t>2016039201</t>
  </si>
  <si>
    <t>Akuntansi Syariah (S1)</t>
  </si>
  <si>
    <t>Dr. Taosige Wau</t>
  </si>
  <si>
    <t>Nias Selatan</t>
  </si>
  <si>
    <t xml:space="preserve">198409192019031008 </t>
  </si>
  <si>
    <t>1214061909840007</t>
  </si>
  <si>
    <t>Univ. Bung Hatta Padang Tahun 2007</t>
  </si>
  <si>
    <t>Univ. Andalas Padang Tahun 2011</t>
  </si>
  <si>
    <t>Ilmu Ekonomi Universitas Andalas Padang Tahun 2016</t>
  </si>
  <si>
    <t>0119098401</t>
  </si>
  <si>
    <t>Muh. Rudi Nugroho, S.E., M.Sc.</t>
  </si>
  <si>
    <t xml:space="preserve">Klaten </t>
  </si>
  <si>
    <t>198202192015031002</t>
  </si>
  <si>
    <t>3310071902820001</t>
  </si>
  <si>
    <t>Ekonomi Pembangunan UNS Tahun 2004</t>
  </si>
  <si>
    <t>Ilmu Ekonomi UGM Tahun 2010</t>
  </si>
  <si>
    <t>172100514770</t>
  </si>
  <si>
    <t>0619028201</t>
  </si>
  <si>
    <t>Sofyan Hadinata, , SE., M.Sc., Ak., CA</t>
  </si>
  <si>
    <t>198511212015031005</t>
  </si>
  <si>
    <t>3313012111850003</t>
  </si>
  <si>
    <t>Ekonomi UNS Tahun 2012</t>
  </si>
  <si>
    <t>172100514773</t>
  </si>
  <si>
    <t>0621118501</t>
  </si>
  <si>
    <t>Ketua Program Studi Akuntansi Syari'ah</t>
  </si>
  <si>
    <t>Dr. Siti Nur Azizah, S.E.I., M.E.I.</t>
  </si>
  <si>
    <t>199109192015032008</t>
  </si>
  <si>
    <t>3301205909910001</t>
  </si>
  <si>
    <t>Ekonomi Islam STAIN Purwokerto Tahun 2012</t>
  </si>
  <si>
    <t>Keuangan dan Perbankan Syariah UIN Sunan Kalijaga Tahun 2014</t>
  </si>
  <si>
    <t>Doktor Perekonomian Islam dan Industri Halal, UGM Tahun 2022</t>
  </si>
  <si>
    <t xml:space="preserve"> Ekonomi Syari'ah</t>
  </si>
  <si>
    <t xml:space="preserve">Sekretaris Program Magister Program Studi Ekonomi Syari'ah  </t>
  </si>
  <si>
    <t>Dr. Prasojo, S.E., M.Si.</t>
  </si>
  <si>
    <t>198703222015031004</t>
  </si>
  <si>
    <t>3318172203870002</t>
  </si>
  <si>
    <t>Akuntansi Universitas Teknologi Yogyakarta Tahun 2009</t>
  </si>
  <si>
    <t>Akuntansi Tahun 2012</t>
  </si>
  <si>
    <t>Ilmu Akuntasi Universitas Padjadjaran Tahun 2022</t>
  </si>
  <si>
    <t>182100516027</t>
  </si>
  <si>
    <t>Dr. Miftakhul Choiri, S.Sos.I., M.S.I.</t>
  </si>
  <si>
    <t xml:space="preserve">Blitar </t>
  </si>
  <si>
    <t>198210092015031003</t>
  </si>
  <si>
    <t>3505110910820006</t>
  </si>
  <si>
    <t>Manajemen Dakwah UIN Sunan Kalijaga Tahun 2006</t>
  </si>
  <si>
    <t>Ekonomi Islam UII Tahun 2008</t>
  </si>
  <si>
    <t>Ekonomi Konsentrasi Ilmu Ekonomi UNDIP Tahun 2022</t>
  </si>
  <si>
    <t>182100516048</t>
  </si>
  <si>
    <t>Ekonomi Industri/Ekonomi Indonesia</t>
  </si>
  <si>
    <t>Ketua Program Studi Ekonomi Syariah</t>
  </si>
  <si>
    <t>Agus Faisal, S.E.I., M.E.I.</t>
  </si>
  <si>
    <t xml:space="preserve">Magelang </t>
  </si>
  <si>
    <t>199008172015031008</t>
  </si>
  <si>
    <t>3308191708900007</t>
  </si>
  <si>
    <t>Keuangan Islam UIN Sunan Kalijaga Tahun 2012</t>
  </si>
  <si>
    <t>Riswanti Budi Sekaringsih, M.Sc.</t>
  </si>
  <si>
    <t>198510092018012001</t>
  </si>
  <si>
    <t>3471084910850001</t>
  </si>
  <si>
    <t>Ilmu Ekonomi Universitas Gadjah Mada Tahun 2013</t>
  </si>
  <si>
    <t>2009108502</t>
  </si>
  <si>
    <t xml:space="preserve">Ilmu Ekonomi  </t>
  </si>
  <si>
    <t>Dr. Jeihan Ali Azhar, M.E.I.</t>
  </si>
  <si>
    <t xml:space="preserve">198712072019031009 </t>
  </si>
  <si>
    <t>3506100712870002</t>
  </si>
  <si>
    <t>Hukum Islam Kons. Keuangan dan Perbankan Syari'ah UIN Sunan Kalijaga Tahun 2014</t>
  </si>
  <si>
    <t>Studi Islam Konsentrasi Ekonomi Islam UIN Sunan Kalijaga Tahun 2022</t>
  </si>
  <si>
    <t>232100519188</t>
  </si>
  <si>
    <t>0507128701</t>
  </si>
  <si>
    <t>Perbankan Syariah (S1)</t>
  </si>
  <si>
    <t>Manajemen Keuangan Islam</t>
  </si>
  <si>
    <t>Ketua Program Studi Perbankan Syariah</t>
  </si>
  <si>
    <t>Mahfud Asyari, M.M.</t>
  </si>
  <si>
    <t xml:space="preserve">198801152019031004 </t>
  </si>
  <si>
    <t>3318151501880003</t>
  </si>
  <si>
    <t>UII Tahun 2011</t>
  </si>
  <si>
    <t>Magister Manajemen UII Tahun 2017</t>
  </si>
  <si>
    <t>2015018801</t>
  </si>
  <si>
    <t>Manajemen Sumber Daya Manusia</t>
  </si>
  <si>
    <t>Furqonul Haq, M.E.I.</t>
  </si>
  <si>
    <t>Cianjur</t>
  </si>
  <si>
    <t xml:space="preserve">199005252019031009 </t>
  </si>
  <si>
    <t>3203012505900018</t>
  </si>
  <si>
    <t>Universitas Djuanda Bogor Tahun 2012</t>
  </si>
  <si>
    <t>Ekonomi Islam Univ. Ibn Khaldun Bogor Tahun 2015</t>
  </si>
  <si>
    <t>0425059001</t>
  </si>
  <si>
    <t>Manajemen Keuangan Sya'riah (S1)</t>
  </si>
  <si>
    <t>Sekretaris Program Studi Akuntansi Syari'ah</t>
  </si>
  <si>
    <t>Rizaldi Yusfiarto, M.M.</t>
  </si>
  <si>
    <t xml:space="preserve">199011222019031012 </t>
  </si>
  <si>
    <t>3375012211900004</t>
  </si>
  <si>
    <t>IKIP PGRI Semarang Tahun 2013</t>
  </si>
  <si>
    <t>Magister Manajemen Kons. Manajemen Stratejik UNDIP Tahun 2017</t>
  </si>
  <si>
    <t>2022119003</t>
  </si>
  <si>
    <t>Ratna Sofiana, M.S.I.</t>
  </si>
  <si>
    <t xml:space="preserve">199107162019032018 </t>
  </si>
  <si>
    <t>3522105607910001</t>
  </si>
  <si>
    <t>Hukum Islam Kons. Hukum Bisnis Syariah UIN Sunan Kalijaga Tahun 2015</t>
  </si>
  <si>
    <t>Dosen Ilmu Agama Islam</t>
  </si>
  <si>
    <t>Sekretaris Program Studi Manajemen Keuangan Syariah</t>
  </si>
  <si>
    <t>Galuh Tri Pambekti, M.E.K.</t>
  </si>
  <si>
    <t xml:space="preserve">199206062019032020 </t>
  </si>
  <si>
    <t>3504164606920004</t>
  </si>
  <si>
    <t>Ilmu Ekonomi UII Tahun 2016</t>
  </si>
  <si>
    <t>2006069201</t>
  </si>
  <si>
    <t>Rifaatul Indana, M.E.</t>
  </si>
  <si>
    <t xml:space="preserve">198704122019032006 </t>
  </si>
  <si>
    <t>3522045204870004</t>
  </si>
  <si>
    <t>Hukum Islam Kons. Keuangan dan Perbankan Syari'ah UIN Sunan Kalijaga Tahun 2018</t>
  </si>
  <si>
    <t>2012048703</t>
  </si>
  <si>
    <t xml:space="preserve">Manajemen Pemasaran Perbankan </t>
  </si>
  <si>
    <t>Anggota Admisi</t>
  </si>
  <si>
    <t>Defi Insani Saibil, M.E.K.</t>
  </si>
  <si>
    <t xml:space="preserve">198812042019031014 </t>
  </si>
  <si>
    <t>1771020412880011</t>
  </si>
  <si>
    <t>UMY Tahun 2011</t>
  </si>
  <si>
    <t>Ilmu Ekonomi UII Tahun 2015</t>
  </si>
  <si>
    <t>2004128802</t>
  </si>
  <si>
    <t xml:space="preserve"> Sistem Informasi Perbankan</t>
  </si>
  <si>
    <t>Sekretaris Program Studi Perbankan Syariah</t>
  </si>
  <si>
    <t>Hilmy Baroroh, M.E.K.</t>
  </si>
  <si>
    <t xml:space="preserve">199111032019032019 </t>
  </si>
  <si>
    <t>3501044311910002</t>
  </si>
  <si>
    <t>Ilmu Ekonomi UII Tahun 2017</t>
  </si>
  <si>
    <t>2003119102</t>
  </si>
  <si>
    <t>Achmad Nurdany, S.E.I., S.E., M.E.K.</t>
  </si>
  <si>
    <t>‌199005252020121007</t>
  </si>
  <si>
    <t>3308202505900003</t>
  </si>
  <si>
    <t>Shulhah Nurullaily, S.H.I., M.E.I.</t>
  </si>
  <si>
    <t>198306082015032003</t>
  </si>
  <si>
    <t>3402134806830003</t>
  </si>
  <si>
    <t>Jinayah Siyasah UIN Sunan Kalijaga Tahun 2006</t>
  </si>
  <si>
    <t>Hukum Islam UIN Sunan Kalijaga Tahun 2012</t>
  </si>
  <si>
    <t>182100516029</t>
  </si>
  <si>
    <t>2008068301</t>
  </si>
  <si>
    <t>Lembaga Keuangan</t>
  </si>
  <si>
    <t>Fitri Zaelina, M.E.K.</t>
  </si>
  <si>
    <t>Ambarawa</t>
  </si>
  <si>
    <t>18/04/1992</t>
  </si>
  <si>
    <t xml:space="preserve">199204182019032015 </t>
  </si>
  <si>
    <t>1801065804920002</t>
  </si>
  <si>
    <t>STEI Hamfara Yogyakarta Tahun 2013</t>
  </si>
  <si>
    <t>2118049201</t>
  </si>
  <si>
    <t>Manajemen Resiko Lembaga Keuangan Islam</t>
  </si>
  <si>
    <t>Egha Ezar Junaeka Putra Hassany, M.E.</t>
  </si>
  <si>
    <t xml:space="preserve">199106032019031006 </t>
  </si>
  <si>
    <t>3471140306910002</t>
  </si>
  <si>
    <t>Hukum Islam Konsentrasi Keuangan dan Perbankan Syari'ah UIN Sunan Kalijaga Tahun 2017</t>
  </si>
  <si>
    <t>2003069102</t>
  </si>
  <si>
    <t>Dosen Sistem Informasi Perbankan</t>
  </si>
  <si>
    <t>I. PASCASARJANA</t>
  </si>
  <si>
    <t>Prof. Dr. H. Machasin, M.A.</t>
  </si>
  <si>
    <t>195610131981031003</t>
  </si>
  <si>
    <t>3471031310560001</t>
  </si>
  <si>
    <t>Sastra Arab IAIN Sunan Kalijaga Tahun  1979</t>
  </si>
  <si>
    <t>Kajian Islam IAIN Sunan Kalijaga Tahun 1988</t>
  </si>
  <si>
    <t>Program Doktor IAIN Sunan Kalijaga Tahun 1994</t>
  </si>
  <si>
    <t>09210050069</t>
  </si>
  <si>
    <t xml:space="preserve">Studi Islam (S3) </t>
  </si>
  <si>
    <t>Prof. Dr. Khoiruddin, MA</t>
  </si>
  <si>
    <t>E.943213</t>
  </si>
  <si>
    <t>Simangambat, Tapanuli</t>
  </si>
  <si>
    <t>196410081991031002</t>
  </si>
  <si>
    <t>3402080810640001</t>
  </si>
  <si>
    <t xml:space="preserve"> Peradilan Agama IAIN Sunan Kalijaga Tahun 1989</t>
  </si>
  <si>
    <t>McGill Islamic Studies, 1995</t>
  </si>
  <si>
    <t>Studi Islam IAIN Sunan Kalijaga Tahun 2001</t>
  </si>
  <si>
    <t>09210050083</t>
  </si>
  <si>
    <t>Fiqh Muqorin</t>
  </si>
  <si>
    <t>Prof. Dr. Muhammad Abdul Karim, MA., MA.</t>
  </si>
  <si>
    <t>J. 012478</t>
  </si>
  <si>
    <t>Jessore, Bangladesh</t>
  </si>
  <si>
    <t>195505011998121002</t>
  </si>
  <si>
    <t>3404212010555004</t>
  </si>
  <si>
    <t>Sejarah Kebudayaan Islam IAIN Sunan Kalijaga Tahun 1983</t>
  </si>
  <si>
    <t>Sejarah Kebudayaan Islam IAIN Sunan Kalijaga Tahun 1987</t>
  </si>
  <si>
    <t>09210050299</t>
  </si>
  <si>
    <t>Prof. Noorhaidi, S.Ag, MA, M.Phil., Ph.D</t>
  </si>
  <si>
    <t>G.274233</t>
  </si>
  <si>
    <t>Amuntai</t>
  </si>
  <si>
    <t>197112071995031002</t>
  </si>
  <si>
    <t>3674060712710002</t>
  </si>
  <si>
    <t xml:space="preserve"> Peradilan Agama IAIN Sunan Kalijaga Tahun 1994</t>
  </si>
  <si>
    <t xml:space="preserve">Islamic Studies Leiden University,  1999
Sosiologi Leiden University,  2000
</t>
  </si>
  <si>
    <t>Universiteit Utrecht Netherlands, Sociale Antrhopologie, Belanda 2005</t>
  </si>
  <si>
    <t>Ilmu Politik Islam Kontemporer</t>
  </si>
  <si>
    <t>Rektor</t>
  </si>
  <si>
    <t>Prof. Dr. H. Waryono, M.Ag</t>
  </si>
  <si>
    <t>J.009922</t>
  </si>
  <si>
    <t>Guwa Cirebon</t>
  </si>
  <si>
    <t>197010101999031002</t>
  </si>
  <si>
    <t>3404121010700004</t>
  </si>
  <si>
    <t>Tafsir Hadist IAIN Sunan Kalijaga Tahun 1996</t>
  </si>
  <si>
    <t>092100500280</t>
  </si>
  <si>
    <t>Direktur Pemberdayaan Zakat dan Wakaf Kemenag RI</t>
  </si>
  <si>
    <t>Prof. Dr. Aziz Muslim, M.Pd</t>
  </si>
  <si>
    <t>G.142961</t>
  </si>
  <si>
    <t>197005281994031002</t>
  </si>
  <si>
    <t>3404102805700002</t>
  </si>
  <si>
    <t>Bimbingan dan Penyuluhan Agama Islam IAIN Sunan Kalijaga Tahun 1993</t>
  </si>
  <si>
    <t>Pendidikan Luar Sekolah UNY Tahun 2001</t>
  </si>
  <si>
    <t>Penyuluhan Pembangunan/Pemberdayaan Masyarakat UNS Tahun 2014</t>
  </si>
  <si>
    <t>092100500242</t>
  </si>
  <si>
    <t>Metodologi Pengembangan Masyarakat Islam</t>
  </si>
  <si>
    <t>Prof. Zulkipli Lessy, S.Ag, S.Pd, M.Ag, MSW, Ph.D.</t>
  </si>
  <si>
    <t>K.018930</t>
  </si>
  <si>
    <t>Liang</t>
  </si>
  <si>
    <t>08-12-1968</t>
  </si>
  <si>
    <t>196812082000031001</t>
  </si>
  <si>
    <t>3471030812680001</t>
  </si>
  <si>
    <t>Bahasa Arab IAIN Ar Raniri Tahun 1995 / Pend. Bhs. Inggris UNY Tahun 2002</t>
  </si>
  <si>
    <t>Pendidikan Islam Konsentrasi Pemikiran Pendidikan Islam Tahun 1999</t>
  </si>
  <si>
    <t>Univ. Indianapolis, Indiana, USA, Social Work</t>
  </si>
  <si>
    <t>Prof. Dr. Moch. Nur Ichwan, S.Ag, MA</t>
  </si>
  <si>
    <t>M. 048364</t>
  </si>
  <si>
    <t>197010242001121001</t>
  </si>
  <si>
    <t>3404082410700001</t>
  </si>
  <si>
    <t>Tafsir Hadis IAIN Sunan Kalijaga Tahun 1995</t>
  </si>
  <si>
    <t>Rijksuninversiteit Te Leiden FaculTeiten Der Letteren En Der Godgeleerdheid, '1999</t>
  </si>
  <si>
    <t>Tilburg University Netherlands, Religious Studies and Theology, 2006</t>
  </si>
  <si>
    <t>092100500289</t>
  </si>
  <si>
    <t>Ilmu Sosial Politik Islam</t>
  </si>
  <si>
    <t>Dr. Ita Rodiah, M.Hum.</t>
  </si>
  <si>
    <t xml:space="preserve">198402022019032009 </t>
  </si>
  <si>
    <t>3201274202840001</t>
  </si>
  <si>
    <t>UIN Syarif Hidayatullah Tahun 2008</t>
  </si>
  <si>
    <t>Universitas Indonesia Tahun 2010</t>
  </si>
  <si>
    <t>Pengkajian Islam Konsentrasi Bahasa dan Sastra Arab UIN Syarif Hidayatullah Tahun 2014</t>
  </si>
  <si>
    <t>Interdisciplinary Islamic Studies (S2)</t>
  </si>
  <si>
    <t>Dr. Ramadhanita Mustika Sari</t>
  </si>
  <si>
    <t xml:space="preserve">198606072019032018 </t>
  </si>
  <si>
    <t>1671064706860006</t>
  </si>
  <si>
    <t>IAIN Raden Fatah Palembang Tahun 2009</t>
  </si>
  <si>
    <t>UIN Syarif Hidayatullah Tahun 2015</t>
  </si>
  <si>
    <t>Pengkajian Islam Kons. Antropologi dan Sosiologi Agama UIN Syarif Hidayatullah Jakarta Tahun 2015</t>
  </si>
  <si>
    <t>0207068602</t>
  </si>
  <si>
    <t>Dr. Jafar Assagaf, MA</t>
  </si>
  <si>
    <t>Ternate </t>
  </si>
  <si>
    <t>197602202002121005</t>
  </si>
  <si>
    <t>8271062002760001</t>
  </si>
  <si>
    <t>Pendidikan Bahasa Arab STAIN Ternate Tahun 1996</t>
  </si>
  <si>
    <t>Tafsir Hadis UIN Syarif Hidayatullah Tahun 2002</t>
  </si>
  <si>
    <t>Tafsir Hadis UIN Syarif Hidayatullah Tahun 2008</t>
  </si>
  <si>
    <t>092104900143</t>
  </si>
  <si>
    <t>Dr. Subaidi, S. Ag., M.Si.</t>
  </si>
  <si>
    <t>M 068084</t>
  </si>
  <si>
    <t>197505172005011004</t>
  </si>
  <si>
    <t>3402121705750003</t>
  </si>
  <si>
    <t>Peradilan Agama IAIN Sunan Kalijaga Tahun 1999</t>
  </si>
  <si>
    <t>Ilmu Politik UGM Tahun 2003</t>
  </si>
  <si>
    <t>Ilmu Politik UGM Tahun 2014</t>
  </si>
  <si>
    <t>Pengantar Ilmu Politik</t>
  </si>
  <si>
    <t>Ahmad Rafiq, S.Ag M.Ag., Ph.D.</t>
  </si>
  <si>
    <t>J. 050008</t>
  </si>
  <si>
    <t>197412141999031002</t>
  </si>
  <si>
    <t>3404011402740003</t>
  </si>
  <si>
    <t>Tafsir Hadist IAIN Antasari  Tahun 1997</t>
  </si>
  <si>
    <t>Agama dan Filsafat Konsentrasi Hubungan Antar Agama IAIN Sunan Kalijaga Tahun 2003 / IIS Konsentrasi Social Work UIN Sunan Kalijaga Tahun 2005</t>
  </si>
  <si>
    <t xml:space="preserve">Departement of Religion Tempel University, Pennsylvania </t>
  </si>
  <si>
    <t>Studi Islam (S3)</t>
  </si>
  <si>
    <t>Wakil Direktur Pascasarjana / Plt. Direktur Pascasarjana</t>
  </si>
  <si>
    <t>Dr. Munirul Ikhwan</t>
  </si>
  <si>
    <t>198406202018011001</t>
  </si>
  <si>
    <t>3319042006840005</t>
  </si>
  <si>
    <t>Tafsir dan Ilmu Al-Qur'an Universitas Al Azhar Tahun 2006</t>
  </si>
  <si>
    <t>Studi Islam Universitas Leiden Tahun 2010</t>
  </si>
  <si>
    <t>Islamic Sciences The Faculty Of Historical And Cultural Sciences Of The Free University Berlin Tahun 2015</t>
  </si>
  <si>
    <t>2020068401</t>
  </si>
  <si>
    <t>Ketua Program Studi Program Doktor (S3)</t>
  </si>
  <si>
    <t>Dr. Moh. Mufid</t>
  </si>
  <si>
    <t xml:space="preserve">198311112019031003 </t>
  </si>
  <si>
    <t>3524151111830002</t>
  </si>
  <si>
    <t>Al Ahgaff University Tahun 2010</t>
  </si>
  <si>
    <t>IAIN Antasari Banjarmasin Tahun 2013</t>
  </si>
  <si>
    <t>Program Doktor Kons. Syariah/ Hukum Islam UIN Alauddin Makasar Tahun 2017</t>
  </si>
  <si>
    <t>2011118301</t>
  </si>
  <si>
    <t>Koordinator Pusat Penelitian dan Penerbitan pada LP2M Masa Jabatan 2024-2028</t>
  </si>
  <si>
    <t>Dr. Subi Nur Isnaini</t>
  </si>
  <si>
    <t xml:space="preserve">198608182019032010 </t>
  </si>
  <si>
    <t>3318155808860003</t>
  </si>
  <si>
    <t>Univ. Al Azhar Kairo Mesir Tahun 2009</t>
  </si>
  <si>
    <t>Univ. Sidi Mohammad Penabdelah Maroko 2011</t>
  </si>
  <si>
    <t>Studi Islam Konsentrasi Tafsir Ayat Suci : Masalah dan Metodologi Universitas Moulay Ismail MEKNES Tahun 2018</t>
  </si>
  <si>
    <t>2018088602</t>
  </si>
  <si>
    <t>Dosen ilmu Al-Qur'an dan Tafsir</t>
  </si>
  <si>
    <t xml:space="preserve">Sekretaris Program Studi Program Magister (S2) </t>
  </si>
  <si>
    <t xml:space="preserve">DATA PEGAWAI ADMINISTRASI </t>
  </si>
  <si>
    <t xml:space="preserve">UIN SUNAN KALIJAGA YOGYAKARTA   </t>
  </si>
  <si>
    <t xml:space="preserve">N A M A </t>
  </si>
  <si>
    <t>TGL. LAHIR</t>
  </si>
  <si>
    <t>NITK</t>
  </si>
  <si>
    <t>GOL.</t>
  </si>
  <si>
    <t>TH</t>
  </si>
  <si>
    <t>BLN</t>
  </si>
  <si>
    <t>PENDIDIKAN</t>
  </si>
  <si>
    <t>TMT TUGAS</t>
  </si>
  <si>
    <t>MASA KERJA</t>
  </si>
  <si>
    <t>BIRO ADMINISTRASI UMUM DAN KEUANGAN</t>
  </si>
  <si>
    <t>Dr. H. Ali Sodiq, S.Ag., M.A.</t>
  </si>
  <si>
    <t>24-08-1971</t>
  </si>
  <si>
    <t>197108241998031001</t>
  </si>
  <si>
    <t>3471142408710001</t>
  </si>
  <si>
    <t>Kepala Biro Adm. Umum dan Keuangan</t>
  </si>
  <si>
    <t>Pendidikan Agama Islam, UIN Sunan Kalijaga Tahun 2022</t>
  </si>
  <si>
    <t>Dra. Rahmi Tri Mei Maharani, MM.</t>
  </si>
  <si>
    <t>196705031994032001</t>
  </si>
  <si>
    <t>3471144305670001</t>
  </si>
  <si>
    <t>Pranata Humas Ahli Madya</t>
  </si>
  <si>
    <t xml:space="preserve">S2 STIE Mitra Indonesia 2012, Manajemen   </t>
  </si>
  <si>
    <t>01-06-2027</t>
  </si>
  <si>
    <t>Sri Puspita Murni, SE., MM.</t>
  </si>
  <si>
    <t>197207221998032004</t>
  </si>
  <si>
    <t>3404066207720003</t>
  </si>
  <si>
    <t xml:space="preserve">Analis SDM Aparatur Ahli Madya  </t>
  </si>
  <si>
    <t>Magister Manajemen STIE Widya Wiwaha Tahun 2020</t>
  </si>
  <si>
    <t>Hj. Sutriyani, S.Sos., MM.</t>
  </si>
  <si>
    <t>196705011993032014</t>
  </si>
  <si>
    <t>9171034105670003</t>
  </si>
  <si>
    <t>Analis Organisasi dan Tata Laksana</t>
  </si>
  <si>
    <t>01-04-2020</t>
  </si>
  <si>
    <t>UNCEN, Manajemen, 2008</t>
  </si>
  <si>
    <t>Ratna Windah Lestari, SIP., MM.</t>
  </si>
  <si>
    <t>197403212006042006</t>
  </si>
  <si>
    <t>3404066103740003</t>
  </si>
  <si>
    <t>Analis Keuangan APBN Ahli Muda</t>
  </si>
  <si>
    <t>Magister Manajemen Universitas Widya Wiwaha Tahun 2012</t>
  </si>
  <si>
    <t>01-04-2032</t>
  </si>
  <si>
    <t>Dra. Sri Wahyuni</t>
  </si>
  <si>
    <t>196706201993032002</t>
  </si>
  <si>
    <t>1119162005670002</t>
  </si>
  <si>
    <t>Analis SDM Aparatur Ahli Muda</t>
  </si>
  <si>
    <t>01-04-2006</t>
  </si>
  <si>
    <t>IKIP Semarang, Kependidikan</t>
  </si>
  <si>
    <t>Wiwin Esti Wulandari, SE</t>
  </si>
  <si>
    <t xml:space="preserve">Banyuwangi </t>
  </si>
  <si>
    <t>197410172005012008</t>
  </si>
  <si>
    <t>3404025710740003</t>
  </si>
  <si>
    <t>Manajemen, Universitas Jember Tahun 1997</t>
  </si>
  <si>
    <t>Lyna Rifa'ah, SE.</t>
  </si>
  <si>
    <t>198005302006042012</t>
  </si>
  <si>
    <t>3402157005800002</t>
  </si>
  <si>
    <t>Ekonomi Manajemen Pemasaran Tahun 2004</t>
  </si>
  <si>
    <t>Winarko, SIP</t>
  </si>
  <si>
    <t>197010242003121001</t>
  </si>
  <si>
    <t>3404042417000001</t>
  </si>
  <si>
    <t>Analis Pengembangan SDM Aparatur</t>
  </si>
  <si>
    <t>Univ. Widya Mataram Yogyakarta, Ilmu Administrasi Negara Tahun 2008</t>
  </si>
  <si>
    <t>Aulia Mawaddah Anshory, S.E.I.</t>
  </si>
  <si>
    <t>198404182009122004</t>
  </si>
  <si>
    <t>3471015804840007</t>
  </si>
  <si>
    <t>Bendahara</t>
  </si>
  <si>
    <t>UIN Suka Muamalat Tahun 2009</t>
  </si>
  <si>
    <t>Yuli Triwahyuningsih, A.Md</t>
  </si>
  <si>
    <t>197107051994032004</t>
  </si>
  <si>
    <t>3471074507710001</t>
  </si>
  <si>
    <t>Pranata Keuangan Anggaran Pendapatan dan Belanja Negara</t>
  </si>
  <si>
    <t>Erna Susilastuti, S.E.</t>
  </si>
  <si>
    <t>197809292011012007</t>
  </si>
  <si>
    <t>3311126909780010</t>
  </si>
  <si>
    <t>UPN Veteran Yogyakarta, Akuntasi Tahun 2003</t>
  </si>
  <si>
    <t>Esensiana Rabbul'izati Al Fikriah, S.E.</t>
  </si>
  <si>
    <t>198803312011012011</t>
  </si>
  <si>
    <t>3308087103880002</t>
  </si>
  <si>
    <t>Pengolah Daftar Gaji</t>
  </si>
  <si>
    <t>Akuntasi Tahun 2010</t>
  </si>
  <si>
    <t>Luthfi Aji Asmoro, S.H., M.H.</t>
  </si>
  <si>
    <t>16-08-1976</t>
  </si>
  <si>
    <t>197608162011011005</t>
  </si>
  <si>
    <t>Analis Hukum Ahli Muda</t>
  </si>
  <si>
    <t>S2, Ilmu Hukum, UII Yogyakarta, Tahun 2009</t>
  </si>
  <si>
    <t>Galih  Pusantoro, SE</t>
  </si>
  <si>
    <t>197906282011011003</t>
  </si>
  <si>
    <t>3175062806791004</t>
  </si>
  <si>
    <t>Ekonomi UGM Tahun 2004</t>
  </si>
  <si>
    <t>Subagio, M.Sn.</t>
  </si>
  <si>
    <t>197810091999031001</t>
  </si>
  <si>
    <t>3402120910780001</t>
  </si>
  <si>
    <t>Universitas Terbuka, Manajemen, Tahun 2010</t>
  </si>
  <si>
    <t>Yuni Sulistyowati, A. Md.</t>
  </si>
  <si>
    <t>198206012005012017</t>
  </si>
  <si>
    <t>3471114106820001</t>
  </si>
  <si>
    <t>Politeknik PPKP Yogyakarta, Manajemen Informatika</t>
  </si>
  <si>
    <t>Nur Fitriyanto, S.E.I., M.E.</t>
  </si>
  <si>
    <t>27-04-1990</t>
  </si>
  <si>
    <t>199004272015031006</t>
  </si>
  <si>
    <t>3311012704900001</t>
  </si>
  <si>
    <t>Perencana Ahli Pertama</t>
  </si>
  <si>
    <t>Ekonomi Syari'ah UIN Sunan Kalijaga Tahun 2020</t>
  </si>
  <si>
    <t>Fitria Dwi Rahayu, S.Pd., M.Pd.</t>
  </si>
  <si>
    <t>08-01-1987</t>
  </si>
  <si>
    <t>198701082015032004</t>
  </si>
  <si>
    <t>3315064801870004</t>
  </si>
  <si>
    <t>Magister Pengkajian Bahasa UMS Tahun 2011</t>
  </si>
  <si>
    <t>Abdul Azis Widagdo</t>
  </si>
  <si>
    <t>23-06-1970</t>
  </si>
  <si>
    <t>197006232007011025</t>
  </si>
  <si>
    <t>3404172306700001</t>
  </si>
  <si>
    <t>Penyusun Bahan Informasi</t>
  </si>
  <si>
    <t>SMA IPS Tahun 1990</t>
  </si>
  <si>
    <t>Basuki</t>
  </si>
  <si>
    <t>18-09-1977</t>
  </si>
  <si>
    <t>197709182009101001</t>
  </si>
  <si>
    <t>3402141612820002</t>
  </si>
  <si>
    <t>II/d</t>
  </si>
  <si>
    <t>SMU</t>
  </si>
  <si>
    <t>Piri 3 Yogyakarta</t>
  </si>
  <si>
    <t>Tasya Rifanis Shovia, A.Md. Ak.</t>
  </si>
  <si>
    <t>199906062022032002</t>
  </si>
  <si>
    <t>'3374124606990005</t>
  </si>
  <si>
    <t>Verifikator Anggaran</t>
  </si>
  <si>
    <t>II/c</t>
  </si>
  <si>
    <t>Akuntansi Politeknik Negeri Semarang</t>
  </si>
  <si>
    <t>Amir Hadi</t>
  </si>
  <si>
    <t>196804122014111006</t>
  </si>
  <si>
    <t>3404101204680001</t>
  </si>
  <si>
    <t>Perkantoran</t>
  </si>
  <si>
    <t>BAGIAN UMUM</t>
  </si>
  <si>
    <t>Radiman, ST., M.T.</t>
  </si>
  <si>
    <t>27-12-1978</t>
  </si>
  <si>
    <t>197812272009011007</t>
  </si>
  <si>
    <t>3404062712780006</t>
  </si>
  <si>
    <t>Kepala Bagian Umum Biro AUK</t>
  </si>
  <si>
    <t>Bagian umum Biro AUK</t>
  </si>
  <si>
    <t xml:space="preserve">UII, Magister Teknik, 2016 </t>
  </si>
  <si>
    <t>Agus Suroso, SE.</t>
  </si>
  <si>
    <t>197402072002121002</t>
  </si>
  <si>
    <t>3402120702740001</t>
  </si>
  <si>
    <t>Kepala Sub. Bagian Perlengkapan dan Pengadaan Barang/Jasa Bagian Umum Biro AUK</t>
  </si>
  <si>
    <t xml:space="preserve">S1, STIE Widya Wiwaha Fak. Ekonomi Akuntansi Tahun 1997 </t>
  </si>
  <si>
    <t>Suswini, S.E., M.Acc.</t>
  </si>
  <si>
    <t>16-05-1977</t>
  </si>
  <si>
    <t>197705162006042001</t>
  </si>
  <si>
    <t>3402125605770005</t>
  </si>
  <si>
    <t>Kasubbag Tata Usaha dan Rumah Tangga Bagian Umum Biro AUK</t>
  </si>
  <si>
    <t>UGM, Magister Akuntansi, 2016</t>
  </si>
  <si>
    <t>Yudhi Risti Purnomo, S.A.P.</t>
  </si>
  <si>
    <t>27-01-1988</t>
  </si>
  <si>
    <t>198801272009122003</t>
  </si>
  <si>
    <t>3301106701880008</t>
  </si>
  <si>
    <t xml:space="preserve">Arsiparis Ahli Muda  </t>
  </si>
  <si>
    <t>Ilmu Administrasi Negara  Kons. Manajemen Pembangunan Daerah Sekolah Tinggi Ilmu Administrasi Lembaga Administrasi Negara Tahun 2017</t>
  </si>
  <si>
    <t>Wahyu Setianingsih, S.H, MM.</t>
  </si>
  <si>
    <t>197811222005012005</t>
  </si>
  <si>
    <t>3471016211780001</t>
  </si>
  <si>
    <t>Manajemen SDM STIE Widya Wiwaha Tahun 2020</t>
  </si>
  <si>
    <t>01-01-2005</t>
  </si>
  <si>
    <t>Faozi Barkah, S.Ag, SH</t>
  </si>
  <si>
    <t>197304212000031002</t>
  </si>
  <si>
    <t>3471032104730003</t>
  </si>
  <si>
    <t xml:space="preserve">Pranata Humas Ahli Muda </t>
  </si>
  <si>
    <t>Peradilan Islam 1999/UMY Ilmu Hukum 2003</t>
  </si>
  <si>
    <t>Sri Nurtini, S.IP</t>
  </si>
  <si>
    <t>196704211989032004</t>
  </si>
  <si>
    <t>3402096104670006</t>
  </si>
  <si>
    <t>01-04-2019</t>
  </si>
  <si>
    <t>UNPROK 45 Yogyakarta Administrasi Negara 2009</t>
  </si>
  <si>
    <t>Sukandar Purnomo, SIP.</t>
  </si>
  <si>
    <t>196702031992011001</t>
  </si>
  <si>
    <t>3402020302670001</t>
  </si>
  <si>
    <t>Universitas Proklamasi Yogyakarta, Administrasi Negara 2008</t>
  </si>
  <si>
    <t>Dra. Weni Hidayati</t>
  </si>
  <si>
    <t>196705031993032004</t>
  </si>
  <si>
    <t>3404024305670004</t>
  </si>
  <si>
    <t>Penyusun Bahan Publikasi</t>
  </si>
  <si>
    <t>UNS Surakarta, Komunikasi Massa</t>
  </si>
  <si>
    <t>Zaim Shiddiq, S.Si</t>
  </si>
  <si>
    <t>198209052006041004</t>
  </si>
  <si>
    <t>3402120406660003</t>
  </si>
  <si>
    <t>Pengelola Unit Layanan Pengadaan</t>
  </si>
  <si>
    <t>Subbag. Perlengkapan dan Pengadaan Barang/Jasa pada Bagian Umum Biro AUK</t>
  </si>
  <si>
    <t>UGM, Kimia</t>
  </si>
  <si>
    <t>Baharuddin</t>
  </si>
  <si>
    <t>196910281990021001</t>
  </si>
  <si>
    <t>3471032810690001</t>
  </si>
  <si>
    <t>Teknisi Mesin</t>
  </si>
  <si>
    <t>Negeri I Yogyakarta, Mesin Produksi</t>
  </si>
  <si>
    <t>Sri Budihartati</t>
  </si>
  <si>
    <t>196705181992022001</t>
  </si>
  <si>
    <t>3404085805670001</t>
  </si>
  <si>
    <t>Panca Marga Bhakti Kutoarjo</t>
  </si>
  <si>
    <t>Haryanto, SIP</t>
  </si>
  <si>
    <t>08-05-1970</t>
  </si>
  <si>
    <t>197005082007011028</t>
  </si>
  <si>
    <t>3404050805700001</t>
  </si>
  <si>
    <t>Ilmu Politik Tahun 2017</t>
  </si>
  <si>
    <t>Asri Wuryani, A.Md.</t>
  </si>
  <si>
    <t>26-09-1982</t>
  </si>
  <si>
    <t>198209262010122001</t>
  </si>
  <si>
    <t>3402176609820001</t>
  </si>
  <si>
    <t>Peternakan Tahun 2003</t>
  </si>
  <si>
    <t>Danang Moewindaka</t>
  </si>
  <si>
    <t>27-04-1971</t>
  </si>
  <si>
    <t>197104272007011021</t>
  </si>
  <si>
    <t>3402082704710004</t>
  </si>
  <si>
    <t>Pengadministrasi Sarana dan Prasarana</t>
  </si>
  <si>
    <t>Hayudito</t>
  </si>
  <si>
    <t>197308212007011028</t>
  </si>
  <si>
    <t>3404072108730001</t>
  </si>
  <si>
    <t>SMIK</t>
  </si>
  <si>
    <t>Sukijo</t>
  </si>
  <si>
    <t>24-02-1967</t>
  </si>
  <si>
    <t>196702242007011019</t>
  </si>
  <si>
    <t>3401042402670001</t>
  </si>
  <si>
    <t>SMA IPS Tahun 1986</t>
  </si>
  <si>
    <t>22-09-1968</t>
  </si>
  <si>
    <t>196809222007011017</t>
  </si>
  <si>
    <t>3404072209680002</t>
  </si>
  <si>
    <t>Zuwono</t>
  </si>
  <si>
    <t>17-12-1974</t>
  </si>
  <si>
    <t>197412172009011006</t>
  </si>
  <si>
    <t>3402121712740002</t>
  </si>
  <si>
    <t>Mesin 1995</t>
  </si>
  <si>
    <t>Sudiyono</t>
  </si>
  <si>
    <t>04-06-1975</t>
  </si>
  <si>
    <t>197506042009011009</t>
  </si>
  <si>
    <t>3402150406750003</t>
  </si>
  <si>
    <t>Petugas Keamanan ditugaskan sebagai Komandan Keamanan</t>
  </si>
  <si>
    <t>Sunardi</t>
  </si>
  <si>
    <t>08-02-1971</t>
  </si>
  <si>
    <t>197102082009101002</t>
  </si>
  <si>
    <t>3402152201620002</t>
  </si>
  <si>
    <t>SPG</t>
  </si>
  <si>
    <t>Suwardjono</t>
  </si>
  <si>
    <t>14-04-1974</t>
  </si>
  <si>
    <t>197404142009011011</t>
  </si>
  <si>
    <t>3471131404740001</t>
  </si>
  <si>
    <t>Warsono</t>
  </si>
  <si>
    <t>05-06-1971</t>
  </si>
  <si>
    <t>197106052009101001</t>
  </si>
  <si>
    <t>3402130506710001</t>
  </si>
  <si>
    <t>Zusron</t>
  </si>
  <si>
    <t>27-11-1968</t>
  </si>
  <si>
    <t>196811272009011005</t>
  </si>
  <si>
    <t>3402012711680001</t>
  </si>
  <si>
    <t>Nur Suhartono</t>
  </si>
  <si>
    <t>10-11-1981</t>
  </si>
  <si>
    <t>198111102009101001</t>
  </si>
  <si>
    <t>3404081011810002</t>
  </si>
  <si>
    <t>SMK Negeri 2 Depok Sleman, Bangunan Gedung</t>
  </si>
  <si>
    <t>Eko Widodo</t>
  </si>
  <si>
    <t>06-04-1973</t>
  </si>
  <si>
    <t>197304062009101002</t>
  </si>
  <si>
    <t>3404110604730003</t>
  </si>
  <si>
    <t>Agus Antoro</t>
  </si>
  <si>
    <t>197309301994031002</t>
  </si>
  <si>
    <t>3471133009730002</t>
  </si>
  <si>
    <t>BIRO ADMINISTRASI AKADEMIK, KEMAHASISWAAN DAN KERJASAMA</t>
  </si>
  <si>
    <t>Ir. Sunarini, M.Kom.</t>
  </si>
  <si>
    <t>Tulungaggung</t>
  </si>
  <si>
    <t xml:space="preserve">196501011989032001  </t>
  </si>
  <si>
    <t>3276024101650024</t>
  </si>
  <si>
    <t>Kepala Biro Administrasi Akademik, Kemahasiswaan dan Kerjasama</t>
  </si>
  <si>
    <t>Manajemen Informatikan UI Tahun 2003</t>
  </si>
  <si>
    <t>Muhammad Mahyudin, SH., M.A.</t>
  </si>
  <si>
    <t>196612271994031002</t>
  </si>
  <si>
    <t>3404022712660001</t>
  </si>
  <si>
    <t xml:space="preserve">Arsiparis Ahli Madya  </t>
  </si>
  <si>
    <t>01-10-2013</t>
  </si>
  <si>
    <t>UII, Tahun 2003</t>
  </si>
  <si>
    <t>Khoirul Anwar, S.Ag, MA.</t>
  </si>
  <si>
    <t>197707272002121003</t>
  </si>
  <si>
    <t>3404112707770001</t>
  </si>
  <si>
    <t>Kepala Bagian Akademik</t>
  </si>
  <si>
    <t>UGM. Psikologi 2012</t>
  </si>
  <si>
    <t>Pamuji, S.Ag, S.IPI., M.IP.</t>
  </si>
  <si>
    <t>197006112000031001</t>
  </si>
  <si>
    <t>3404051106700003</t>
  </si>
  <si>
    <t xml:space="preserve">Pengembang Teknologi Pembelajaran Ahli Muda  </t>
  </si>
  <si>
    <t>Ilmu Perpustakaan Tahun 2011</t>
  </si>
  <si>
    <t>Fairuz Rahmi, S. Sos, M.Si</t>
  </si>
  <si>
    <t>196704251997032001</t>
  </si>
  <si>
    <t>3404026504670002</t>
  </si>
  <si>
    <t>Perencana Ahli Muda</t>
  </si>
  <si>
    <t>Sosiologi 2003</t>
  </si>
  <si>
    <t>Gunadi, SH., MH.</t>
  </si>
  <si>
    <t>196805261993031002</t>
  </si>
  <si>
    <t>3404142605680001</t>
  </si>
  <si>
    <t>UJB, Magister Hukum 2013</t>
  </si>
  <si>
    <t>Lusiana, SE, MM.</t>
  </si>
  <si>
    <t>196903011998032001</t>
  </si>
  <si>
    <t>3404024103690002</t>
  </si>
  <si>
    <t>Magister Manajemen Tahun 2011</t>
  </si>
  <si>
    <t>Silviana Dewi Setyasari, SE.</t>
  </si>
  <si>
    <t>07-03-1983</t>
  </si>
  <si>
    <t>198303072008012006</t>
  </si>
  <si>
    <t>3402024703830008</t>
  </si>
  <si>
    <t>UNS Surakarta, Akuntansi 2005</t>
  </si>
  <si>
    <t>Dian Maya Noviyanti, S.T., M.Sc.</t>
  </si>
  <si>
    <t>20-11-1984</t>
  </si>
  <si>
    <t>198411202008012005</t>
  </si>
  <si>
    <t>Manajemen Pendidikan Tinggi, UGM Tahun 2022</t>
  </si>
  <si>
    <t>An-Nadzam, S.Kom.</t>
  </si>
  <si>
    <t>197912132006041004</t>
  </si>
  <si>
    <t>3471021312790001</t>
  </si>
  <si>
    <t>Analis Data Akademik</t>
  </si>
  <si>
    <t>UGM, Ilmu komputer</t>
  </si>
  <si>
    <t>Mutaqin, SH</t>
  </si>
  <si>
    <t>196908201994031006</t>
  </si>
  <si>
    <t>3402132008690001</t>
  </si>
  <si>
    <t>UWMY, Tahun 2003</t>
  </si>
  <si>
    <t>Suhardi Widodo, S.IP.</t>
  </si>
  <si>
    <t>197002191992031001</t>
  </si>
  <si>
    <t>3402171402700002</t>
  </si>
  <si>
    <t>S1, UT, Tahun 2002</t>
  </si>
  <si>
    <t>H. Nuraini Ahmad, ST.</t>
  </si>
  <si>
    <t>08-07-1985</t>
  </si>
  <si>
    <t>198507082008011003</t>
  </si>
  <si>
    <t>3521130807850005</t>
  </si>
  <si>
    <t>Pengelola Program Minat, Bakat, Dan Penalaran Mahasiswa</t>
  </si>
  <si>
    <t xml:space="preserve">UAD, Teknik Informatika  Tahun 2007          </t>
  </si>
  <si>
    <t>Erly Yudhiasti, S.E.</t>
  </si>
  <si>
    <t>Kupang</t>
  </si>
  <si>
    <t>198102112009012003</t>
  </si>
  <si>
    <t>5103065102810004</t>
  </si>
  <si>
    <t xml:space="preserve">Pengelola Keuangan </t>
  </si>
  <si>
    <t>STIE Malangkucecwara Akuntansi Tahun 2003</t>
  </si>
  <si>
    <t>Mardi Riyanto, S.Kom., MM.</t>
  </si>
  <si>
    <t>16-12-1978</t>
  </si>
  <si>
    <t>197812162006041005</t>
  </si>
  <si>
    <t>3404051612780001</t>
  </si>
  <si>
    <t xml:space="preserve">Pranata Komputer Ahli Muda </t>
  </si>
  <si>
    <t>UTY, Magister Managemen, 2015</t>
  </si>
  <si>
    <t>Sri Kusumawati</t>
  </si>
  <si>
    <t>197309021997032001</t>
  </si>
  <si>
    <t>3402154209730002</t>
  </si>
  <si>
    <t>Negeri 4 Tegal</t>
  </si>
  <si>
    <t>Sukarman</t>
  </si>
  <si>
    <t>29-02-1968</t>
  </si>
  <si>
    <t>196802292007011017</t>
  </si>
  <si>
    <t>3404072902680004</t>
  </si>
  <si>
    <t xml:space="preserve">Pengadministrasi Umum  </t>
  </si>
  <si>
    <t>SMA IPS Tahun 1988</t>
  </si>
  <si>
    <t>01-03-2026</t>
  </si>
  <si>
    <t>Sumarni, S.I.P</t>
  </si>
  <si>
    <t>10-02-1978</t>
  </si>
  <si>
    <t>197802102007012021</t>
  </si>
  <si>
    <t>3404075002780001</t>
  </si>
  <si>
    <t>Administrasi Negara UNPROK Tahun 2017</t>
  </si>
  <si>
    <t>Sumaryadi</t>
  </si>
  <si>
    <t>12-12-1970</t>
  </si>
  <si>
    <t>197012122009011013</t>
  </si>
  <si>
    <t>3404101212700005</t>
  </si>
  <si>
    <t>Listrik 1990</t>
  </si>
  <si>
    <t>PASCASARJANA</t>
  </si>
  <si>
    <t>Fenti Muzdalifah, SIP.</t>
  </si>
  <si>
    <t>197412291998032001</t>
  </si>
  <si>
    <t>3402156912740002</t>
  </si>
  <si>
    <t>Kepala Subbag. Tata Usaha</t>
  </si>
  <si>
    <t>Ilmu Perpustakaan 2010</t>
  </si>
  <si>
    <t>Tri Suryani, SIP.</t>
  </si>
  <si>
    <t>196704101994032001</t>
  </si>
  <si>
    <t>3402135004670002</t>
  </si>
  <si>
    <t>Subbag. Tata Usaha Pasca Sarjana</t>
  </si>
  <si>
    <t>STISIPOL Kartika Bangsa, Tahun 2009</t>
  </si>
  <si>
    <t>01-05-2025</t>
  </si>
  <si>
    <t>Mukhbarotul Haqqoniyaty, A.Md.</t>
  </si>
  <si>
    <t>196909181990032002</t>
  </si>
  <si>
    <t>3404105809690003</t>
  </si>
  <si>
    <t>Ekonomi Akuntansi 1993</t>
  </si>
  <si>
    <t>Bambang Pudjo Santoso, SIP.</t>
  </si>
  <si>
    <t>197108151994031002</t>
  </si>
  <si>
    <t>3404091508710002</t>
  </si>
  <si>
    <t>Pengelola Kepegawaian</t>
  </si>
  <si>
    <t>UNPROK Administrasi Negara Tahun 2010</t>
  </si>
  <si>
    <t>Pujamunarta, S.Pd.</t>
  </si>
  <si>
    <t>03-08-1967</t>
  </si>
  <si>
    <t>196708032007011040</t>
  </si>
  <si>
    <t>3404070308670005</t>
  </si>
  <si>
    <t>IKIP Tahun 1993</t>
  </si>
  <si>
    <t>01-09-2025</t>
  </si>
  <si>
    <t>Sutoyo</t>
  </si>
  <si>
    <t>196904122003121002</t>
  </si>
  <si>
    <t>3402141204690001</t>
  </si>
  <si>
    <t>Muhammadiyah Piyungan</t>
  </si>
  <si>
    <t>Bagus Dede Wahyudi</t>
  </si>
  <si>
    <t>16-12-1982</t>
  </si>
  <si>
    <t>198212162009101001</t>
  </si>
  <si>
    <t>3402121709790001</t>
  </si>
  <si>
    <t>Pengelola Layanan Operasional</t>
  </si>
  <si>
    <t>IPS</t>
  </si>
  <si>
    <t>Yoga Suganjar</t>
  </si>
  <si>
    <t>197404192007011011</t>
  </si>
  <si>
    <t>3310221904740001</t>
  </si>
  <si>
    <t>Heru Yusmianto</t>
  </si>
  <si>
    <t>03-04-1985</t>
  </si>
  <si>
    <t>198504032009101001</t>
  </si>
  <si>
    <t>3404070304850002</t>
  </si>
  <si>
    <t>IPA</t>
  </si>
  <si>
    <t>LEMBAGA PENELITIAN DAN PENGABDIAN KEPADA MASYARAKAT (LP2M)</t>
  </si>
  <si>
    <t>Anita Sofiyati, S. Ag.</t>
  </si>
  <si>
    <t>197012301994032001</t>
  </si>
  <si>
    <t>3404117012700004</t>
  </si>
  <si>
    <t>Bagian Umum Biro AUK ditugaskan pada LP2M</t>
  </si>
  <si>
    <t xml:space="preserve">PAI IAIN Sunan Kalijaga  </t>
  </si>
  <si>
    <t>Tasik Intani, S.AP.</t>
  </si>
  <si>
    <t>197209291994032002</t>
  </si>
  <si>
    <t>3402106909720001</t>
  </si>
  <si>
    <t>Pengelola Penelitian</t>
  </si>
  <si>
    <t>UT Administrasi Publik</t>
  </si>
  <si>
    <t>01-10-2030</t>
  </si>
  <si>
    <t>Monica Pratiwi</t>
  </si>
  <si>
    <t>20-07-1976</t>
  </si>
  <si>
    <t>197607202009012003</t>
  </si>
  <si>
    <t>3404076007760002</t>
  </si>
  <si>
    <t>LEMBAGA PENJAMINAN MUTU</t>
  </si>
  <si>
    <t>Ahmad Nasif Al Fikri, S. Ag., MM.</t>
  </si>
  <si>
    <t>197006082006041005</t>
  </si>
  <si>
    <t>3404130806700001</t>
  </si>
  <si>
    <t xml:space="preserve">Magister Manajemen, STIE Widya Wiwaha Tahun 2012 </t>
  </si>
  <si>
    <t>SATUAN PENGAWASAN INTERNAL</t>
  </si>
  <si>
    <t>UPT PUSAT TEKNOLOGI INFORMASI DAN PANGKALAN DATA</t>
  </si>
  <si>
    <t>Hendra Hidayat, S.Kom</t>
  </si>
  <si>
    <t>197905062006041003</t>
  </si>
  <si>
    <t>3175014503660001</t>
  </si>
  <si>
    <t>UGM, Ilmu Komputer</t>
  </si>
  <si>
    <t>01-06-2037</t>
  </si>
  <si>
    <t>Salim Athari, S.Kom.</t>
  </si>
  <si>
    <t>198104122009121003</t>
  </si>
  <si>
    <t>3577021204800004</t>
  </si>
  <si>
    <t>Institut Sains dan Teknologi AKPRIND</t>
  </si>
  <si>
    <t>01-05-2039</t>
  </si>
  <si>
    <t>Adi Wirawan, S.Kom., M.Kom.</t>
  </si>
  <si>
    <t>198603122011011009</t>
  </si>
  <si>
    <t>3310111203860002</t>
  </si>
  <si>
    <t>Ilmu Komputer Tahun 2010</t>
  </si>
  <si>
    <t>Daru Prasetyawan, S.T., M.Kom.</t>
  </si>
  <si>
    <t>30-10-1986</t>
  </si>
  <si>
    <t>198610302011011005</t>
  </si>
  <si>
    <t>3402163010860002</t>
  </si>
  <si>
    <t>Informatika UIN Sunan Kalijaga Tahun 2020</t>
  </si>
  <si>
    <t>Prihanto Dwi Rahmanto, S.Kom.</t>
  </si>
  <si>
    <t>29-11-1983</t>
  </si>
  <si>
    <t>198311292011011007</t>
  </si>
  <si>
    <t>3310082911830000</t>
  </si>
  <si>
    <t>Sistem Informasi Tahun 2007</t>
  </si>
  <si>
    <t>Rahmadhan Gatra, S.T., M.Kom.</t>
  </si>
  <si>
    <t>Kepur, Muara Enim</t>
  </si>
  <si>
    <t>25-05-1987</t>
  </si>
  <si>
    <t>198705252011011012</t>
  </si>
  <si>
    <t>1603022505870004</t>
  </si>
  <si>
    <t>Magister Komputer UIN Sunan Kalijaga Tahun 2020</t>
  </si>
  <si>
    <t>UPT PUSAT PERPUSTAKAAN</t>
  </si>
  <si>
    <t>Dra. Irhamny</t>
  </si>
  <si>
    <t>196503221993032001</t>
  </si>
  <si>
    <t>3404076203550001</t>
  </si>
  <si>
    <t>Pustakawan Ahli Madya</t>
  </si>
  <si>
    <t>IAIN Sunan Kalijaga, Tahun 1989</t>
  </si>
  <si>
    <t>01-04-2025</t>
  </si>
  <si>
    <t>Dra. Khusnul Khotimah, SS., M.IP.</t>
  </si>
  <si>
    <t>196809051998032002</t>
  </si>
  <si>
    <t>3404104509680007</t>
  </si>
  <si>
    <t>Ilmu Perpustakaan dan Informasi Islam Tahun 2013</t>
  </si>
  <si>
    <t>01-10-2028</t>
  </si>
  <si>
    <t>Isrowiyanti, S.Ag, M.A.</t>
  </si>
  <si>
    <t>197009141999032001</t>
  </si>
  <si>
    <t>3471035409700001</t>
  </si>
  <si>
    <t>Ilmu Hukum Tahun 2002</t>
  </si>
  <si>
    <t>Wahyani, S.Ag, SS, MIP.</t>
  </si>
  <si>
    <t>197112172000032001</t>
  </si>
  <si>
    <t>3402135712710002</t>
  </si>
  <si>
    <t>Pustakawan Ahli Muda</t>
  </si>
  <si>
    <t>01-04-2013</t>
  </si>
  <si>
    <t>UIN Sunan Kalijaga, Ilmu Perpustakaan</t>
  </si>
  <si>
    <t>Suhardi, S.Sos.</t>
  </si>
  <si>
    <t>196708101992031004</t>
  </si>
  <si>
    <t>3402121008670002</t>
  </si>
  <si>
    <t xml:space="preserve">Stisipol Kartika Bangsa            </t>
  </si>
  <si>
    <t>Muchti Nurhidaya, S.Hum</t>
  </si>
  <si>
    <t>198009082006042002</t>
  </si>
  <si>
    <t>6271034809800005</t>
  </si>
  <si>
    <t xml:space="preserve"> S1, Universitas Diponegoro, Tahun 2013</t>
  </si>
  <si>
    <t>Sri Astuti, S.IP., MIP.</t>
  </si>
  <si>
    <t>197311171998032002</t>
  </si>
  <si>
    <t>3403035711730002</t>
  </si>
  <si>
    <t>Ilmu Perpustakaan dan Informasi Tahun 2011</t>
  </si>
  <si>
    <t>01-12-2031</t>
  </si>
  <si>
    <t>Sri Lestari, SIP., MIP.</t>
  </si>
  <si>
    <t>198107252005012003</t>
  </si>
  <si>
    <t>3471146404720001</t>
  </si>
  <si>
    <t>01-07-2017</t>
  </si>
  <si>
    <t xml:space="preserve">Ilmu Pendidikan  </t>
  </si>
  <si>
    <t>01-08-2039</t>
  </si>
  <si>
    <t>Sugeng Hariyanto, SIP.</t>
  </si>
  <si>
    <t>31-07-1974</t>
  </si>
  <si>
    <t>197407312009101002</t>
  </si>
  <si>
    <t>3402123107740003</t>
  </si>
  <si>
    <t>01-08-2034</t>
  </si>
  <si>
    <t>Sofwan, S.Sos</t>
  </si>
  <si>
    <t>197006292002121001</t>
  </si>
  <si>
    <t>3471132906700001</t>
  </si>
  <si>
    <t>STPMD APMD, Tahun 2000</t>
  </si>
  <si>
    <t>Etty Nurhayati</t>
  </si>
  <si>
    <t>197001151991032002</t>
  </si>
  <si>
    <t>3402025501700002</t>
  </si>
  <si>
    <t>Sumedang Utara</t>
  </si>
  <si>
    <t>01-02-2027</t>
  </si>
  <si>
    <t>Nur Arifin</t>
  </si>
  <si>
    <t>196709271994031002</t>
  </si>
  <si>
    <t>3404102709670001</t>
  </si>
  <si>
    <t>PIRI Yogyakarta</t>
  </si>
  <si>
    <t>Umar Santoso</t>
  </si>
  <si>
    <t>197002021994031003</t>
  </si>
  <si>
    <t>3404100272700004</t>
  </si>
  <si>
    <t>Juru Informasi dan Komunikasi</t>
  </si>
  <si>
    <t>Negeri 5 Yogyakarta</t>
  </si>
  <si>
    <t>01-03-2028</t>
  </si>
  <si>
    <t>Ismiyatin, S.Pd.</t>
  </si>
  <si>
    <t>26-04-1981</t>
  </si>
  <si>
    <t>198104262015032001</t>
  </si>
  <si>
    <t>3401046604810002</t>
  </si>
  <si>
    <t>Pendidikan Bahasa Inggris Tahun 2007</t>
  </si>
  <si>
    <t>Adilfiya Noor Fiqis, S.IP.</t>
  </si>
  <si>
    <t>199804152020122007</t>
  </si>
  <si>
    <t>3328125504980003</t>
  </si>
  <si>
    <t>Ilmu Perpustakaan UIN Sunan Kalijaga Tahun 2019</t>
  </si>
  <si>
    <t>Anik Nur Azizah, S.IP.</t>
  </si>
  <si>
    <t>199504252020122008</t>
  </si>
  <si>
    <t>3403096504950005</t>
  </si>
  <si>
    <t>Ilmu Perpustakaan UIN Sunan Kalijaga Tahun 2017</t>
  </si>
  <si>
    <t>Asri Yuna Chasanawati, S.IP.</t>
  </si>
  <si>
    <t>199511262020122009</t>
  </si>
  <si>
    <t>3402036611950002</t>
  </si>
  <si>
    <t>Heru Pasuko Rini, S.IP.</t>
  </si>
  <si>
    <t>199403032020122006</t>
  </si>
  <si>
    <t>3402044303940001</t>
  </si>
  <si>
    <t>Ilmu Perpustakaan UIN Sunan Kalijaga Tahun 2016</t>
  </si>
  <si>
    <t>Muh Khabib, SIP.</t>
  </si>
  <si>
    <t>199203152020121009</t>
  </si>
  <si>
    <t>3308051503920001</t>
  </si>
  <si>
    <t>Ilmu Perpustakaan UIN Sunan Kalijaga Tahun 2014</t>
  </si>
  <si>
    <t>Pratiwi Pramitaningdyah, SE.</t>
  </si>
  <si>
    <t>198706122020122007</t>
  </si>
  <si>
    <t>3471045206870001</t>
  </si>
  <si>
    <t>Penyusun Program Anggaran dan Pelaporan</t>
  </si>
  <si>
    <t>Akuntansi Manajemen UPN Veteran Yogyakarta Tahun 2010</t>
  </si>
  <si>
    <t>Singgih Pujiriyono</t>
  </si>
  <si>
    <t>22-01-1967</t>
  </si>
  <si>
    <t>196701222009011001</t>
  </si>
  <si>
    <t>3471122201670001</t>
  </si>
  <si>
    <t>UPT PUSAT PENGEMBANGAN BISNIS</t>
  </si>
  <si>
    <t>R. Moh. Fajar Himawan</t>
  </si>
  <si>
    <t>196803301991031002</t>
  </si>
  <si>
    <t>3471013003680002</t>
  </si>
  <si>
    <t>Teknisi Sarana dan Prasarana</t>
  </si>
  <si>
    <t xml:space="preserve">Negeri II Yogyakarta </t>
  </si>
  <si>
    <t>Fachry Zainuddin, S.T.</t>
  </si>
  <si>
    <t>11-05-1982</t>
  </si>
  <si>
    <t>198205112011011009</t>
  </si>
  <si>
    <t>3522151105820014</t>
  </si>
  <si>
    <t>Teknisi Peralatan, Listrik dan Elektronika</t>
  </si>
  <si>
    <t>S1 Teknik Mesin Tahun 2008</t>
  </si>
  <si>
    <t>Tyas Fajarini</t>
  </si>
  <si>
    <t>197109302002122001</t>
  </si>
  <si>
    <t>3404017009710001</t>
  </si>
  <si>
    <t>01-10-2029</t>
  </si>
  <si>
    <t>UPT PUSAT PENGEMBANGAN BAHASA</t>
  </si>
  <si>
    <t>Umi Saadah, SE.</t>
  </si>
  <si>
    <t>197605262011012003</t>
  </si>
  <si>
    <t>3404036605760001</t>
  </si>
  <si>
    <t>UMY Ekonomi Akuntansi 1999</t>
  </si>
  <si>
    <t>Muhamad Nurudin</t>
  </si>
  <si>
    <t>17-09-1979</t>
  </si>
  <si>
    <t>197909172009101001</t>
  </si>
  <si>
    <t>PUSAT ADMISI</t>
  </si>
  <si>
    <t>Nurul Mar’ati Saleh, S.T., M.M.</t>
  </si>
  <si>
    <t>Ketapang</t>
  </si>
  <si>
    <t>198403012008012008</t>
  </si>
  <si>
    <t>3402084103840002</t>
  </si>
  <si>
    <t>Biro Administrasi Umum dan Keuangan ditugaskan pada Pusat Admisi</t>
  </si>
  <si>
    <t>Manajemen SDM STIE Widya Wiwaha Tahun 2016</t>
  </si>
  <si>
    <t>KLINIK PRATAMA</t>
  </si>
  <si>
    <t>dr. Diana Rismajani</t>
  </si>
  <si>
    <t>29-07-1971</t>
  </si>
  <si>
    <t>197107292005022003</t>
  </si>
  <si>
    <t>3404136907710003</t>
  </si>
  <si>
    <t>Dokter Ahli Madya</t>
  </si>
  <si>
    <t>Biro Administrasi Umum dan Keuangan ditugaskan pada Klinik Pratama</t>
  </si>
  <si>
    <t>01-02-2022</t>
  </si>
  <si>
    <t>UNHAS Kedokteran</t>
  </si>
  <si>
    <t>Agus Priyanta</t>
  </si>
  <si>
    <t>196904041993031002</t>
  </si>
  <si>
    <t>3471030404690002</t>
  </si>
  <si>
    <t>Farkhanati Mumtazah</t>
  </si>
  <si>
    <t>197107052000032001</t>
  </si>
  <si>
    <t>3401024507710001</t>
  </si>
  <si>
    <t>Refraksionis Optisi 1996</t>
  </si>
  <si>
    <t>Nur Rokhmah Hidayati, S.Farm., Apt.</t>
  </si>
  <si>
    <t>198111152008012013</t>
  </si>
  <si>
    <t>3401025511810021</t>
  </si>
  <si>
    <t>UGM, Ilmu Farmasi</t>
  </si>
  <si>
    <t>dr. Devy Eka Avitasari</t>
  </si>
  <si>
    <t>‌199310012020122011</t>
  </si>
  <si>
    <t>3521044110930001</t>
  </si>
  <si>
    <t>Dokter Ahli Pertama</t>
  </si>
  <si>
    <t>S-1 Dokter Umum UGM 2017</t>
  </si>
  <si>
    <t>Fitri Nurtaati, S.Farm., Apt.</t>
  </si>
  <si>
    <t>13-12-1982</t>
  </si>
  <si>
    <t>198212132008012008</t>
  </si>
  <si>
    <t>3404075312820002</t>
  </si>
  <si>
    <t>UGM, Farmasi</t>
  </si>
  <si>
    <t>Etty Daryanti, SIP</t>
  </si>
  <si>
    <t>196907071989012002</t>
  </si>
  <si>
    <t>3404174707690003</t>
  </si>
  <si>
    <t>Pengadministrasi Rekam Medis dan Informasi</t>
  </si>
  <si>
    <t>Ilmu Politik Tahun 2015</t>
  </si>
  <si>
    <t>Alfian, AMK.</t>
  </si>
  <si>
    <t>197610112002121001</t>
  </si>
  <si>
    <t>3310111110760002</t>
  </si>
  <si>
    <t>Akademi Keperawatan Yogyakarta</t>
  </si>
  <si>
    <t>Istinganah, A.Md.Kes.</t>
  </si>
  <si>
    <t>197909272006042007</t>
  </si>
  <si>
    <t>1672016709790002</t>
  </si>
  <si>
    <t>Perawat Gigi Pelaksana Lanjutan/Mahir</t>
  </si>
  <si>
    <t>Kesehatan Gigi, Politeknik Kesehatan Kemenkes Yogyakarta Tahun 2019</t>
  </si>
  <si>
    <t>drg. Mahadna Aulia Rahmah</t>
  </si>
  <si>
    <t xml:space="preserve"> Demak</t>
  </si>
  <si>
    <t xml:space="preserve">199308072019032013 </t>
  </si>
  <si>
    <t>3374154708930002</t>
  </si>
  <si>
    <t>Dokter Gigi Ahli Pertama</t>
  </si>
  <si>
    <t>S1 Kedokteran Gigi UGM Tahun 2017</t>
  </si>
  <si>
    <t>Agung Pribadi, ST.r.Rad.</t>
  </si>
  <si>
    <t xml:space="preserve">199110202019031008 </t>
  </si>
  <si>
    <t>3302272010910002</t>
  </si>
  <si>
    <t>Radiografer Ahli Pertama</t>
  </si>
  <si>
    <t>D4</t>
  </si>
  <si>
    <t>D4  Teknik Radiologi Politeknik Kesehatan Kementerian Kesehatan Semarang Tahun 2017</t>
  </si>
  <si>
    <t>LABORATORIUM TERPADU</t>
  </si>
  <si>
    <t>Agung Nugroho, S.Si.</t>
  </si>
  <si>
    <t>06-06-1983</t>
  </si>
  <si>
    <t>198306062008011007</t>
  </si>
  <si>
    <t>3404050606830003</t>
  </si>
  <si>
    <t xml:space="preserve">Pranata Laboratorium Pendidikan Ahli Muda  </t>
  </si>
  <si>
    <t xml:space="preserve">Biro Administrasi Akademik, Kemahasiswaan dan Kerjasama ditugaskan pada Laboratorium Terpadu </t>
  </si>
  <si>
    <t>UNY, Fisika, Tahun 2005</t>
  </si>
  <si>
    <t>Agus Suwandi, ST.</t>
  </si>
  <si>
    <t>20-08-1980</t>
  </si>
  <si>
    <t>198008202009011017</t>
  </si>
  <si>
    <t>3404072008800014</t>
  </si>
  <si>
    <t>Instiut Sains dan Teknologi AKPRIND, Teknik Industri, Tahun 2005</t>
  </si>
  <si>
    <t>Anif Yuni Muallifah, S.Pd.I., M.Biotech</t>
  </si>
  <si>
    <t>01-06-1983</t>
  </si>
  <si>
    <t>198306012009122005</t>
  </si>
  <si>
    <t>3506014106830001</t>
  </si>
  <si>
    <t>Bioteknologi UGM Tahun 2021</t>
  </si>
  <si>
    <t>Asim Septiyansyah, S.Si.</t>
  </si>
  <si>
    <t>02-09-1982</t>
  </si>
  <si>
    <t>198209022008011006</t>
  </si>
  <si>
    <t>3308130209820001</t>
  </si>
  <si>
    <t>UNY, Fisika, Tahun 2007</t>
  </si>
  <si>
    <t>Ethik Susiawati Purnomo, S.Si.</t>
  </si>
  <si>
    <t>27-03-1980</t>
  </si>
  <si>
    <t>198003272009012006</t>
  </si>
  <si>
    <t>3402136703800005</t>
  </si>
  <si>
    <t>UGM, Biologi, Tahun 2003</t>
  </si>
  <si>
    <t>Sutriyono, S.Si.</t>
  </si>
  <si>
    <t>07-01-1979</t>
  </si>
  <si>
    <t>197901072009011009</t>
  </si>
  <si>
    <t>3471030701790002</t>
  </si>
  <si>
    <t>UNY, Biologi, Tahun 2004</t>
  </si>
  <si>
    <t>Win Indra Gunawan, S.Si.</t>
  </si>
  <si>
    <t>16-11-1974</t>
  </si>
  <si>
    <t>197411162009011004</t>
  </si>
  <si>
    <t>3403091611740002</t>
  </si>
  <si>
    <t>UGM, Fisika, Tahun 2003</t>
  </si>
  <si>
    <t>Indra Nafiyanto, S.Si.</t>
  </si>
  <si>
    <t>14-02-1982</t>
  </si>
  <si>
    <t>198202142009011007</t>
  </si>
  <si>
    <t>3404121402820005</t>
  </si>
  <si>
    <t>UNSOED, Kimia, Tahun 2004</t>
  </si>
  <si>
    <t>Muhammad Ikhwan Ardiansyah, ST.</t>
  </si>
  <si>
    <t>29-05-1984</t>
  </si>
  <si>
    <t>198405292009011005</t>
  </si>
  <si>
    <t>3401022905840021</t>
  </si>
  <si>
    <t>UPN VETERAN, Teknik Industri, Tahun 2007</t>
  </si>
  <si>
    <t>A. Wijayanto, S.Si.</t>
  </si>
  <si>
    <t>15-04-1978</t>
  </si>
  <si>
    <t>197804152008011010</t>
  </si>
  <si>
    <t>3317101504780007</t>
  </si>
  <si>
    <t>Pranata Laboratorium Pendidikan Ahli Pertama</t>
  </si>
  <si>
    <t>01-10-2015</t>
  </si>
  <si>
    <t>UGM, Kimia, Tahun 2004</t>
  </si>
  <si>
    <t>Isni Gustanti, S.Si.</t>
  </si>
  <si>
    <t>198408132011012015</t>
  </si>
  <si>
    <t>3404105308840002</t>
  </si>
  <si>
    <t>UGM, Kimia, Tahun 2007</t>
  </si>
  <si>
    <t>Medi Yanuarto, S.T.</t>
  </si>
  <si>
    <t>15-01-1981</t>
  </si>
  <si>
    <t>198101152008011017</t>
  </si>
  <si>
    <t>3404071501810005</t>
  </si>
  <si>
    <t>UII,Teknik elektro, Tahun 2007</t>
  </si>
  <si>
    <t>Dony Eko Saputro, S.Pd.I.</t>
  </si>
  <si>
    <t>198205012009101004</t>
  </si>
  <si>
    <t>3311070105820003</t>
  </si>
  <si>
    <t xml:space="preserve">Pendidikan Biologi </t>
  </si>
  <si>
    <t>Muhammad Munawir, S.T.</t>
  </si>
  <si>
    <t>Lendah, Kulonprogo</t>
  </si>
  <si>
    <t>198304232011011004</t>
  </si>
  <si>
    <t>3401052304830001</t>
  </si>
  <si>
    <t>Teknik elektro Tahun 2004</t>
  </si>
  <si>
    <t>Yusuf Murdani, S.Kom.</t>
  </si>
  <si>
    <t>16-10-1983</t>
  </si>
  <si>
    <t>198310162011011005</t>
  </si>
  <si>
    <t>3310201610830001</t>
  </si>
  <si>
    <t>Awan Pramudya Wardhani, S.Kom.</t>
  </si>
  <si>
    <t>12-02-1976</t>
  </si>
  <si>
    <t>197602122009121001</t>
  </si>
  <si>
    <t>3471141202760002</t>
  </si>
  <si>
    <t>Pranata Laboratorium Pendidikan Ahli Pertama/Koordinator Sarana dan Prasarana Laboraotrium (01-10-2020)</t>
  </si>
  <si>
    <t>STIMIK Akakom, Teknik Informatika, Tahun 2009</t>
  </si>
  <si>
    <t>FAKULTAS ADAB DAN ILMU BUDAYA (FADIB)</t>
  </si>
  <si>
    <t>Siti Asfiah, S.Ag., MM.</t>
  </si>
  <si>
    <t>Balapulang,Tegal</t>
  </si>
  <si>
    <t>197307252003122003</t>
  </si>
  <si>
    <t>3402126507730002</t>
  </si>
  <si>
    <t>Kepala Bagian</t>
  </si>
  <si>
    <t>STIE Widya Wiwaha, Magister Manajemen, 2012</t>
  </si>
  <si>
    <t>Siti Zainia Faridha, S.Si., M.Si.</t>
  </si>
  <si>
    <t>197707262008012013</t>
  </si>
  <si>
    <t>3401016607770001</t>
  </si>
  <si>
    <t>0104/2024</t>
  </si>
  <si>
    <t>UPN Ilmu Ekonomi Tahun 2015</t>
  </si>
  <si>
    <t>Suharyati, SE.</t>
  </si>
  <si>
    <t>197001011991032004</t>
  </si>
  <si>
    <t>3401064101700001</t>
  </si>
  <si>
    <t>Akuntansi Keuangan</t>
  </si>
  <si>
    <t>Sri Lestari, AKS., M.Si.</t>
  </si>
  <si>
    <t>197204241998032001</t>
  </si>
  <si>
    <t>01-10-2014</t>
  </si>
  <si>
    <t>Raharjo, S.H.</t>
  </si>
  <si>
    <t>197008291999011001</t>
  </si>
  <si>
    <t>3404122908700002</t>
  </si>
  <si>
    <t>Univ. Janabadra, Hukum Keperdataan</t>
  </si>
  <si>
    <t>Abu Nasir, S.Ag., M.Pd.I</t>
  </si>
  <si>
    <t>197801022009011001</t>
  </si>
  <si>
    <t>3402120201780005</t>
  </si>
  <si>
    <t>Magister Pendidikan Agama Islam</t>
  </si>
  <si>
    <t>Jaka Tri Santosa, S.IP</t>
  </si>
  <si>
    <t>196705031993031005</t>
  </si>
  <si>
    <t>3402090305670001</t>
  </si>
  <si>
    <t>Administrasi Negara 2005</t>
  </si>
  <si>
    <t>Muhammad Ridwan, S.IP</t>
  </si>
  <si>
    <t>197103051991031002</t>
  </si>
  <si>
    <t>3403040503710002</t>
  </si>
  <si>
    <t>Administrasi Negara STISIPOL KARTIKA BANGSA 2001</t>
  </si>
  <si>
    <t>01-04-2029</t>
  </si>
  <si>
    <t>Aris Munandar</t>
  </si>
  <si>
    <t>197109091993031003</t>
  </si>
  <si>
    <t>3402020909710001</t>
  </si>
  <si>
    <t>Dian Pertiwi Puji Rahayu</t>
  </si>
  <si>
    <t>197105071991032001</t>
  </si>
  <si>
    <t>3404074705710006</t>
  </si>
  <si>
    <t xml:space="preserve">SLTA, SMEA KARYA BHAKTI AKUNTANSI1990 </t>
  </si>
  <si>
    <t>Dahlan</t>
  </si>
  <si>
    <t>197102122000031001</t>
  </si>
  <si>
    <t>3402121202710002</t>
  </si>
  <si>
    <t>Umardani</t>
  </si>
  <si>
    <t>14-03-1968</t>
  </si>
  <si>
    <t>196803142007011045</t>
  </si>
  <si>
    <t>3404031403680002</t>
  </si>
  <si>
    <t>Pengelola BMN</t>
  </si>
  <si>
    <t>STM Mesin Tahun 1988</t>
  </si>
  <si>
    <t>Dwi Laksono Wibowo</t>
  </si>
  <si>
    <t>01-06-1973</t>
  </si>
  <si>
    <t>197306012009011005</t>
  </si>
  <si>
    <t>3404130106730003</t>
  </si>
  <si>
    <t>Mesin 1987</t>
  </si>
  <si>
    <t>Sukadi</t>
  </si>
  <si>
    <t>06-10-1968</t>
  </si>
  <si>
    <t>196810062007011025</t>
  </si>
  <si>
    <t>3404100430680002</t>
  </si>
  <si>
    <t>II/a</t>
  </si>
  <si>
    <t>MA</t>
  </si>
  <si>
    <t>IPS Tahun 2004</t>
  </si>
  <si>
    <t>Edwin Tri Januarsyah, SE.</t>
  </si>
  <si>
    <t>‌199301282020121007</t>
  </si>
  <si>
    <t>3215226801930001</t>
  </si>
  <si>
    <t>Manajemen IPB Tahun 2014</t>
  </si>
  <si>
    <t xml:space="preserve">Ulfi Suseni, A.Md. </t>
  </si>
  <si>
    <t>CILACAP</t>
  </si>
  <si>
    <t>199509192022032002</t>
  </si>
  <si>
    <t>'3301035909950001</t>
  </si>
  <si>
    <t>Verifikator Keuangan</t>
  </si>
  <si>
    <t>Perbankan Syari'ah UIN Walisongo Semarang</t>
  </si>
  <si>
    <t>FAKULTAS DAKWAH DAN KOMUNIKASI (FDK)</t>
  </si>
  <si>
    <t>H. Muhammad Agus Syafi, S.Ag., M.Si.</t>
  </si>
  <si>
    <t>197608232000121003</t>
  </si>
  <si>
    <t>Kepala Bagian Tata Usaha</t>
  </si>
  <si>
    <t>Ilmu Administrasi 2015</t>
  </si>
  <si>
    <t>01-09-2034</t>
  </si>
  <si>
    <t>Fitri Nur Istiqomah, S.E., MM.</t>
  </si>
  <si>
    <t>198211282005012002</t>
  </si>
  <si>
    <t>3402176811820001</t>
  </si>
  <si>
    <t>Magister Manajemen, 2013</t>
  </si>
  <si>
    <t>Innayah, S.Sos., M.Pd.</t>
  </si>
  <si>
    <t>197405012001122002</t>
  </si>
  <si>
    <t>3404034105740005</t>
  </si>
  <si>
    <t>Penelitian dan Evaluasi Pendidikan Universitas Sarjana Wiyata Yogyakarta Tahun 2021</t>
  </si>
  <si>
    <t>Nur Hasanah Sulistyowati, S.Ag</t>
  </si>
  <si>
    <t>196710081997032001</t>
  </si>
  <si>
    <t>3404145810670001</t>
  </si>
  <si>
    <t>IAIN Tahun 1997</t>
  </si>
  <si>
    <t>01-11-2025</t>
  </si>
  <si>
    <t>Euis Marlina, S.Kom.</t>
  </si>
  <si>
    <t>Pancatengah</t>
  </si>
  <si>
    <t>198411192008012003</t>
  </si>
  <si>
    <t>3206045911840001</t>
  </si>
  <si>
    <t xml:space="preserve">UTY, Teknik Informatika            </t>
  </si>
  <si>
    <t>Rachmad Prasmawardi, S.Sos.</t>
  </si>
  <si>
    <t>196707012002121002</t>
  </si>
  <si>
    <t>3404070107670074</t>
  </si>
  <si>
    <t>APMD, Ilmu Sosiatri Tahun 2007</t>
  </si>
  <si>
    <t>Muchammad Choirudin, S.Pd</t>
  </si>
  <si>
    <t>197302122000031002</t>
  </si>
  <si>
    <t>3471131202730006</t>
  </si>
  <si>
    <t xml:space="preserve">Pengelola Bahan Akademik dan Pengajaran  </t>
  </si>
  <si>
    <t>IKIP Malang, Ilmu Pendidikan, PP/BK 1997</t>
  </si>
  <si>
    <t>Bambang Suharyanto, SIP.</t>
  </si>
  <si>
    <t>196705072005011001</t>
  </si>
  <si>
    <t>3404170705670002</t>
  </si>
  <si>
    <t>Pengolah daftar gaji</t>
  </si>
  <si>
    <t>Ilmu Politik UP45 2010</t>
  </si>
  <si>
    <t>Finaul Jannah, S.Pd.I.</t>
  </si>
  <si>
    <t>198603042011012008</t>
  </si>
  <si>
    <t>3302254403860001</t>
  </si>
  <si>
    <t>Pengolah Data Laporan Pertanggungjawaban Bendahara</t>
  </si>
  <si>
    <t>Pendidikan Agama Islam STAIN Purwokerto</t>
  </si>
  <si>
    <t>Trinidya Firdayani, SE.</t>
  </si>
  <si>
    <t>198008272009012009</t>
  </si>
  <si>
    <t>3603246708000004</t>
  </si>
  <si>
    <t>Ekonomi Manajemen 2005</t>
  </si>
  <si>
    <t>Slamet Basuki</t>
  </si>
  <si>
    <t>196810101994031002</t>
  </si>
  <si>
    <t>3404061010680001</t>
  </si>
  <si>
    <t>Nurhidayati</t>
  </si>
  <si>
    <t>05-02-1968</t>
  </si>
  <si>
    <t>196802052007012029</t>
  </si>
  <si>
    <t>3404034502680003</t>
  </si>
  <si>
    <t>Aries Hadi Setyanto, S.Kom</t>
  </si>
  <si>
    <t>11-04-1986</t>
  </si>
  <si>
    <t>198604112020121004</t>
  </si>
  <si>
    <t>3521051104860006</t>
  </si>
  <si>
    <t>Pengelola Teknologi Informasi</t>
  </si>
  <si>
    <t>Teknik Informatika STIMIK Asia Malang Tahun 2015</t>
  </si>
  <si>
    <t>Edi Rusmanto</t>
  </si>
  <si>
    <t>02-03-1976</t>
  </si>
  <si>
    <t>197603022009011005</t>
  </si>
  <si>
    <t>3404060203760001</t>
  </si>
  <si>
    <t>Suratman</t>
  </si>
  <si>
    <t>05-05-1969</t>
  </si>
  <si>
    <t>196905052009011010</t>
  </si>
  <si>
    <t>3402140505690007</t>
  </si>
  <si>
    <t>Wahadi</t>
  </si>
  <si>
    <t>20-08-1975</t>
  </si>
  <si>
    <t>197508202009101001</t>
  </si>
  <si>
    <t>3402102008750004</t>
  </si>
  <si>
    <t>Negeri 2 Bantul</t>
  </si>
  <si>
    <t>Sunaryo</t>
  </si>
  <si>
    <t>19-03-1973</t>
  </si>
  <si>
    <t>197303192009101002</t>
  </si>
  <si>
    <t>3404111903730001</t>
  </si>
  <si>
    <t>Sigit Prasetiyo</t>
  </si>
  <si>
    <t>27-05-1978</t>
  </si>
  <si>
    <t>197805272009101001</t>
  </si>
  <si>
    <t>3471132705780003</t>
  </si>
  <si>
    <t>01-10-2023</t>
  </si>
  <si>
    <t>FAKULTAS SYARI'AH DAN HUKUM (FSH)</t>
  </si>
  <si>
    <t>Suefrizal, S.Ag, M.S.I.</t>
  </si>
  <si>
    <t>Bengkalis, Riau</t>
  </si>
  <si>
    <t>197510122000031002</t>
  </si>
  <si>
    <t>3402141210750003</t>
  </si>
  <si>
    <t>Kepala Bagian TU Fak. Syari'ah dan Hukum</t>
  </si>
  <si>
    <t>Agama dan Filsafat UIN Sunan Kalijaga Tahun 2006</t>
  </si>
  <si>
    <t>Dra. Kenya Budiani, M.Si</t>
  </si>
  <si>
    <t>196502121991022001</t>
  </si>
  <si>
    <t>3402125202650004</t>
  </si>
  <si>
    <t>Biro Administrasi Umum dan Keuangan ditugaskan pada FSH</t>
  </si>
  <si>
    <t>UGM, Magister Sains</t>
  </si>
  <si>
    <t>Dra. Siti Khomsiyah</t>
  </si>
  <si>
    <t>196706171996032001</t>
  </si>
  <si>
    <t>3404105706670001</t>
  </si>
  <si>
    <t>IAIN, Perbandingan Agama</t>
  </si>
  <si>
    <t>Dra. Sumarni</t>
  </si>
  <si>
    <t>196702182001122001</t>
  </si>
  <si>
    <t>3402155802670001</t>
  </si>
  <si>
    <t>IAIN Sunan Kalijaga, Tadris 1992</t>
  </si>
  <si>
    <t>Ida Nursanti, S.Pd.</t>
  </si>
  <si>
    <t>196704121988032002</t>
  </si>
  <si>
    <t>3402135204670001</t>
  </si>
  <si>
    <t>IKIP PGRI Wates Ilmu Pendidikan Psikologi Pendidikan 2011</t>
  </si>
  <si>
    <t>Lutfi Agus Wibowo, SE</t>
  </si>
  <si>
    <t>197208172002121002</t>
  </si>
  <si>
    <t>3471131708720002</t>
  </si>
  <si>
    <t>UPN Veteran Yogyakarta, Ekonomi</t>
  </si>
  <si>
    <t>Trisnawati, S.IP</t>
  </si>
  <si>
    <t>196710221992032001</t>
  </si>
  <si>
    <t>3308036210670001</t>
  </si>
  <si>
    <t>STISIPOL Kartika Bangsa</t>
  </si>
  <si>
    <t>Rr. Sri Susilistyorini, S.H.</t>
  </si>
  <si>
    <t>196909081993032002</t>
  </si>
  <si>
    <t>3402094809690002</t>
  </si>
  <si>
    <t xml:space="preserve">UNPROK Ilmu Hukum  </t>
  </si>
  <si>
    <t>Rahmat Fahrudin, S.T.</t>
  </si>
  <si>
    <t>24-08-1975</t>
  </si>
  <si>
    <t>197508242006041002</t>
  </si>
  <si>
    <t>3402122408750003</t>
  </si>
  <si>
    <t xml:space="preserve">Pengelola Sarana dan Prasarana </t>
  </si>
  <si>
    <t>STTNAS Yogyakarta Teknik Elektro</t>
  </si>
  <si>
    <t>Edy Feryanto</t>
  </si>
  <si>
    <t>196911181991031002</t>
  </si>
  <si>
    <t>3402161811690001</t>
  </si>
  <si>
    <t>Raden Sunarya</t>
  </si>
  <si>
    <t>196808051994031004</t>
  </si>
  <si>
    <t>3404070508680002</t>
  </si>
  <si>
    <t>Badrodin</t>
  </si>
  <si>
    <t>23-02-1969</t>
  </si>
  <si>
    <t>196902232007011020</t>
  </si>
  <si>
    <t>3402122302690004</t>
  </si>
  <si>
    <t>STM Listrik Umum Tahun 1989</t>
  </si>
  <si>
    <t>Rachmat Rismanta</t>
  </si>
  <si>
    <t>05-02-1972</t>
  </si>
  <si>
    <t>197202052007011047</t>
  </si>
  <si>
    <t>3402130502720002</t>
  </si>
  <si>
    <t>Uni' Triswati</t>
  </si>
  <si>
    <t>07-05-1974</t>
  </si>
  <si>
    <t>197405072009012002</t>
  </si>
  <si>
    <t>3402124705740002</t>
  </si>
  <si>
    <t>Muhammadiyah IV Yogyakarta</t>
  </si>
  <si>
    <t>FAKULTAS ILMU TARBIYAH DAN KEGURUAN (FITK)</t>
  </si>
  <si>
    <t>Hj. Ratna Eryani, S. Ag.</t>
  </si>
  <si>
    <t>197202241997032001</t>
  </si>
  <si>
    <t>3471146402720002</t>
  </si>
  <si>
    <t>Kabag TU FITK</t>
  </si>
  <si>
    <t xml:space="preserve">S1, IAIN Sunan Kalijaga Yogyakarta Fak. Syari'ah Tahun 1996 </t>
  </si>
  <si>
    <t>H. Dedi Nurmadi, SE.</t>
  </si>
  <si>
    <t>197202162002121005</t>
  </si>
  <si>
    <t>3471131602720001</t>
  </si>
  <si>
    <t>UII, Manajemen Perusahaan</t>
  </si>
  <si>
    <t>Suharyanta, SE.</t>
  </si>
  <si>
    <t>Tual</t>
  </si>
  <si>
    <t>197004291999011001</t>
  </si>
  <si>
    <t>3404932904700001</t>
  </si>
  <si>
    <t>STIE Kerjasama</t>
  </si>
  <si>
    <t>01-05-2028</t>
  </si>
  <si>
    <t>Dr. Kulsum Nur Hayati, M.Pd.</t>
  </si>
  <si>
    <t>197609232006042001</t>
  </si>
  <si>
    <t>3402126309760003</t>
  </si>
  <si>
    <t>Pengembang Teknologi Pembelajaran Ahli Madya / Koordinator Pusat Pengembangan Standar Mutu Akademik pada LPM Masa Jabatan 2024-2028</t>
  </si>
  <si>
    <t xml:space="preserve">Biro Administrasi Akademik, Kemahasiswaan dan Kerjasama ditugaskan pada FITK </t>
  </si>
  <si>
    <t>Penelitian dan Evaluasi Pendidikan UNY Tahun 2010</t>
  </si>
  <si>
    <t>Fery Irianto Setyo Wibowo, S.Pd., M.Pd.I.</t>
  </si>
  <si>
    <t>17-02-1984</t>
  </si>
  <si>
    <t>198402172008011004</t>
  </si>
  <si>
    <t>3306081702840001</t>
  </si>
  <si>
    <t>UIN Sunan Kalijaga, Pendidikan Islam, Tahun 2014</t>
  </si>
  <si>
    <t>Muh. Sahudi, S.E.</t>
  </si>
  <si>
    <t>197202241993031003</t>
  </si>
  <si>
    <t>3404102402720001</t>
  </si>
  <si>
    <t>UNCOK Yk. Tahun 2001</t>
  </si>
  <si>
    <t>Suwartinah, S.IP</t>
  </si>
  <si>
    <t>196806231991032002</t>
  </si>
  <si>
    <t>3402026306680003</t>
  </si>
  <si>
    <t>STISIPOL Karika Bangsa 2004</t>
  </si>
  <si>
    <t>Ihsanuddin Sulaksono, S.E.</t>
  </si>
  <si>
    <t>19-06-1986</t>
  </si>
  <si>
    <t>198606192011011008</t>
  </si>
  <si>
    <t>3404021906860006</t>
  </si>
  <si>
    <t>S1 Akuntansi Tahun 2010</t>
  </si>
  <si>
    <t>Yusep Nurdiyanto SE., MM.</t>
  </si>
  <si>
    <t>197509292005011006</t>
  </si>
  <si>
    <t>3402142909750001</t>
  </si>
  <si>
    <t>Magister Manajemen Tahun 2013</t>
  </si>
  <si>
    <t>Handoko Suryo Heri Dewanto</t>
  </si>
  <si>
    <t>196912121993031002</t>
  </si>
  <si>
    <t>3402161212690007</t>
  </si>
  <si>
    <t xml:space="preserve">Supriyono, SIP. </t>
  </si>
  <si>
    <t>197003041991031001</t>
  </si>
  <si>
    <t>3402091802600001</t>
  </si>
  <si>
    <t>Administrasi Negara Tahun 2013</t>
  </si>
  <si>
    <t xml:space="preserve">Muhamad Anwar   </t>
  </si>
  <si>
    <t>196808052001121001</t>
  </si>
  <si>
    <t>3404070508680004</t>
  </si>
  <si>
    <t>Banguntapan, Bantul</t>
  </si>
  <si>
    <t>Yusuf Nizar</t>
  </si>
  <si>
    <t>197010262002121001</t>
  </si>
  <si>
    <t>3404042610700001</t>
  </si>
  <si>
    <t>Biologi Tahun 1989</t>
  </si>
  <si>
    <t>Sutarmi, SIP.</t>
  </si>
  <si>
    <t>197501282007012017</t>
  </si>
  <si>
    <t>3404126801750002</t>
  </si>
  <si>
    <t>Ilmu Politik UNPROK Tahun 2018</t>
  </si>
  <si>
    <t>Budiyono</t>
  </si>
  <si>
    <t>14-02-1968</t>
  </si>
  <si>
    <t>196802142007011025</t>
  </si>
  <si>
    <t>3402161402680001</t>
  </si>
  <si>
    <t>SMEA Keuangan Tahun 1989</t>
  </si>
  <si>
    <t>Marzudi Nur</t>
  </si>
  <si>
    <t>197110072007011039</t>
  </si>
  <si>
    <t>3404040710710003</t>
  </si>
  <si>
    <t>Sri Wahyuni</t>
  </si>
  <si>
    <t>14-05-1968</t>
  </si>
  <si>
    <t>196805142007012027</t>
  </si>
  <si>
    <t>3404075405680002</t>
  </si>
  <si>
    <t>SMEA Tata Usaha Tahun 1990</t>
  </si>
  <si>
    <t>Rodli Yasykuri</t>
  </si>
  <si>
    <t>197703282009101002</t>
  </si>
  <si>
    <t>3404072803770004</t>
  </si>
  <si>
    <t>Subekti Ambarsari</t>
  </si>
  <si>
    <t>29-07-1973</t>
  </si>
  <si>
    <t>197307292009012002</t>
  </si>
  <si>
    <t>3404116907730001</t>
  </si>
  <si>
    <t>Depok</t>
  </si>
  <si>
    <t>Hartadi</t>
  </si>
  <si>
    <t>30-06-1983</t>
  </si>
  <si>
    <t>198306302009101001</t>
  </si>
  <si>
    <t>3402163006830005</t>
  </si>
  <si>
    <t xml:space="preserve">Mira Mardiyani, S.Pd. </t>
  </si>
  <si>
    <t>199007062022032001</t>
  </si>
  <si>
    <t>'3210034607900181</t>
  </si>
  <si>
    <t>Pendidikan Fisika Universitas Islam Negeri Sunan Gunung Djati / UIN SGD Bandung</t>
  </si>
  <si>
    <t>Nuriyana</t>
  </si>
  <si>
    <t>15-01-1982</t>
  </si>
  <si>
    <t>198201152009101001</t>
  </si>
  <si>
    <t>3404041501820001</t>
  </si>
  <si>
    <t>SMK Muhammadiyah 2 Moyudan, Sekretaris</t>
  </si>
  <si>
    <t>Umar Sodiq</t>
  </si>
  <si>
    <t>06-09-1975</t>
  </si>
  <si>
    <t>197509062009101003</t>
  </si>
  <si>
    <t>3402150609750001</t>
  </si>
  <si>
    <t>Aliman</t>
  </si>
  <si>
    <t>20-09-1976</t>
  </si>
  <si>
    <t>197609202009101001</t>
  </si>
  <si>
    <t>3402012009760001</t>
  </si>
  <si>
    <t>PGRI</t>
  </si>
  <si>
    <t>FAKULTAS USHULUDDIN DAN PEMIKIRAN ISLAM (FUPI)</t>
  </si>
  <si>
    <t>Siti Latifah, SE.</t>
  </si>
  <si>
    <t>197009141998032002</t>
  </si>
  <si>
    <t>3404015409700004</t>
  </si>
  <si>
    <t>Kabag TU FUSPI</t>
  </si>
  <si>
    <t>UGM, Ekonomi</t>
  </si>
  <si>
    <t>Isti Karyatun, SH</t>
  </si>
  <si>
    <t>197108051991032001</t>
  </si>
  <si>
    <t>3402154508710001</t>
  </si>
  <si>
    <t>Univ Ahmad Dahlan, Tahun 2005</t>
  </si>
  <si>
    <t>Rr. Nur Etti Retno Wulandari, S.H.</t>
  </si>
  <si>
    <t>196705051994032001</t>
  </si>
  <si>
    <t>3404074505670013</t>
  </si>
  <si>
    <t xml:space="preserve">Pengembang Teknologi Pembelajaran </t>
  </si>
  <si>
    <t>UII, Hukum Keperdataan</t>
  </si>
  <si>
    <t>Sri Ernawati, SH.</t>
  </si>
  <si>
    <t>27-05-1970</t>
  </si>
  <si>
    <t>197005272009122001</t>
  </si>
  <si>
    <t>3402126705700002</t>
  </si>
  <si>
    <t>UII, Ilmu Hukum 1996</t>
  </si>
  <si>
    <t>Wahjudi Djuniantoro</t>
  </si>
  <si>
    <t>196906061993031004</t>
  </si>
  <si>
    <t>3402100606690003</t>
  </si>
  <si>
    <t>Ichsan, ST.</t>
  </si>
  <si>
    <t>17-04-1979</t>
  </si>
  <si>
    <t>197904172009121004</t>
  </si>
  <si>
    <t>3404071704790011</t>
  </si>
  <si>
    <t>Pengelola Pengadaan Barang / Jasa Ahli Muda</t>
  </si>
  <si>
    <t>Biro Administrasi Umum dan Keuangan ditugaskan pada FUPI</t>
  </si>
  <si>
    <t>UGM, Teknik Elektro</t>
  </si>
  <si>
    <t>Muhadi</t>
  </si>
  <si>
    <t>196707221992031004</t>
  </si>
  <si>
    <t>3404052207670001</t>
  </si>
  <si>
    <t>01-04-2012</t>
  </si>
  <si>
    <t>Ponijo</t>
  </si>
  <si>
    <t>196702281993031006</t>
  </si>
  <si>
    <t>3404012802670001</t>
  </si>
  <si>
    <t>Oemi Hani Latifah</t>
  </si>
  <si>
    <t>197303222005012001</t>
  </si>
  <si>
    <t>3402126203730001</t>
  </si>
  <si>
    <t>Pengadministrasi Anggaran</t>
  </si>
  <si>
    <t xml:space="preserve">Listrik  </t>
  </si>
  <si>
    <t>RR. Edni Jamaryami Endang K.</t>
  </si>
  <si>
    <t>197203112007012021</t>
  </si>
  <si>
    <t>3402025103720001</t>
  </si>
  <si>
    <t>SMA Biologi Tahun 1991</t>
  </si>
  <si>
    <t>R. Muh. Fauzan Hanafi</t>
  </si>
  <si>
    <t>03-12-1972</t>
  </si>
  <si>
    <t>197212032009101002</t>
  </si>
  <si>
    <t>3404040312720003</t>
  </si>
  <si>
    <t>Negeri 7 Yogyakarta</t>
  </si>
  <si>
    <t>Sugeng Sarwono</t>
  </si>
  <si>
    <t>26-08-1980</t>
  </si>
  <si>
    <t>198008262009101001</t>
  </si>
  <si>
    <t>3404012608800004</t>
  </si>
  <si>
    <t>Mekanik Umum</t>
  </si>
  <si>
    <t>Jaka Santosa</t>
  </si>
  <si>
    <t>13-05-1975</t>
  </si>
  <si>
    <t>197505132009101001</t>
  </si>
  <si>
    <t>3404011305750003</t>
  </si>
  <si>
    <t>Anik Kholifah</t>
  </si>
  <si>
    <t>24-12-1984</t>
  </si>
  <si>
    <t>198412242009102002</t>
  </si>
  <si>
    <t>3404076412840008</t>
  </si>
  <si>
    <t>Agus Triyanto</t>
  </si>
  <si>
    <t>17-12-1984</t>
  </si>
  <si>
    <t>198412172009101001</t>
  </si>
  <si>
    <t>3404071712840014</t>
  </si>
  <si>
    <t>II/b</t>
  </si>
  <si>
    <t>Muhammadiyah Depok</t>
  </si>
  <si>
    <t>Maryanto, SIP.</t>
  </si>
  <si>
    <t>02-09-1971</t>
  </si>
  <si>
    <t>197109022009101001</t>
  </si>
  <si>
    <t>3402120209710002</t>
  </si>
  <si>
    <t xml:space="preserve">Pengadministrasi Umum </t>
  </si>
  <si>
    <t>FAKULTAS SAINS DAN TEKNOLOGI (FST)</t>
  </si>
  <si>
    <t>Miftahur Rofi', S.Ag, M.Ag.</t>
  </si>
  <si>
    <t>lamongan</t>
  </si>
  <si>
    <t>197205132000031002</t>
  </si>
  <si>
    <t>3402121305720001</t>
  </si>
  <si>
    <t>Kepala Bagian TU FST</t>
  </si>
  <si>
    <t>IAIN Agama dan Filsafat Konsentrasi Filsafat Umum</t>
  </si>
  <si>
    <t>Erie Susanty, SE, MM.</t>
  </si>
  <si>
    <t>Jakarta Selatan</t>
  </si>
  <si>
    <t>196912051994032003</t>
  </si>
  <si>
    <t>3471134512690001</t>
  </si>
  <si>
    <t>Pengembang Teknologi Pembelajaran Ahli Muda</t>
  </si>
  <si>
    <t>Magister Manajemen 2012</t>
  </si>
  <si>
    <t>H. Ahmad Faizin, SE, MM.</t>
  </si>
  <si>
    <t>197510052003121004</t>
  </si>
  <si>
    <t>3404110510750002</t>
  </si>
  <si>
    <t xml:space="preserve">(27 Oktober 2021 s.d. 27 Januari 2021) </t>
  </si>
  <si>
    <t>Ekonomi Manajemen UII Tahun 2017</t>
  </si>
  <si>
    <t>Siti Mariyam, S.Ag.</t>
  </si>
  <si>
    <t>197201252003122002</t>
  </si>
  <si>
    <t>3402126501720002</t>
  </si>
  <si>
    <t>UMY, Pendidikan Agama Islam</t>
  </si>
  <si>
    <t>01-02-2030</t>
  </si>
  <si>
    <t>Nurita Yuliasiarti, S.IP.</t>
  </si>
  <si>
    <t>196807061994032002</t>
  </si>
  <si>
    <t xml:space="preserve">3404134607680002 </t>
  </si>
  <si>
    <t>Administrasi Negara UWMY 2009</t>
  </si>
  <si>
    <t>Asih Hidayati Yuli Astari, A.Md., SE.</t>
  </si>
  <si>
    <t>197407072003122003</t>
  </si>
  <si>
    <t>3404064707740001</t>
  </si>
  <si>
    <t>UII, Ekonomi</t>
  </si>
  <si>
    <t>Amir Mahmud</t>
  </si>
  <si>
    <t>196908081994031005</t>
  </si>
  <si>
    <t>3471030808690002</t>
  </si>
  <si>
    <t>Jaka Purnama, SH.</t>
  </si>
  <si>
    <t>197005142007011026</t>
  </si>
  <si>
    <t>3402121405700007</t>
  </si>
  <si>
    <t>Nur Sudarmaji</t>
  </si>
  <si>
    <t>196904181991031003</t>
  </si>
  <si>
    <t>3404031804690001</t>
  </si>
  <si>
    <t>STM Pembangunan Yogyakarta, Tahun 1989</t>
  </si>
  <si>
    <t>Sayoto</t>
  </si>
  <si>
    <t>19-09-1970</t>
  </si>
  <si>
    <t>197009192009011004</t>
  </si>
  <si>
    <t>3402130809730001</t>
  </si>
  <si>
    <t xml:space="preserve">Patria </t>
  </si>
  <si>
    <t>Yuli Istanto</t>
  </si>
  <si>
    <t>13-05-1977</t>
  </si>
  <si>
    <t>197705132009011019</t>
  </si>
  <si>
    <t>3404051305770002</t>
  </si>
  <si>
    <t>IPS 1997</t>
  </si>
  <si>
    <t>Muhadi Winarno</t>
  </si>
  <si>
    <t>197112052009101001</t>
  </si>
  <si>
    <t>3404060512710003</t>
  </si>
  <si>
    <t>SMA IPS Tahun 1993</t>
  </si>
  <si>
    <t>Agus Rahmanta</t>
  </si>
  <si>
    <t>197208242007101001</t>
  </si>
  <si>
    <t>3402152408720005</t>
  </si>
  <si>
    <t>Mesin</t>
  </si>
  <si>
    <t>Winaryanto</t>
  </si>
  <si>
    <t>12-05-1973</t>
  </si>
  <si>
    <t>197305122009011010</t>
  </si>
  <si>
    <t>3404051205730002</t>
  </si>
  <si>
    <t>Islam IPA</t>
  </si>
  <si>
    <t>FAKULTAS ILMU SOSIAL DAN HUMANIORA (FISHUM)</t>
  </si>
  <si>
    <t>Enny Iroh Hayati, SE, M.S.I.</t>
  </si>
  <si>
    <t>21-09-1975</t>
  </si>
  <si>
    <t>197509212000032001</t>
  </si>
  <si>
    <t>3308041109750001</t>
  </si>
  <si>
    <t>Kepala Bagian Tata Usaha Fishum</t>
  </si>
  <si>
    <t>Ekonomi Islam UII Tahun 2007</t>
  </si>
  <si>
    <t>Adib Ahmad, S.Psi.</t>
  </si>
  <si>
    <t>198312122008011009</t>
  </si>
  <si>
    <t>3404071212830011</t>
  </si>
  <si>
    <t>UGM, Psikologi</t>
  </si>
  <si>
    <t>Wahyuni, S.H.</t>
  </si>
  <si>
    <t>196901151992032001</t>
  </si>
  <si>
    <t>3402125501690004</t>
  </si>
  <si>
    <t>Ilmu Hukum, UCY</t>
  </si>
  <si>
    <t>Thitin Haiqoh, S.Sos</t>
  </si>
  <si>
    <t>197105062003122002</t>
  </si>
  <si>
    <t>3201134605710004</t>
  </si>
  <si>
    <t>Sosiologi dan Administrasi Negara Universitas Jenderal Soedirman Tahun 1996</t>
  </si>
  <si>
    <t>H. Muhammad Uswannas, S.Ag</t>
  </si>
  <si>
    <t>197003272006041002</t>
  </si>
  <si>
    <t>3404122703700009</t>
  </si>
  <si>
    <t xml:space="preserve">IAIN Sunan Kalijaga, Peradilan Agama </t>
  </si>
  <si>
    <t>Suharjono</t>
  </si>
  <si>
    <t>197412242009101002</t>
  </si>
  <si>
    <t>3402092412740001</t>
  </si>
  <si>
    <t>Negeri Bantul</t>
  </si>
  <si>
    <t>Bogiyo</t>
  </si>
  <si>
    <t>08-04-1968</t>
  </si>
  <si>
    <t>196804082009011003</t>
  </si>
  <si>
    <t>3402150804680002</t>
  </si>
  <si>
    <t>Kisnanto</t>
  </si>
  <si>
    <t>24-08-1977</t>
  </si>
  <si>
    <t>197708242009101001</t>
  </si>
  <si>
    <t>3402092408770002</t>
  </si>
  <si>
    <t>Patria Bantul</t>
  </si>
  <si>
    <t xml:space="preserve">FAKULTAS EKONOMI DAN BISNIS ISLAM </t>
  </si>
  <si>
    <t>Edi Yusuf  Setiabudi, SE</t>
  </si>
  <si>
    <t>197112271993031001</t>
  </si>
  <si>
    <t>3402462712710004</t>
  </si>
  <si>
    <t xml:space="preserve">Kabag. TU FEBI </t>
  </si>
  <si>
    <t xml:space="preserve">S1 Fak. Ekonomi Ekonomi Tahun 2001 </t>
  </si>
  <si>
    <t>Dra. Ermas Andriyani</t>
  </si>
  <si>
    <t>196808071990032001</t>
  </si>
  <si>
    <t>3404024708680001</t>
  </si>
  <si>
    <t>Univ. Muhammadiyah Jakarta, Ilmu Kesejahteraan Sosial</t>
  </si>
  <si>
    <t xml:space="preserve">Susan Herawati, S.Pd. </t>
  </si>
  <si>
    <t>196911191997022001</t>
  </si>
  <si>
    <t>3404025911690001</t>
  </si>
  <si>
    <t>IKP Negeri Yogyakarta, Kependidikan</t>
  </si>
  <si>
    <t>Sulistyantoro Pangarso, SE., M.S.I.</t>
  </si>
  <si>
    <t>197202182000031002</t>
  </si>
  <si>
    <t>3404061802720003</t>
  </si>
  <si>
    <t>Eknomi Islam UII 2008</t>
  </si>
  <si>
    <t>Herin Ratnaningsih, S.Pd.</t>
  </si>
  <si>
    <t xml:space="preserve">198211162009122003 </t>
  </si>
  <si>
    <t>3401045611820001</t>
  </si>
  <si>
    <t>Pendidikan Bahasa Inggris UAD Tahun 2004</t>
  </si>
  <si>
    <t>Juan Pranarka Ardian, SE</t>
  </si>
  <si>
    <t>198807062011011004</t>
  </si>
  <si>
    <t>3306060607880003</t>
  </si>
  <si>
    <t>Ekonomi</t>
  </si>
  <si>
    <t>Muhammad Mauludin, S.IP</t>
  </si>
  <si>
    <t>197101151994031004</t>
  </si>
  <si>
    <t>3404171501710002</t>
  </si>
  <si>
    <t>STISIPOL Kartika Bangsa, Tahun 2004</t>
  </si>
  <si>
    <t>01-02-2029</t>
  </si>
  <si>
    <t>Murdiyono</t>
  </si>
  <si>
    <t>196807101993031001</t>
  </si>
  <si>
    <t>3404121007680008</t>
  </si>
  <si>
    <t>Tahun 1988</t>
  </si>
  <si>
    <t>01-08-2026</t>
  </si>
  <si>
    <t>Setiarini, SH.</t>
  </si>
  <si>
    <t>197309251997032001</t>
  </si>
  <si>
    <t>3404126509730003</t>
  </si>
  <si>
    <t>Ilmu Hukum 2006</t>
  </si>
  <si>
    <t>Miskidi</t>
  </si>
  <si>
    <t>05-07-1969</t>
  </si>
  <si>
    <t>196907052007011073</t>
  </si>
  <si>
    <t>3401060507690001</t>
  </si>
  <si>
    <t>Pendidikan SD Tahun 1990</t>
  </si>
  <si>
    <t>Khumaidi</t>
  </si>
  <si>
    <t>08-09-1973</t>
  </si>
  <si>
    <t>197309082009101002</t>
  </si>
  <si>
    <t>Nashiruddin Asshiddiqi, A.Md.</t>
  </si>
  <si>
    <t>18-12-1989</t>
  </si>
  <si>
    <t>198912182022031002</t>
  </si>
  <si>
    <t>'3319021812890001</t>
  </si>
  <si>
    <t>Akuntansi Universitas Dian Nuswantoro / UDINUS</t>
  </si>
  <si>
    <t>Subagiyo</t>
  </si>
  <si>
    <t>20-01-1980</t>
  </si>
  <si>
    <t>198001202009101001</t>
  </si>
  <si>
    <t>3402152001800004</t>
  </si>
  <si>
    <t>Pelita Buana Sewon Bantul</t>
  </si>
  <si>
    <t>TMT MJD DOSEN</t>
  </si>
  <si>
    <t>MATA KULIAH/BIDANG ILMU</t>
  </si>
  <si>
    <t>Moh. Khoerul Anwar, S.Pd., M.Pd., Ph.D.</t>
  </si>
  <si>
    <t>199111010000001301</t>
  </si>
  <si>
    <t xml:space="preserve">Indramayu  </t>
  </si>
  <si>
    <t>Ketua Program Studi Magister Bimbingan dan Konseling Islam</t>
  </si>
  <si>
    <t>Educational and Developmental Psychology,  Central China Normal University, 2023</t>
  </si>
  <si>
    <t>2001119101</t>
  </si>
  <si>
    <t>222100517755</t>
  </si>
  <si>
    <t>3212270111910001</t>
  </si>
  <si>
    <t>Bimbingan &amp; Konseling</t>
  </si>
  <si>
    <t>1 Desember 2056</t>
  </si>
  <si>
    <t>Alex Fahrur Riza, SE., M.Sc.</t>
  </si>
  <si>
    <t>199004120000001301</t>
  </si>
  <si>
    <t xml:space="preserve">Kudus </t>
  </si>
  <si>
    <t>01/10/2020</t>
  </si>
  <si>
    <t>Manajemen, Universitas Gadjah Mada, 2016</t>
  </si>
  <si>
    <t>2012049001</t>
  </si>
  <si>
    <t>222100517765</t>
  </si>
  <si>
    <t xml:space="preserve"> 3319041204900006</t>
  </si>
  <si>
    <t>Perbankan Syari’ah (S1)</t>
  </si>
  <si>
    <t>1 Mei 2055</t>
  </si>
  <si>
    <t>Hasan Al Banna, SEI., M.E.</t>
  </si>
  <si>
    <t>199003120000001301</t>
  </si>
  <si>
    <t xml:space="preserve">Semarang </t>
  </si>
  <si>
    <t>Ketua Laboratorium Ekonomi</t>
  </si>
  <si>
    <t>Hukum Islam Kons. Keuangan dan Perbankan Syari'ah, UIN Sunan Kalijaga, 2016</t>
  </si>
  <si>
    <t>2012039001</t>
  </si>
  <si>
    <t>222100517768</t>
  </si>
  <si>
    <t>3374061203900001</t>
  </si>
  <si>
    <t>1 April 2055</t>
  </si>
  <si>
    <t>Anniza Citra Prajasari, SE.I., M.A.</t>
  </si>
  <si>
    <t>199203210000002301</t>
  </si>
  <si>
    <t xml:space="preserve">Malang </t>
  </si>
  <si>
    <t>Agama dan Lintas Budaya, Universitas Gajah Mada, 2016</t>
  </si>
  <si>
    <t>2021039201</t>
  </si>
  <si>
    <t>3402122704180004</t>
  </si>
  <si>
    <t>Ekonomi Syari'ah</t>
  </si>
  <si>
    <t>1 April 2057</t>
  </si>
  <si>
    <t>Syayyidah Maftuhatul Jannah, SE.,M.Sc.</t>
  </si>
  <si>
    <t>199206160000002301</t>
  </si>
  <si>
    <t>Manajemen, Universitas Gajah Mada, 2016</t>
  </si>
  <si>
    <t>2016069201</t>
  </si>
  <si>
    <t>222100517767</t>
  </si>
  <si>
    <t>3573055606920009</t>
  </si>
  <si>
    <t>1 Juli 2057</t>
  </si>
  <si>
    <t>Dr. Muhajir, S.Pd.I., M.S.I.</t>
  </si>
  <si>
    <t>198108140000001301</t>
  </si>
  <si>
    <t xml:space="preserve">Ngawi </t>
  </si>
  <si>
    <t xml:space="preserve">Ketua Pogram Studi Doktor (S3) Pendidikan Bahasa Arab </t>
  </si>
  <si>
    <t>Studi Islam Konsentrasi Kependidikan Islam, UIN Sunan Kalijaga, 2015</t>
  </si>
  <si>
    <t>2114088101</t>
  </si>
  <si>
    <t>3402041408810002</t>
  </si>
  <si>
    <t>1 September 2046</t>
  </si>
  <si>
    <t>Khoirul Anam, S.H.I.,M.S.I.</t>
  </si>
  <si>
    <t>197803300000001301</t>
  </si>
  <si>
    <t>UIN Sunan Kalijaga, Hukum Islam Konsentrasi Studi Politik dan Pemerintahan Tahun 2006</t>
  </si>
  <si>
    <t xml:space="preserve">2130037801 </t>
  </si>
  <si>
    <t>3471133003780001</t>
  </si>
  <si>
    <t>Fikih dan Ushul Fikih</t>
  </si>
  <si>
    <t>1 April 2043</t>
  </si>
  <si>
    <t>Abdul Aziz, M.Hum.</t>
  </si>
  <si>
    <t>199405080000001101</t>
  </si>
  <si>
    <t>Plt. Sekretaris Program Studi Sejarah Kebudayaan Islam</t>
  </si>
  <si>
    <t>Magister Sejarah Peradaban Islam UIN Sunan Kalijaga Yogyakarta Tahun 2020</t>
  </si>
  <si>
    <t>2008059401</t>
  </si>
  <si>
    <t>3317060805940002</t>
  </si>
  <si>
    <t>Fakultas Adab dan Ilmu Budaya</t>
  </si>
  <si>
    <t>Sejarah Kebudayaan Islam (S1)</t>
  </si>
  <si>
    <t>Dosen Sejarah Kebudayaan Islam</t>
  </si>
  <si>
    <t xml:space="preserve">Azis, M.A. </t>
  </si>
  <si>
    <t>198902090000001101</t>
  </si>
  <si>
    <t>Interdisciplinary Islamc Studies Konsentrasi Sejarah Kebudayaan Islam UIN Sunan Kalijaga Yogyakarta Tahun 2018</t>
  </si>
  <si>
    <t>2009028902</t>
  </si>
  <si>
    <t>3308130902890002</t>
  </si>
  <si>
    <t>Sejarah</t>
  </si>
  <si>
    <t>Diky Faqih Maulana, S.H., M.H.</t>
  </si>
  <si>
    <t>199702100000001101</t>
  </si>
  <si>
    <t>Ilmu Syariah Konsentrasi Hukum Ekonomi Syariah UIN Sunan Kalijaga Yogyakarta Tahun 2021</t>
  </si>
  <si>
    <t>2010029701</t>
  </si>
  <si>
    <t>3404071002970002</t>
  </si>
  <si>
    <t>Hukum Ekonomi Syari'ah (S1)</t>
  </si>
  <si>
    <t xml:space="preserve">Dosen Fikih  </t>
  </si>
  <si>
    <t>Muhammad Jihadul Hayat, S.H.I., M.H.</t>
  </si>
  <si>
    <t>199308270000001101</t>
  </si>
  <si>
    <t>Dasan Kulur</t>
  </si>
  <si>
    <t>Hukum Islam Konsentrasi Hukum Keluarga UIN Sunan Kalijaga Yogyakarta Tahun 2019</t>
  </si>
  <si>
    <t>2027089301</t>
  </si>
  <si>
    <t>5203132700830004</t>
  </si>
  <si>
    <t>Hukum Keluarga Islam (S1)</t>
  </si>
  <si>
    <t>Fiqih Kontemporer</t>
  </si>
  <si>
    <t>Himawan Putranta, M.Pd.</t>
  </si>
  <si>
    <t>199512110000001101</t>
  </si>
  <si>
    <t>Pendidikan Fisika Universitas Negeri Yogyakarta Tahun 2019</t>
  </si>
  <si>
    <t>2011129502</t>
  </si>
  <si>
    <t>3307061112950002</t>
  </si>
  <si>
    <t xml:space="preserve"> Pendidikan Fisika (S1)</t>
  </si>
  <si>
    <t>Dosen Pendidikan Fisika</t>
  </si>
  <si>
    <t>Nur Edi Prabha Susila Yahya, S.Th.I., M.Ag.</t>
  </si>
  <si>
    <t>198608170000001101</t>
  </si>
  <si>
    <t>Petugas Pelaksana Sekretaris Program Studi S1 Studi Islam</t>
  </si>
  <si>
    <t>Aqidah dan Filsafat Islam Konsentrasi Studi Al-Qur'an dan Hadis UIN Sunan Kalijaga Yogyakarta Tahun 2016</t>
  </si>
  <si>
    <t>2017088603</t>
  </si>
  <si>
    <t>3574041708860005</t>
  </si>
  <si>
    <t>Dr. Muhammad Anshori, M.Ag</t>
  </si>
  <si>
    <t>199209090000001101</t>
  </si>
  <si>
    <t>Kembang Kerang</t>
  </si>
  <si>
    <t>2009119204</t>
  </si>
  <si>
    <t>5203090909920010</t>
  </si>
  <si>
    <t>Dosen Ulumul Hadis</t>
  </si>
  <si>
    <t>Afifur Rochman Sya'rani, S. Ag., M.A.</t>
  </si>
  <si>
    <t>199405010000001101</t>
  </si>
  <si>
    <t>Agama dan Lintas Budaya UGM Tahun 2019</t>
  </si>
  <si>
    <t>2001059401</t>
  </si>
  <si>
    <t>3526110105940002</t>
  </si>
  <si>
    <t xml:space="preserve">Dosen Studi Agama-agama  </t>
  </si>
  <si>
    <t>Rizqi Umar Al Hashfi, SEI., M.Sc.</t>
  </si>
  <si>
    <t>199206300000001101</t>
  </si>
  <si>
    <t>Sains Manajemen UGM Tahun 2019</t>
  </si>
  <si>
    <t>2030069204</t>
  </si>
  <si>
    <t>3402063006920002</t>
  </si>
  <si>
    <t>Dosen Akuntansi Biaya dan Manajemen</t>
  </si>
  <si>
    <t>Dr. Andi Holilulloh, S.Pd.I., M.A.</t>
  </si>
  <si>
    <t>199005030000001101</t>
  </si>
  <si>
    <t>Serang</t>
  </si>
  <si>
    <t>Ketua Program Studi Magister Bahasa dan Sastra Arab</t>
  </si>
  <si>
    <t>Studi Islam Konsentrasi Studi Islam UIN Sunan Kalijaga Yogyakarta Tahun 2021</t>
  </si>
  <si>
    <t>2003059002</t>
  </si>
  <si>
    <t>3672040303920002</t>
  </si>
  <si>
    <t>Dr. Ahmad Fauzi, M.S.I</t>
  </si>
  <si>
    <t>198912080000001101</t>
  </si>
  <si>
    <t>Studi Islam Konsentrasi Studi Islam UIN Walisongo Semarang Tahun 2019</t>
  </si>
  <si>
    <t>2108128903</t>
  </si>
  <si>
    <t>3315180812890001</t>
  </si>
  <si>
    <t>Dosen Pemikiran Islam Klasik dan Kontemporer</t>
  </si>
  <si>
    <t>Erham Budi Wiranto, S.Th.I., M.A.</t>
  </si>
  <si>
    <t>198111220000001101</t>
  </si>
  <si>
    <t>Ilmu Agama dan Lintas Budaya UGM Tahun 2011</t>
  </si>
  <si>
    <t>2022118101</t>
  </si>
  <si>
    <t>3404062211810004</t>
  </si>
  <si>
    <t>Suharto, M.A.</t>
  </si>
  <si>
    <t>197406110000001101</t>
  </si>
  <si>
    <t>Indonesia</t>
  </si>
  <si>
    <t>International Institute of Social Studies of Erasmus University Rotterdam Tahun 2010</t>
  </si>
  <si>
    <t>2011067402</t>
  </si>
  <si>
    <t>3404121106740003</t>
  </si>
  <si>
    <t>Dosen Ilmu Ekonomi</t>
  </si>
  <si>
    <t>Kharisa Rachmi Khoirunisa, M.Sc</t>
  </si>
  <si>
    <t>199504160000002101</t>
  </si>
  <si>
    <t>Sains Akuntansi UGM Tahun 2021</t>
  </si>
  <si>
    <t>2016049502</t>
  </si>
  <si>
    <t>3307085604950002</t>
  </si>
  <si>
    <t>Dosen Akuntansi</t>
  </si>
  <si>
    <t>Risya Khaerun Nisa, S.E., M.Sc.</t>
  </si>
  <si>
    <t>199501310000002101</t>
  </si>
  <si>
    <t>Sains Akuntansi UGM Tahun 2020</t>
  </si>
  <si>
    <t>3215177101950002</t>
  </si>
  <si>
    <t>Salwa Faeha Hanim, S.H., M.H</t>
  </si>
  <si>
    <t>199505290000002101</t>
  </si>
  <si>
    <t>Ilmu Hukum (Peminatan Hukum Ekonomi Islam) UI Tahun 2019</t>
  </si>
  <si>
    <t>2029059502</t>
  </si>
  <si>
    <t>3501066905950001</t>
  </si>
  <si>
    <t>Dosen Hukum Perdata Islam</t>
  </si>
  <si>
    <t>Imas Lu'ul Jannah, M.A.</t>
  </si>
  <si>
    <t>199401130000002101</t>
  </si>
  <si>
    <t>Sriwaluyo</t>
  </si>
  <si>
    <t>Interdisciplinary Islamc Studies Konsentrasi Hermeneutika Al-Qur'an UIN Sunan Kalijaga Yogyakarta Tahun 2020</t>
  </si>
  <si>
    <t>2013019401</t>
  </si>
  <si>
    <t>1802045301940001</t>
  </si>
  <si>
    <t>Meta Puspitasari, M.A.</t>
  </si>
  <si>
    <t>199004180000002101</t>
  </si>
  <si>
    <t>1810085804900003</t>
  </si>
  <si>
    <t>Sri Hidayati, M.Sc.</t>
  </si>
  <si>
    <t>199405270000002101</t>
  </si>
  <si>
    <t>Magister Fisika Fakultas Matematika dan Ilmu Pengetahuan Alam Universitas Gadjah Mada Tahun 2020</t>
  </si>
  <si>
    <t>2027059401</t>
  </si>
  <si>
    <t>3304036705940003</t>
  </si>
  <si>
    <t xml:space="preserve">Fakultas Sains dan Teknologi </t>
  </si>
  <si>
    <t>Dosen Fisika</t>
  </si>
  <si>
    <t>Durrotul Masudah, M.A.</t>
  </si>
  <si>
    <t>199202010000002101</t>
  </si>
  <si>
    <t>Department of Communication Sciences Kocaeli University Tahun 2019</t>
  </si>
  <si>
    <t>3323054102920001</t>
  </si>
  <si>
    <t>Fakultas Ilmu Sosial dan Humaniora</t>
  </si>
  <si>
    <t>Perspektif Teori Ekonomi</t>
  </si>
  <si>
    <t>Dhiyaul Aulia Zulni, M.E.</t>
  </si>
  <si>
    <t>199511090000002101</t>
  </si>
  <si>
    <t>Universitas Islam Indonesia Tahun 2021</t>
  </si>
  <si>
    <t>3402124911950002</t>
  </si>
  <si>
    <t>Ekonomi Syariah (S1)</t>
  </si>
  <si>
    <t>Dosen Ilmu Ekonomi Islam</t>
  </si>
  <si>
    <t>Prof. Dr. H. Iskandar Zulkarnain</t>
  </si>
  <si>
    <t xml:space="preserve"> 194909140000001301</t>
  </si>
  <si>
    <t>14-09-1949</t>
  </si>
  <si>
    <t>Profesor/Guru Besar Tidak Tetap</t>
  </si>
  <si>
    <t>IAIN Syarif Hidayatullah Tahun 2000</t>
  </si>
  <si>
    <t>,</t>
  </si>
  <si>
    <t>3404071409490001</t>
  </si>
  <si>
    <t>Count of Jk PEGAWAI KONTRAK BLU BARU 2025</t>
  </si>
  <si>
    <t>Count of PDDK DOSEN TETAP BUKAN PNS</t>
  </si>
  <si>
    <t>Total</t>
  </si>
  <si>
    <t>Grand Total</t>
  </si>
  <si>
    <t>Count of JK PEGAWAI TETAP BLU</t>
  </si>
  <si>
    <t>Count of PDDK DATA PEGAWAI</t>
  </si>
  <si>
    <t>Count of JK DOSEN P3K</t>
  </si>
  <si>
    <t>Count of JK PEGAWAI P3K</t>
  </si>
  <si>
    <t>Count of JK DOSEN PNS</t>
  </si>
  <si>
    <t>Count of PDDK DOSEN PNS</t>
  </si>
  <si>
    <t>Count of JK DATA PEGAWAI</t>
  </si>
  <si>
    <t>Count of PDDK DOSEN P3K</t>
  </si>
  <si>
    <t>Count of JK DOSEN TETAP BUKAN PNS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</si>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</sst>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dd\-mm\-yyyy"/>
    <numFmt numFmtId="166" formatCode="000"/>
    <numFmt numFmtId="167" formatCode="dd\-m\-yyyy"/>
    <numFmt numFmtId="168" formatCode="#,000_);[Red]\(#,000\)"/>
  </numFmts>
  <fonts count="37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Tahoma"/>
      <family val="2"/>
    </font>
    <font>
      <b/>
      <sz val="9"/>
      <color theme="1"/>
      <name val="Arial"/>
      <family val="2"/>
    </font>
    <font>
      <sz val="11"/>
      <color rgb="FF000000"/>
      <name val="Times New Roman"/>
      <family val="1"/>
    </font>
    <font>
      <sz val="11"/>
      <color theme="1"/>
      <name val="Calibri"/>
      <family val="2"/>
    </font>
    <font>
      <sz val="10"/>
      <color theme="1"/>
      <name val="Tahoma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1"/>
      <color rgb="FF333333"/>
      <name val="Calibri"/>
      <family val="2"/>
    </font>
    <font>
      <sz val="11"/>
      <color rgb="FFFF0000"/>
      <name val="Calibri"/>
      <family val="2"/>
    </font>
    <font>
      <sz val="11"/>
      <color rgb="FF800000"/>
      <name val="Cambria"/>
      <family val="1"/>
    </font>
    <font>
      <sz val="10"/>
      <color rgb="FF000000"/>
      <name val="Times New Roman"/>
      <family val="1"/>
    </font>
    <font>
      <sz val="8"/>
      <color rgb="FF000000"/>
      <name val="Quattrocento Sans"/>
    </font>
    <font>
      <sz val="10"/>
      <color rgb="FF333333"/>
      <name val="Tahoma"/>
      <family val="2"/>
    </font>
    <font>
      <sz val="11"/>
      <color theme="1"/>
      <name val="Arial"/>
      <family val="2"/>
    </font>
    <font>
      <b/>
      <sz val="11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b/>
      <i/>
      <sz val="10"/>
      <color theme="1"/>
      <name val="Tahoma"/>
      <family val="2"/>
    </font>
    <font>
      <sz val="10"/>
      <color rgb="FF000000"/>
      <name val="Quattrocento Sans"/>
    </font>
    <font>
      <sz val="10"/>
      <color rgb="FFFF6600"/>
      <name val="Tahoma"/>
      <family val="2"/>
    </font>
    <font>
      <b/>
      <i/>
      <sz val="10"/>
      <color rgb="FF000000"/>
      <name val="Tahoma"/>
      <family val="2"/>
    </font>
    <font>
      <i/>
      <sz val="10"/>
      <color rgb="FF000000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Calibri"/>
      <family val="2"/>
    </font>
    <font>
      <u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800080"/>
      </left>
      <right style="thin">
        <color rgb="FF800080"/>
      </right>
      <top style="thin">
        <color rgb="FF800080"/>
      </top>
      <bottom style="thin">
        <color rgb="FF800080"/>
      </bottom>
      <diagonal/>
    </border>
    <border>
      <left/>
      <right/>
      <top style="thin">
        <color rgb="FF800080"/>
      </top>
      <bottom style="thin">
        <color rgb="FF800080"/>
      </bottom>
      <diagonal/>
    </border>
    <border>
      <left style="thin">
        <color rgb="FF800080"/>
      </left>
      <right/>
      <top style="thin">
        <color rgb="FF800080"/>
      </top>
      <bottom style="thin">
        <color rgb="FF80008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/>
      <bottom/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9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49" fontId="1" fillId="3" borderId="4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15" fontId="1" fillId="3" borderId="2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vertical="center"/>
    </xf>
    <xf numFmtId="1" fontId="1" fillId="3" borderId="2" xfId="0" applyNumberFormat="1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15" fontId="9" fillId="3" borderId="2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left" vertical="center" wrapText="1"/>
    </xf>
    <xf numFmtId="1" fontId="1" fillId="3" borderId="2" xfId="0" applyNumberFormat="1" applyFont="1" applyFill="1" applyBorder="1" applyAlignment="1">
      <alignment vertical="center" wrapText="1"/>
    </xf>
    <xf numFmtId="14" fontId="1" fillId="3" borderId="2" xfId="0" applyNumberFormat="1" applyFont="1" applyFill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vertical="center" wrapText="1"/>
    </xf>
    <xf numFmtId="1" fontId="9" fillId="3" borderId="2" xfId="0" applyNumberFormat="1" applyFont="1" applyFill="1" applyBorder="1" applyAlignment="1">
      <alignment horizontal="left" vertical="center" wrapText="1"/>
    </xf>
    <xf numFmtId="1" fontId="1" fillId="3" borderId="6" xfId="0" applyNumberFormat="1" applyFont="1" applyFill="1" applyBorder="1" applyAlignment="1">
      <alignment horizontal="left" vertical="center" wrapText="1"/>
    </xf>
    <xf numFmtId="15" fontId="9" fillId="3" borderId="3" xfId="0" applyNumberFormat="1" applyFont="1" applyFill="1" applyBorder="1" applyAlignment="1">
      <alignment horizontal="center" vertical="center" wrapText="1"/>
    </xf>
    <xf numFmtId="15" fontId="2" fillId="3" borderId="2" xfId="0" applyNumberFormat="1" applyFont="1" applyFill="1" applyBorder="1"/>
    <xf numFmtId="1" fontId="1" fillId="3" borderId="3" xfId="0" applyNumberFormat="1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vertical="center" wrapText="1"/>
    </xf>
    <xf numFmtId="49" fontId="1" fillId="3" borderId="2" xfId="0" applyNumberFormat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14" fontId="1" fillId="3" borderId="3" xfId="0" applyNumberFormat="1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vertical="center"/>
    </xf>
    <xf numFmtId="15" fontId="1" fillId="3" borderId="3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49" fontId="1" fillId="0" borderId="0" xfId="0" applyNumberFormat="1" applyFont="1"/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14" fontId="9" fillId="3" borderId="2" xfId="0" applyNumberFormat="1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vertical="center" wrapText="1"/>
    </xf>
    <xf numFmtId="164" fontId="14" fillId="3" borderId="8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 wrapText="1"/>
    </xf>
    <xf numFmtId="14" fontId="12" fillId="3" borderId="2" xfId="0" applyNumberFormat="1" applyFont="1" applyFill="1" applyBorder="1" applyAlignment="1">
      <alignment horizontal="center" vertical="center" wrapText="1"/>
    </xf>
    <xf numFmtId="14" fontId="13" fillId="3" borderId="2" xfId="0" applyNumberFormat="1" applyFont="1" applyFill="1" applyBorder="1" applyAlignment="1">
      <alignment horizontal="left" vertical="center" wrapText="1"/>
    </xf>
    <xf numFmtId="14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1" fontId="16" fillId="3" borderId="2" xfId="0" applyNumberFormat="1" applyFont="1" applyFill="1" applyBorder="1" applyAlignment="1">
      <alignment horizontal="left" vertical="top"/>
    </xf>
    <xf numFmtId="0" fontId="12" fillId="3" borderId="2" xfId="0" applyFont="1" applyFill="1" applyBorder="1" applyAlignment="1">
      <alignment horizontal="center" vertical="center" wrapText="1"/>
    </xf>
    <xf numFmtId="1" fontId="9" fillId="3" borderId="2" xfId="0" applyNumberFormat="1" applyFont="1" applyFill="1" applyBorder="1" applyAlignment="1">
      <alignment horizontal="left" vertical="top"/>
    </xf>
    <xf numFmtId="1" fontId="9" fillId="3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1" fillId="3" borderId="1" xfId="0" applyFont="1" applyFill="1" applyBorder="1" applyAlignment="1">
      <alignment horizontal="left"/>
    </xf>
    <xf numFmtId="49" fontId="1" fillId="3" borderId="1" xfId="0" applyNumberFormat="1" applyFont="1" applyFill="1" applyBorder="1"/>
    <xf numFmtId="0" fontId="1" fillId="3" borderId="2" xfId="0" applyFont="1" applyFill="1" applyBorder="1"/>
    <xf numFmtId="0" fontId="9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9" fillId="0" borderId="0" xfId="0" applyFont="1"/>
    <xf numFmtId="15" fontId="1" fillId="3" borderId="2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10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 wrapText="1"/>
    </xf>
    <xf numFmtId="14" fontId="2" fillId="2" borderId="12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165" fontId="2" fillId="2" borderId="12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vertical="top"/>
    </xf>
    <xf numFmtId="0" fontId="1" fillId="2" borderId="6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14" fontId="1" fillId="2" borderId="6" xfId="0" applyNumberFormat="1" applyFont="1" applyFill="1" applyBorder="1" applyAlignment="1">
      <alignment horizontal="center"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165" fontId="1" fillId="2" borderId="6" xfId="0" applyNumberFormat="1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14" fontId="2" fillId="2" borderId="2" xfId="0" applyNumberFormat="1" applyFont="1" applyFill="1" applyBorder="1" applyAlignment="1">
      <alignment horizontal="center" vertical="top"/>
    </xf>
    <xf numFmtId="165" fontId="2" fillId="2" borderId="2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top"/>
    </xf>
    <xf numFmtId="0" fontId="9" fillId="2" borderId="2" xfId="0" applyFont="1" applyFill="1" applyBorder="1" applyAlignment="1">
      <alignment vertical="top"/>
    </xf>
    <xf numFmtId="165" fontId="1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vertical="center" wrapText="1"/>
    </xf>
    <xf numFmtId="0" fontId="9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vertical="center"/>
    </xf>
    <xf numFmtId="165" fontId="9" fillId="3" borderId="2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left" vertical="center" wrapText="1"/>
    </xf>
    <xf numFmtId="165" fontId="9" fillId="3" borderId="2" xfId="0" applyNumberFormat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 vertical="center" wrapText="1"/>
    </xf>
    <xf numFmtId="165" fontId="1" fillId="3" borderId="2" xfId="0" applyNumberFormat="1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left" vertical="center"/>
    </xf>
    <xf numFmtId="14" fontId="1" fillId="3" borderId="2" xfId="0" applyNumberFormat="1" applyFont="1" applyFill="1" applyBorder="1" applyAlignment="1">
      <alignment vertical="center"/>
    </xf>
    <xf numFmtId="0" fontId="9" fillId="3" borderId="2" xfId="0" applyFont="1" applyFill="1" applyBorder="1"/>
    <xf numFmtId="0" fontId="17" fillId="3" borderId="2" xfId="0" applyFont="1" applyFill="1" applyBorder="1" applyAlignment="1">
      <alignment horizontal="left" vertical="top"/>
    </xf>
    <xf numFmtId="1" fontId="1" fillId="3" borderId="2" xfId="0" applyNumberFormat="1" applyFont="1" applyFill="1" applyBorder="1" applyAlignment="1">
      <alignment horizontal="center"/>
    </xf>
    <xf numFmtId="166" fontId="1" fillId="3" borderId="2" xfId="0" applyNumberFormat="1" applyFont="1" applyFill="1" applyBorder="1" applyAlignment="1">
      <alignment horizontal="left" vertical="center" wrapText="1"/>
    </xf>
    <xf numFmtId="166" fontId="1" fillId="3" borderId="2" xfId="0" applyNumberFormat="1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165" fontId="9" fillId="3" borderId="2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wrapText="1"/>
    </xf>
    <xf numFmtId="0" fontId="11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/>
    </xf>
    <xf numFmtId="1" fontId="17" fillId="3" borderId="2" xfId="0" applyNumberFormat="1" applyFont="1" applyFill="1" applyBorder="1" applyAlignment="1">
      <alignment horizontal="left" vertical="top"/>
    </xf>
    <xf numFmtId="0" fontId="1" fillId="4" borderId="2" xfId="0" applyFont="1" applyFill="1" applyBorder="1" applyAlignment="1">
      <alignment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9" fillId="4" borderId="2" xfId="0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vertical="center"/>
    </xf>
    <xf numFmtId="0" fontId="15" fillId="3" borderId="2" xfId="0" applyFont="1" applyFill="1" applyBorder="1" applyAlignment="1">
      <alignment vertical="center" wrapText="1"/>
    </xf>
    <xf numFmtId="167" fontId="1" fillId="3" borderId="2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vertical="top" wrapText="1"/>
    </xf>
    <xf numFmtId="0" fontId="19" fillId="3" borderId="2" xfId="0" applyFont="1" applyFill="1" applyBorder="1" applyAlignment="1">
      <alignment horizontal="center" vertical="center"/>
    </xf>
    <xf numFmtId="165" fontId="19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vertical="center" wrapText="1"/>
    </xf>
    <xf numFmtId="1" fontId="1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165" fontId="10" fillId="3" borderId="2" xfId="0" applyNumberFormat="1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65" fontId="10" fillId="3" borderId="2" xfId="0" applyNumberFormat="1" applyFont="1" applyFill="1" applyBorder="1" applyAlignment="1">
      <alignment horizontal="center" vertical="center" wrapText="1"/>
    </xf>
    <xf numFmtId="1" fontId="20" fillId="3" borderId="2" xfId="0" applyNumberFormat="1" applyFont="1" applyFill="1" applyBorder="1" applyAlignment="1">
      <alignment horizontal="left" vertical="top"/>
    </xf>
    <xf numFmtId="0" fontId="10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1" fontId="10" fillId="3" borderId="2" xfId="0" applyNumberFormat="1" applyFont="1" applyFill="1" applyBorder="1" applyAlignment="1">
      <alignment horizontal="center" vertical="center" wrapText="1"/>
    </xf>
    <xf numFmtId="165" fontId="10" fillId="3" borderId="2" xfId="0" applyNumberFormat="1" applyFont="1" applyFill="1" applyBorder="1" applyAlignment="1">
      <alignment horizontal="left" vertical="center" wrapText="1"/>
    </xf>
    <xf numFmtId="0" fontId="21" fillId="0" borderId="2" xfId="0" applyFont="1" applyBorder="1" applyAlignment="1">
      <alignment wrapText="1"/>
    </xf>
    <xf numFmtId="0" fontId="9" fillId="3" borderId="1" xfId="0" applyFont="1" applyFill="1" applyBorder="1" applyAlignment="1">
      <alignment vertical="center"/>
    </xf>
    <xf numFmtId="0" fontId="22" fillId="3" borderId="2" xfId="0" applyFont="1" applyFill="1" applyBorder="1" applyAlignment="1">
      <alignment wrapText="1"/>
    </xf>
    <xf numFmtId="49" fontId="9" fillId="3" borderId="2" xfId="0" applyNumberFormat="1" applyFont="1" applyFill="1" applyBorder="1" applyAlignment="1">
      <alignment horizontal="left" vertical="center" wrapText="1"/>
    </xf>
    <xf numFmtId="49" fontId="8" fillId="3" borderId="2" xfId="0" applyNumberFormat="1" applyFont="1" applyFill="1" applyBorder="1" applyAlignment="1">
      <alignment horizontal="left" vertical="center" wrapText="1"/>
    </xf>
    <xf numFmtId="165" fontId="1" fillId="3" borderId="2" xfId="0" applyNumberFormat="1" applyFont="1" applyFill="1" applyBorder="1" applyAlignment="1">
      <alignment horizontal="left" vertical="center"/>
    </xf>
    <xf numFmtId="0" fontId="22" fillId="3" borderId="2" xfId="0" applyFont="1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left" vertical="center"/>
    </xf>
    <xf numFmtId="1" fontId="1" fillId="3" borderId="2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/>
    </xf>
    <xf numFmtId="166" fontId="1" fillId="3" borderId="3" xfId="0" applyNumberFormat="1" applyFont="1" applyFill="1" applyBorder="1" applyAlignment="1">
      <alignment horizontal="left" vertical="center" wrapText="1"/>
    </xf>
    <xf numFmtId="166" fontId="1" fillId="3" borderId="3" xfId="0" applyNumberFormat="1" applyFont="1" applyFill="1" applyBorder="1" applyAlignment="1">
      <alignment vertical="center" wrapText="1"/>
    </xf>
    <xf numFmtId="49" fontId="1" fillId="3" borderId="3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14" fontId="1" fillId="3" borderId="3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/>
    </xf>
    <xf numFmtId="49" fontId="23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9" fillId="3" borderId="2" xfId="0" applyNumberFormat="1" applyFont="1" applyFill="1" applyBorder="1" applyAlignment="1">
      <alignment vertical="center"/>
    </xf>
    <xf numFmtId="168" fontId="1" fillId="3" borderId="2" xfId="0" applyNumberFormat="1" applyFont="1" applyFill="1" applyBorder="1" applyAlignment="1">
      <alignment horizontal="center" vertical="center"/>
    </xf>
    <xf numFmtId="165" fontId="17" fillId="3" borderId="2" xfId="0" applyNumberFormat="1" applyFont="1" applyFill="1" applyBorder="1" applyAlignment="1">
      <alignment horizontal="left" vertical="top" wrapText="1"/>
    </xf>
    <xf numFmtId="0" fontId="17" fillId="3" borderId="2" xfId="0" applyFont="1" applyFill="1" applyBorder="1" applyAlignment="1">
      <alignment vertical="top"/>
    </xf>
    <xf numFmtId="0" fontId="24" fillId="3" borderId="2" xfId="0" applyFont="1" applyFill="1" applyBorder="1" applyAlignment="1">
      <alignment wrapText="1"/>
    </xf>
    <xf numFmtId="0" fontId="11" fillId="3" borderId="1" xfId="0" applyFont="1" applyFill="1" applyBorder="1" applyAlignment="1">
      <alignment vertical="center"/>
    </xf>
    <xf numFmtId="14" fontId="9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0" fontId="26" fillId="3" borderId="3" xfId="0" applyFont="1" applyFill="1" applyBorder="1" applyAlignment="1">
      <alignment vertical="center"/>
    </xf>
    <xf numFmtId="0" fontId="26" fillId="0" borderId="15" xfId="0" applyFont="1" applyBorder="1" applyAlignment="1">
      <alignment horizontal="center" vertical="center"/>
    </xf>
    <xf numFmtId="49" fontId="26" fillId="0" borderId="15" xfId="0" applyNumberFormat="1" applyFont="1" applyBorder="1" applyAlignment="1">
      <alignment horizontal="center" vertical="center"/>
    </xf>
    <xf numFmtId="49" fontId="26" fillId="2" borderId="3" xfId="0" applyNumberFormat="1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 wrapText="1"/>
    </xf>
    <xf numFmtId="165" fontId="26" fillId="0" borderId="15" xfId="0" applyNumberFormat="1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3" borderId="6" xfId="0" applyFont="1" applyFill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165" fontId="26" fillId="0" borderId="16" xfId="0" applyNumberFormat="1" applyFont="1" applyBorder="1" applyAlignment="1">
      <alignment horizontal="center" vertical="center"/>
    </xf>
    <xf numFmtId="0" fontId="26" fillId="0" borderId="16" xfId="0" applyFont="1" applyBorder="1" applyAlignment="1">
      <alignment horizontal="left" vertical="center"/>
    </xf>
    <xf numFmtId="0" fontId="27" fillId="3" borderId="3" xfId="0" applyFont="1" applyFill="1" applyBorder="1" applyAlignment="1">
      <alignment vertical="center"/>
    </xf>
    <xf numFmtId="0" fontId="27" fillId="2" borderId="3" xfId="0" applyFont="1" applyFill="1" applyBorder="1" applyAlignment="1">
      <alignment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left" vertical="center"/>
    </xf>
    <xf numFmtId="0" fontId="28" fillId="2" borderId="3" xfId="0" applyFont="1" applyFill="1" applyBorder="1" applyAlignment="1">
      <alignment horizontal="center" vertical="center"/>
    </xf>
    <xf numFmtId="49" fontId="27" fillId="2" borderId="3" xfId="0" applyNumberFormat="1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left" vertical="center" wrapText="1"/>
    </xf>
    <xf numFmtId="165" fontId="28" fillId="2" borderId="3" xfId="0" applyNumberFormat="1" applyFont="1" applyFill="1" applyBorder="1" applyAlignment="1">
      <alignment horizontal="center" vertical="center"/>
    </xf>
    <xf numFmtId="165" fontId="27" fillId="2" borderId="3" xfId="0" applyNumberFormat="1" applyFont="1" applyFill="1" applyBorder="1" applyAlignment="1">
      <alignment horizontal="center" vertical="center"/>
    </xf>
    <xf numFmtId="14" fontId="14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1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vertical="center"/>
    </xf>
    <xf numFmtId="0" fontId="29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left" vertical="center"/>
    </xf>
    <xf numFmtId="0" fontId="1" fillId="0" borderId="2" xfId="0" applyFont="1" applyBorder="1"/>
    <xf numFmtId="14" fontId="10" fillId="3" borderId="2" xfId="0" applyNumberFormat="1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vertical="center"/>
    </xf>
    <xf numFmtId="0" fontId="26" fillId="3" borderId="2" xfId="0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vertical="center"/>
    </xf>
    <xf numFmtId="0" fontId="26" fillId="3" borderId="2" xfId="0" applyFont="1" applyFill="1" applyBorder="1" applyAlignment="1">
      <alignment vertical="center" wrapText="1"/>
    </xf>
    <xf numFmtId="165" fontId="26" fillId="3" borderId="2" xfId="0" applyNumberFormat="1" applyFont="1" applyFill="1" applyBorder="1" applyAlignment="1">
      <alignment vertical="center"/>
    </xf>
    <xf numFmtId="0" fontId="10" fillId="3" borderId="4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26" fillId="3" borderId="2" xfId="0" applyFont="1" applyFill="1" applyBorder="1" applyAlignment="1">
      <alignment horizontal="left" vertical="center"/>
    </xf>
    <xf numFmtId="0" fontId="31" fillId="3" borderId="2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left" vertical="center" wrapText="1"/>
    </xf>
    <xf numFmtId="165" fontId="32" fillId="3" borderId="2" xfId="0" applyNumberFormat="1" applyFont="1" applyFill="1" applyBorder="1" applyAlignment="1">
      <alignment horizontal="center" vertical="center"/>
    </xf>
    <xf numFmtId="165" fontId="31" fillId="3" borderId="2" xfId="0" applyNumberFormat="1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165" fontId="6" fillId="3" borderId="6" xfId="0" applyNumberFormat="1" applyFont="1" applyFill="1" applyBorder="1" applyAlignment="1">
      <alignment horizontal="center" vertical="center"/>
    </xf>
    <xf numFmtId="49" fontId="23" fillId="3" borderId="6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 wrapText="1"/>
    </xf>
    <xf numFmtId="165" fontId="1" fillId="3" borderId="6" xfId="0" applyNumberFormat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left" vertical="center"/>
    </xf>
    <xf numFmtId="165" fontId="26" fillId="3" borderId="2" xfId="0" applyNumberFormat="1" applyFont="1" applyFill="1" applyBorder="1" applyAlignment="1">
      <alignment horizontal="center" vertical="center"/>
    </xf>
    <xf numFmtId="49" fontId="33" fillId="3" borderId="2" xfId="0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left" vertical="center"/>
    </xf>
    <xf numFmtId="165" fontId="27" fillId="3" borderId="2" xfId="0" applyNumberFormat="1" applyFont="1" applyFill="1" applyBorder="1" applyAlignment="1">
      <alignment horizontal="center" vertical="center"/>
    </xf>
    <xf numFmtId="49" fontId="27" fillId="3" borderId="2" xfId="0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vertical="center" wrapText="1"/>
    </xf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vertical="center" wrapText="1"/>
    </xf>
    <xf numFmtId="165" fontId="27" fillId="3" borderId="2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vertical="center"/>
    </xf>
    <xf numFmtId="165" fontId="6" fillId="3" borderId="2" xfId="0" applyNumberFormat="1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 wrapText="1"/>
    </xf>
    <xf numFmtId="0" fontId="27" fillId="3" borderId="2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/>
    </xf>
    <xf numFmtId="165" fontId="10" fillId="3" borderId="3" xfId="0" applyNumberFormat="1" applyFont="1" applyFill="1" applyBorder="1" applyAlignment="1">
      <alignment horizontal="center" vertical="center"/>
    </xf>
    <xf numFmtId="165" fontId="10" fillId="3" borderId="3" xfId="0" applyNumberFormat="1" applyFont="1" applyFill="1" applyBorder="1" applyAlignment="1">
      <alignment horizontal="center" vertical="center" wrapText="1"/>
    </xf>
    <xf numFmtId="49" fontId="10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right" vertical="center" wrapText="1"/>
    </xf>
    <xf numFmtId="164" fontId="14" fillId="3" borderId="2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top" wrapText="1"/>
    </xf>
    <xf numFmtId="14" fontId="1" fillId="3" borderId="2" xfId="0" applyNumberFormat="1" applyFont="1" applyFill="1" applyBorder="1" applyAlignment="1">
      <alignment vertical="top" wrapText="1"/>
    </xf>
    <xf numFmtId="49" fontId="1" fillId="3" borderId="2" xfId="0" applyNumberFormat="1" applyFont="1" applyFill="1" applyBorder="1" applyAlignment="1">
      <alignment horizontal="right" vertical="center" wrapText="1"/>
    </xf>
    <xf numFmtId="0" fontId="35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top"/>
    </xf>
    <xf numFmtId="1" fontId="16" fillId="3" borderId="2" xfId="0" applyNumberFormat="1" applyFont="1" applyFill="1" applyBorder="1" applyAlignment="1">
      <alignment horizontal="center" vertical="top"/>
    </xf>
    <xf numFmtId="14" fontId="13" fillId="3" borderId="2" xfId="0" applyNumberFormat="1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vertical="center" wrapText="1"/>
    </xf>
    <xf numFmtId="14" fontId="13" fillId="3" borderId="7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/>
    <xf numFmtId="14" fontId="1" fillId="2" borderId="2" xfId="0" applyNumberFormat="1" applyFont="1" applyFill="1" applyBorder="1" applyAlignment="1">
      <alignment horizontal="center" vertical="center" wrapText="1"/>
    </xf>
    <xf numFmtId="14" fontId="13" fillId="3" borderId="7" xfId="0" applyNumberFormat="1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top" wrapText="1"/>
    </xf>
    <xf numFmtId="14" fontId="13" fillId="3" borderId="7" xfId="0" applyNumberFormat="1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horizontal="right" wrapText="1"/>
    </xf>
    <xf numFmtId="0" fontId="13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/>
    <xf numFmtId="14" fontId="1" fillId="3" borderId="7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right" wrapText="1"/>
    </xf>
    <xf numFmtId="0" fontId="1" fillId="3" borderId="6" xfId="0" applyFont="1" applyFill="1" applyBorder="1" applyAlignment="1">
      <alignment vertical="center"/>
    </xf>
    <xf numFmtId="14" fontId="13" fillId="3" borderId="6" xfId="0" applyNumberFormat="1" applyFont="1" applyFill="1" applyBorder="1" applyAlignment="1">
      <alignment horizontal="center" vertical="center" wrapText="1"/>
    </xf>
    <xf numFmtId="14" fontId="1" fillId="3" borderId="6" xfId="0" applyNumberFormat="1" applyFont="1" applyFill="1" applyBorder="1" applyAlignment="1">
      <alignment horizontal="center" vertical="center" wrapText="1"/>
    </xf>
    <xf numFmtId="14" fontId="13" fillId="3" borderId="6" xfId="0" applyNumberFormat="1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3" borderId="6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top" wrapText="1"/>
    </xf>
    <xf numFmtId="164" fontId="36" fillId="3" borderId="2" xfId="0" applyNumberFormat="1" applyFont="1" applyFill="1" applyBorder="1" applyAlignment="1">
      <alignment vertical="center"/>
    </xf>
    <xf numFmtId="14" fontId="1" fillId="3" borderId="2" xfId="0" applyNumberFormat="1" applyFont="1" applyFill="1" applyBorder="1" applyAlignment="1">
      <alignment horizontal="right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0" borderId="17" xfId="0" applyFont="1" applyBorder="1"/>
    <xf numFmtId="0" fontId="1" fillId="0" borderId="18" xfId="0" applyFont="1" applyBorder="1"/>
    <xf numFmtId="0" fontId="1" fillId="4" borderId="2" xfId="0" applyFont="1" applyFill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0" fillId="0" borderId="23" xfId="0" pivotButton="1" applyBorder="1"/>
    <xf numFmtId="0" fontId="0" fillId="0" borderId="24" xfId="0" applyBorder="1"/>
    <xf numFmtId="0" fontId="0" fillId="0" borderId="23" xfId="0" applyBorder="1"/>
    <xf numFmtId="0" fontId="0" fillId="0" borderId="24" xfId="0" applyNumberFormat="1" applyBorder="1"/>
    <xf numFmtId="0" fontId="0" fillId="0" borderId="25" xfId="0" applyBorder="1"/>
    <xf numFmtId="0" fontId="0" fillId="0" borderId="26" xfId="0" applyNumberFormat="1" applyBorder="1"/>
    <xf numFmtId="0" fontId="0" fillId="0" borderId="27" xfId="0" applyBorder="1"/>
    <xf numFmtId="0" fontId="0" fillId="0" borderId="2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pivotCacheDefinition" Target="pivotCache/pivotCacheDefinition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pivotCacheDefinition" Target="pivotCache/pivotCacheDefinition2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f%20putih/data%20kiriman%20unit%20Juli%202019/DATA%2024%20JULI%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IN/AppData/Roaming/kingsoft/office6/backup/RecoveredExternalLin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1_DATA%20SDM\DATA%202023\DATA%202024\RecoveredExternalLin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Perhitungan%20Kebutuhan%20Remun%20Riil%20Januari-Desember%202016_OKE_Rev_15-08-20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AppData/Local/Temp/REMUN%20DOSEN_06-09-201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_DATA%20KEPEGAWAIAN/DATA%202017/DATA%20DOSEN/GOOGLE%20DRIVE/REMUN%20PEGAWAI%20SEPT-D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NTRAK"/>
      <sheetName val="DOSEN TETAP BUKAN PNS"/>
      <sheetName val="PEGAWAI PNS"/>
      <sheetName val="DOSEN PNS"/>
      <sheetName val="Sheet7"/>
      <sheetName val="Sheet1"/>
      <sheetName val="Sheet2"/>
      <sheetName val="Sheet3"/>
      <sheetName val="ban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EN NON PNS"/>
      <sheetName val="KONTRAK"/>
      <sheetName val="PEGAWAI PNS"/>
      <sheetName val="DOSEN PNS"/>
      <sheetName val="data bantu"/>
      <sheetName val="DOSEN TETAP BUKAN PNS"/>
      <sheetName val="Sheet7"/>
      <sheetName val="Sheet1"/>
      <sheetName val="Sheet2"/>
      <sheetName val="Sheet3"/>
      <sheetName val="ban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antu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LU"/>
      <sheetName val="1. Asli sesuai proposal 30-70"/>
      <sheetName val="2. Penyesuaian yg min dgn TUKIN"/>
      <sheetName val="3. Penyesuaian Dosen Gaji 15%"/>
      <sheetName val="Sheet1"/>
      <sheetName val="Database-Grade"/>
      <sheetName val="Tendik_MARET16"/>
      <sheetName val="DOSEN"/>
      <sheetName val="Rekap Kebutuhan Remun"/>
      <sheetName val="Ketegorisasi Prodi dan Fak"/>
      <sheetName val="Tendik_Jan-Des 16"/>
      <sheetName val="DOSEN Jan-Des 16"/>
      <sheetName val="Rekap Kebut-Tendik-Dosen"/>
      <sheetName val="Grade-Remun"/>
      <sheetName val="Db-Grade-Remun"/>
      <sheetName val="Grade-Remu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Grade"/>
      <sheetName val="DOSEN_APRIL_16 "/>
      <sheetName val="DOSEN_MEI__16  "/>
      <sheetName val="DOSEN_JUNI_16"/>
      <sheetName val="DOSEN_JULI_16 "/>
      <sheetName val="DOSEN_AGUSTUS_16 "/>
      <sheetName val="#REF"/>
      <sheetName val="Db-Grade-Remun"/>
      <sheetName val="Database-Grade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jabatan remun OKH"/>
      <sheetName val="Data Grade"/>
      <sheetName val="Tendik_SEPT"/>
      <sheetName val="Tendik_OKTOBER"/>
      <sheetName val="Tendik_NOV"/>
      <sheetName val="TENDIK-DES"/>
      <sheetName val="Db-Grade-Remun"/>
      <sheetName val="Database-Grad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5693.442230555556" refreshedVersion="8" recordCount="692" xr:uid="{00000000-000A-0000-FFFF-FFFF05000000}">
  <cacheSource type="worksheet">
    <worksheetSource ref="A4:Z696" sheet="DOSEN PNS"/>
  </cacheSource>
  <cacheFields count="26">
    <cacheField name="NO." numFmtId="0">
      <sharedItems containsBlank="1" containsMixedTypes="1" containsNumber="1" containsInteger="1" minValue="1" maxValue="143"/>
    </cacheField>
    <cacheField name="NAMA" numFmtId="0">
      <sharedItems containsBlank="1"/>
    </cacheField>
    <cacheField name="JK" numFmtId="0">
      <sharedItems containsBlank="1" count="3">
        <m/>
        <s v="L"/>
        <s v="P"/>
      </sharedItems>
    </cacheField>
    <cacheField name="KARPEG" numFmtId="0">
      <sharedItems containsBlank="1"/>
    </cacheField>
    <cacheField name="TEMPAT " numFmtId="0">
      <sharedItems containsBlank="1"/>
    </cacheField>
    <cacheField name="TGL " numFmtId="0">
      <sharedItems containsDate="1" containsBlank="1" containsMixedTypes="1" minDate="1955-05-01T00:00:00" maxDate="1995-09-17T00:00:00"/>
    </cacheField>
    <cacheField name="NIP" numFmtId="0">
      <sharedItems containsBlank="1"/>
    </cacheField>
    <cacheField name="NIK" numFmtId="0">
      <sharedItems containsBlank="1"/>
    </cacheField>
    <cacheField name="GOL" numFmtId="0">
      <sharedItems containsBlank="1"/>
    </cacheField>
    <cacheField name="TMT GOL" numFmtId="0">
      <sharedItems containsDate="1" containsBlank="1" containsMixedTypes="1" minDate="2000-10-01T00:00:00" maxDate="2024-12-02T00:00:00"/>
    </cacheField>
    <cacheField name="TAHUN" numFmtId="0">
      <sharedItems containsBlank="1" containsMixedTypes="1" containsNumber="1" containsInteger="1" minValue="0" maxValue="41"/>
    </cacheField>
    <cacheField name="BULAN" numFmtId="0">
      <sharedItems containsBlank="1" containsMixedTypes="1" containsNumber="1" containsInteger="1" minValue="0" maxValue="19"/>
    </cacheField>
    <cacheField name="JABATAN" numFmtId="0">
      <sharedItems containsBlank="1"/>
    </cacheField>
    <cacheField name="TMT JABATAN" numFmtId="0">
      <sharedItems containsDate="1" containsBlank="1" containsMixedTypes="1" minDate="2001-01-01T00:00:00" maxDate="2024-11-02T00:00:00"/>
    </cacheField>
    <cacheField name="PDDK" numFmtId="0">
      <sharedItems containsBlank="1" count="3">
        <m/>
        <s v="S3"/>
        <s v="S2"/>
      </sharedItems>
    </cacheField>
    <cacheField name="S1" numFmtId="0">
      <sharedItems containsBlank="1"/>
    </cacheField>
    <cacheField name="S2" numFmtId="0">
      <sharedItems containsBlank="1"/>
    </cacheField>
    <cacheField name="S3" numFmtId="0">
      <sharedItems containsBlank="1"/>
    </cacheField>
    <cacheField name="No Sertifikasi" numFmtId="0">
      <sharedItems containsBlank="1" containsMixedTypes="1" containsNumber="1" containsInteger="1" minValue="12210059792" maxValue="112102714102135"/>
    </cacheField>
    <cacheField name="NIDN" numFmtId="0">
      <sharedItems containsBlank="1" containsMixedTypes="1" containsNumber="1" containsInteger="1" minValue="502069301" maxValue="2128048703"/>
    </cacheField>
    <cacheField name="TMT" numFmtId="0">
      <sharedItems containsDate="1" containsBlank="1" containsMixedTypes="1" minDate="1954-08-01T00:00:00" maxDate="2060-10-02T00:00:00"/>
    </cacheField>
    <cacheField name="PROGRAM STUDI" numFmtId="0">
      <sharedItems containsBlank="1"/>
    </cacheField>
    <cacheField name="MATA KULIAH" numFmtId="0">
      <sharedItems containsBlank="1"/>
    </cacheField>
    <cacheField name="TUGAS TAMBAHAN" numFmtId="0">
      <sharedItems containsBlank="1"/>
    </cacheField>
    <cacheField name="TMT2" numFmtId="0">
      <sharedItems containsDate="1" containsBlank="1" containsMixedTypes="1" minDate="2021-01-07T00:00:00" maxDate="2024-12-14T00:00:00"/>
    </cacheField>
    <cacheField name="KETERANGA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5693.44223090278" refreshedVersion="8" recordCount="39" xr:uid="{00000000-000A-0000-FFFF-FFFF04000000}">
  <cacheSource type="worksheet">
    <worksheetSource ref="A2:N41" sheet="PEGAWAI P3K"/>
  </cacheSource>
  <cacheFields count="14">
    <cacheField name="NO" numFmtId="0">
      <sharedItems containsSemiMixedTypes="0" containsString="0" containsNumber="1" containsInteger="1" minValue="1" maxValue="39"/>
    </cacheField>
    <cacheField name="NOMOR SK" numFmtId="0">
      <sharedItems/>
    </cacheField>
    <cacheField name="TANGGAL SK" numFmtId="15">
      <sharedItems/>
    </cacheField>
    <cacheField name="NAMA" numFmtId="0">
      <sharedItems/>
    </cacheField>
    <cacheField name="JK" numFmtId="0">
      <sharedItems count="2">
        <s v="P"/>
        <s v="L"/>
      </sharedItems>
    </cacheField>
    <cacheField name="TEMPAT DAN TANGGAL LAHIR" numFmtId="0">
      <sharedItems/>
    </cacheField>
    <cacheField name="NIP" numFmtId="0">
      <sharedItems/>
    </cacheField>
    <cacheField name="GOLONGAN" numFmtId="0">
      <sharedItems/>
    </cacheField>
    <cacheField name="PDDK" numFmtId="0">
      <sharedItems/>
    </cacheField>
    <cacheField name="PDDK2" numFmtId="0">
      <sharedItems/>
    </cacheField>
    <cacheField name="JABATAN  " numFmtId="0">
      <sharedItems/>
    </cacheField>
    <cacheField name="NIK" numFmtId="0">
      <sharedItems/>
    </cacheField>
    <cacheField name="UNIT KERJA" numFmtId="0">
      <sharedItems/>
    </cacheField>
    <cacheField name="MASA KONTRA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5693.442231018518" refreshedVersion="8" recordCount="15" xr:uid="{00000000-000A-0000-FFFF-FFFF03000000}">
  <cacheSource type="worksheet">
    <worksheetSource ref="A1:S16" sheet="DOSEN P3K"/>
  </cacheSource>
  <cacheFields count="19">
    <cacheField name="NO" numFmtId="0">
      <sharedItems containsSemiMixedTypes="0" containsString="0" containsNumber="1" containsInteger="1" minValue="1" maxValue="15"/>
    </cacheField>
    <cacheField name="NAMA" numFmtId="0">
      <sharedItems/>
    </cacheField>
    <cacheField name="NIP" numFmtId="0">
      <sharedItems/>
    </cacheField>
    <cacheField name="JK" numFmtId="0">
      <sharedItems count="2">
        <s v="L "/>
        <s v="P "/>
      </sharedItems>
    </cacheField>
    <cacheField name="TEMPAT LAHIR" numFmtId="0">
      <sharedItems/>
    </cacheField>
    <cacheField name="TANGGAL LAHIR" numFmtId="14">
      <sharedItems containsSemiMixedTypes="0" containsNonDate="0" containsDate="1" containsString="0" minDate="1975-08-05T00:00:00" maxDate="1992-01-08T00:00:00"/>
    </cacheField>
    <cacheField name="JABATAN" numFmtId="0">
      <sharedItems/>
    </cacheField>
    <cacheField name="TMT" numFmtId="0">
      <sharedItems/>
    </cacheField>
    <cacheField name="GOLONGAN" numFmtId="14">
      <sharedItems/>
    </cacheField>
    <cacheField name="JABATAN TAMBAHAN" numFmtId="14">
      <sharedItems containsBlank="1"/>
    </cacheField>
    <cacheField name="TMT2" numFmtId="14">
      <sharedItems containsNonDate="0" containsDate="1" containsString="0" containsBlank="1" minDate="2021-06-03T00:00:00" maxDate="2024-10-26T00:00:00"/>
    </cacheField>
    <cacheField name="PDDK" numFmtId="0">
      <sharedItems count="2">
        <s v="S2"/>
        <s v="S3"/>
      </sharedItems>
    </cacheField>
    <cacheField name="JURUSAN/TEMPAT PDDK" numFmtId="0">
      <sharedItems/>
    </cacheField>
    <cacheField name="NIDN" numFmtId="0">
      <sharedItems/>
    </cacheField>
    <cacheField name="SERTIFIKASI" numFmtId="0">
      <sharedItems containsBlank="1" containsMixedTypes="1" containsNumber="1" containsInteger="1" minValue="212100516581" maxValue="212100516592"/>
    </cacheField>
    <cacheField name="NIK" numFmtId="0">
      <sharedItems/>
    </cacheField>
    <cacheField name="UNIT KERJA" numFmtId="0">
      <sharedItems/>
    </cacheField>
    <cacheField name="PROGRAM STUDI " numFmtId="0">
      <sharedItems/>
    </cacheField>
    <cacheField name="MATA KULIAH/BIDANG ILMU PADA SAAT MENJADI DTP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5693.442231134257" refreshedVersion="8" recordCount="288" xr:uid="{00000000-000A-0000-FFFF-FFFF02000000}">
  <cacheSource type="worksheet">
    <worksheetSource ref="A4:S292" sheet="DATA PEGAWAI"/>
  </cacheSource>
  <cacheFields count="19">
    <cacheField name="NO" numFmtId="0">
      <sharedItems containsBlank="1" containsMixedTypes="1" containsNumber="1" containsInteger="1" minValue="1" maxValue="27"/>
    </cacheField>
    <cacheField name="N A M A " numFmtId="0">
      <sharedItems containsBlank="1"/>
    </cacheField>
    <cacheField name="JK" numFmtId="0">
      <sharedItems containsBlank="1" count="3">
        <m/>
        <s v="L"/>
        <s v="P"/>
      </sharedItems>
    </cacheField>
    <cacheField name="TEMPAT LAHIR" numFmtId="0">
      <sharedItems containsBlank="1"/>
    </cacheField>
    <cacheField name="TGL. LAHIR" numFmtId="0">
      <sharedItems containsDate="1" containsBlank="1" containsMixedTypes="1" minDate="1965-01-01T00:00:00" maxDate="1999-06-07T00:00:00"/>
    </cacheField>
    <cacheField name="NIP" numFmtId="0">
      <sharedItems containsBlank="1"/>
    </cacheField>
    <cacheField name="NIK" numFmtId="0">
      <sharedItems containsBlank="1"/>
    </cacheField>
    <cacheField name="NITK" numFmtId="0">
      <sharedItems containsString="0" containsBlank="1" containsNumber="1" containsInteger="1" minValue="7700010239" maxValue="7700010393"/>
    </cacheField>
    <cacheField name="JABATAN" numFmtId="0">
      <sharedItems containsBlank="1"/>
    </cacheField>
    <cacheField name="UNIT KERJA" numFmtId="0">
      <sharedItems containsBlank="1"/>
    </cacheField>
    <cacheField name="TMT" numFmtId="0">
      <sharedItems containsDate="1" containsBlank="1" containsMixedTypes="1" minDate="2008-02-01T00:00:00" maxDate="2024-10-19T00:00:00"/>
    </cacheField>
    <cacheField name="GOL." numFmtId="0">
      <sharedItems containsBlank="1"/>
    </cacheField>
    <cacheField name="TMT2" numFmtId="0">
      <sharedItems containsDate="1" containsBlank="1" containsMixedTypes="1" minDate="2006-04-01T00:00:00" maxDate="2024-12-02T00:00:00"/>
    </cacheField>
    <cacheField name="TH" numFmtId="0">
      <sharedItems containsBlank="1" containsMixedTypes="1" containsNumber="1" containsInteger="1" minValue="0" maxValue="31"/>
    </cacheField>
    <cacheField name="BLN" numFmtId="0">
      <sharedItems containsBlank="1" containsMixedTypes="1" containsNumber="1" containsInteger="1" minValue="0" maxValue="11"/>
    </cacheField>
    <cacheField name="PDDK" numFmtId="0">
      <sharedItems containsBlank="1" count="16">
        <m/>
        <s v="S3"/>
        <s v="S2"/>
        <s v="S1"/>
        <s v="D3"/>
        <s v="SMA"/>
        <s v="SMU"/>
        <s v="SMEA"/>
        <s v="STM"/>
        <s v="SMIK"/>
        <s v="SPG"/>
        <s v="MAN"/>
        <s v="SMK"/>
        <s v="SMP"/>
        <s v="D4"/>
        <s v="MA"/>
      </sharedItems>
    </cacheField>
    <cacheField name="PENDIDIKAN" numFmtId="0">
      <sharedItems containsBlank="1" containsMixedTypes="1" containsNumber="1" containsInteger="1" minValue="1986" maxValue="1995"/>
    </cacheField>
    <cacheField name="TMT3" numFmtId="0">
      <sharedItems containsDate="1" containsBlank="1" containsMixedTypes="1" minDate="2025-02-01T00:00:00" maxDate="2057-07-02T00:00:00"/>
    </cacheField>
    <cacheField name="TMT TUGAS" numFmtId="0">
      <sharedItems containsDate="1" containsBlank="1" containsMixedTypes="1" minDate="1992-02-01T00:00:00" maxDate="2024-12-0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5693.442231250003" refreshedVersion="8" recordCount="112" xr:uid="{00000000-000A-0000-FFFF-FFFF01000000}">
  <cacheSource type="worksheet">
    <worksheetSource ref="A1:M113" sheet="PEGAWAI TETAP BLU"/>
  </cacheSource>
  <cacheFields count="13">
    <cacheField name="NO" numFmtId="0">
      <sharedItems containsSemiMixedTypes="0" containsString="0" containsNumber="1" containsInteger="1" minValue="1" maxValue="112"/>
    </cacheField>
    <cacheField name="NAMA" numFmtId="0">
      <sharedItems/>
    </cacheField>
    <cacheField name="JK" numFmtId="0">
      <sharedItems count="2">
        <s v="L"/>
        <s v="P"/>
      </sharedItems>
    </cacheField>
    <cacheField name="TEMPAT DAN TANGGAL LAHIR" numFmtId="0">
      <sharedItems/>
    </cacheField>
    <cacheField name=" TANGGAL LAHIR" numFmtId="0">
      <sharedItems containsSemiMixedTypes="0" containsNonDate="0" containsDate="1" containsString="0" minDate="1971-01-08T00:00:00" maxDate="1996-02-02T00:00:00"/>
    </cacheField>
    <cacheField name="TMT PENSIUN" numFmtId="14">
      <sharedItems containsSemiMixedTypes="0" containsNonDate="0" containsDate="1" containsString="0" minDate="2029-02-01T00:00:00" maxDate="2054-03-02T00:00:00"/>
    </cacheField>
    <cacheField name="NIP" numFmtId="49">
      <sharedItems/>
    </cacheField>
    <cacheField name="PDDK" numFmtId="0">
      <sharedItems/>
    </cacheField>
    <cacheField name="PDDK2" numFmtId="0">
      <sharedItems/>
    </cacheField>
    <cacheField name="JABATAN  " numFmtId="0">
      <sharedItems/>
    </cacheField>
    <cacheField name="NIK" numFmtId="0">
      <sharedItems/>
    </cacheField>
    <cacheField name="UNIT KERJA" numFmtId="0">
      <sharedItems/>
    </cacheField>
    <cacheField name="TMT " numFmtId="0">
      <sharedItems containsDate="1" containsMixedTypes="1" minDate="2008-01-02T00:00:00" maxDate="2024-06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5693.442231365741" refreshedVersion="8" recordCount="51" xr:uid="{00000000-000A-0000-FFFF-FFFF00000000}">
  <cacheSource type="worksheet">
    <worksheetSource ref="A3:M54" sheet="PEGAWAI KONTRAK BLU BARU 2025"/>
  </cacheSource>
  <cacheFields count="13">
    <cacheField name="No" numFmtId="0">
      <sharedItems containsSemiMixedTypes="0" containsString="0" containsNumber="1" containsInteger="1" minValue="1" maxValue="52"/>
    </cacheField>
    <cacheField name="NO. SK" numFmtId="0">
      <sharedItems containsBlank="1"/>
    </cacheField>
    <cacheField name="TANGGAL SK" numFmtId="49">
      <sharedItems/>
    </cacheField>
    <cacheField name="TMT" numFmtId="49">
      <sharedItems/>
    </cacheField>
    <cacheField name="MASA TUGAS" numFmtId="0">
      <sharedItems/>
    </cacheField>
    <cacheField name="NAMA" numFmtId="0">
      <sharedItems/>
    </cacheField>
    <cacheField name="Jk" numFmtId="0">
      <sharedItems count="2">
        <s v="L"/>
        <s v="P"/>
      </sharedItems>
    </cacheField>
    <cacheField name="NIP" numFmtId="0">
      <sharedItems/>
    </cacheField>
    <cacheField name="NIK" numFmtId="0">
      <sharedItems/>
    </cacheField>
    <cacheField name="TEMPAT TANGGAL LAHIR" numFmtId="0">
      <sharedItems/>
    </cacheField>
    <cacheField name="KUALIFIKASI AKADEMIK" numFmtId="0">
      <sharedItems/>
    </cacheField>
    <cacheField name="FORMASI" numFmtId="0">
      <sharedItems/>
    </cacheField>
    <cacheField name="UNIT KERJ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2">
  <r>
    <m/>
    <m/>
    <x v="0"/>
    <m/>
    <s v="LAHIR"/>
    <s v="LAHIR"/>
    <m/>
    <m/>
    <m/>
    <m/>
    <s v="MASA KERJA GOL"/>
    <m/>
    <m/>
    <m/>
    <x v="0"/>
    <m/>
    <m/>
    <m/>
    <m/>
    <m/>
    <s v="PENSIUN"/>
    <m/>
    <m/>
    <m/>
    <m/>
    <m/>
  </r>
  <r>
    <s v="A. FAKULTAS ADAB DAN ILMU BUDAYA"/>
    <m/>
    <x v="0"/>
    <m/>
    <m/>
    <m/>
    <m/>
    <m/>
    <m/>
    <m/>
    <m/>
    <m/>
    <m/>
    <m/>
    <x v="0"/>
    <m/>
    <m/>
    <m/>
    <m/>
    <m/>
    <m/>
    <m/>
    <m/>
    <m/>
    <m/>
    <m/>
  </r>
  <r>
    <n v="1"/>
    <s v="Prof. Dr. H. Dudung Abdurahman, M.Hum."/>
    <x v="1"/>
    <s v="E. 504228"/>
    <s v="Ciamis"/>
    <d v="1963-03-06T00:00:00"/>
    <s v="196303061989031010"/>
    <s v="3404100603630001"/>
    <s v="IV/e"/>
    <d v="2012-04-01T00:00:00"/>
    <n v="23"/>
    <n v="1"/>
    <s v="Guru Besar"/>
    <d v="2009-10-01T00:00:00"/>
    <x v="1"/>
    <s v="Sejarah dan Kebudayaan Islam IAIN Sunan Kalijaga Tahun 1988"/>
    <s v="Sejarah UGM Tahun 1997"/>
    <s v="Studi Islam UIN Sunan Kalijaga Tahun 2009"/>
    <s v="092100500204"/>
    <n v="2006036301"/>
    <d v="2033-04-01T00:00:00"/>
    <s v="Sejarah dan Peradaban Islam (S2)"/>
    <s v="Sejarah Pemikiran Islam"/>
    <m/>
    <m/>
    <m/>
  </r>
  <r>
    <n v="2"/>
    <s v="Prof. Dr. Bermawy Munthe, MA."/>
    <x v="1"/>
    <s v="E. 201254"/>
    <s v="Panyabungan"/>
    <d v="1956-07-03T00:00:00"/>
    <s v="195607031985031005"/>
    <s v="3471130307560001"/>
    <s v="IV/e"/>
    <d v="2024-04-01T00:00:00"/>
    <n v="39"/>
    <n v="1"/>
    <s v="Guru Besar"/>
    <d v="2011-07-01T00:00:00"/>
    <x v="1"/>
    <s v="Sastra Arab IAIN Sunan Kalijaga Tahun 1983"/>
    <s v="Pendidikan IAIN Sunan Kalijaga  Tahun 1992"/>
    <s v=" Studi Islam UIN Sunan Kalijaga Tahun 2008"/>
    <s v="092100500295"/>
    <n v="2009075601"/>
    <d v="2026-08-01T00:00:00"/>
    <s v="Bahasa dan Sastra Arab (S2)"/>
    <s v="Nusus Adab al-Adab al-Haditsah"/>
    <m/>
    <m/>
    <m/>
  </r>
  <r>
    <n v="3"/>
    <s v="Prof. Dr. H. Ibnu Burdah, S.Ag, MA"/>
    <x v="1"/>
    <s v="K. 018932"/>
    <s v="Trenggalek"/>
    <d v="1976-12-03T00:00:00"/>
    <s v="197612032000031001"/>
    <s v="3402150312760006"/>
    <s v="IV/d"/>
    <d v="2024-10-01T00:00:00"/>
    <n v="24"/>
    <n v="19"/>
    <s v="Guru Besar"/>
    <d v="2020-03-01T00:00:00"/>
    <x v="1"/>
    <s v="Bahasa dan Sastra Arab  IAIN Sunan Kalijaga  Tahun 1999"/>
    <s v="Ilmu Perbandingan Agama  UGM  Tahun 2003 "/>
    <s v="Ilmu Politik  UGM  Tahun 2007"/>
    <s v="092100500287"/>
    <n v="2012037601"/>
    <d v="2046-01-01T00:00:00"/>
    <s v="Bahasa dan Sastra Arab (S1)"/>
    <s v="Kajian Dunia Arab dan Islam Kontemporer"/>
    <m/>
    <m/>
    <m/>
  </r>
  <r>
    <n v="4"/>
    <s v="Prof. Dr. H. Moh. Pribadi, MA, M.Si."/>
    <x v="1"/>
    <s v="G. 142958"/>
    <s v="Kebumen"/>
    <d v="1958-01-18T00:00:00"/>
    <s v="195801181994031001"/>
    <s v="3404071801580001"/>
    <s v="IV/d"/>
    <d v="2022-10-01T00:00:00"/>
    <n v="28"/>
    <n v="7"/>
    <s v="Guru Besar"/>
    <d v="2022-02-01T00:00:00"/>
    <x v="1"/>
    <s v="Sastra Arab IAIN Sunan Kalijaga Tahun 1988"/>
    <s v="Sosiologi UGM Tahun 2000"/>
    <s v="Studi Islam UIN Sunan Kalijaga Tahun 2012"/>
    <s v="092100500241"/>
    <n v="2018015901"/>
    <d v="2029-02-01T00:00:00"/>
    <s v="Bahasa dan Sastra Arab (S2)"/>
    <s v="Studi Islam / Sosiologi"/>
    <m/>
    <m/>
    <m/>
  </r>
  <r>
    <n v="5"/>
    <s v="Prof. Dr. Nurdin, S.Ag., SS., MA."/>
    <x v="1"/>
    <s v="J. 139188"/>
    <s v="Tellang"/>
    <d v="1971-06-01T00:00:00"/>
    <s v="197106012000031002"/>
    <s v="3471030106710001"/>
    <s v="IV/c"/>
    <d v="2023-04-01T00:00:00"/>
    <n v="23"/>
    <n v="1"/>
    <s v="Guru Besar"/>
    <d v="2022-03-01T00:00:00"/>
    <x v="1"/>
    <s v="Bahasa dan Sastra Arab IAIN Sunan Kalijaga  Tahun 1996 / Ilmu Perpustakaan  UI Tahun 1999"/>
    <s v="Islamic Studies Leiden University 1999_x000a_Leiden University  Sosiologi  2000_x000a_"/>
    <s v="Kajian Budaya dan Media  UGM Tahun 2013"/>
    <s v="092100500286"/>
    <n v="2006017102"/>
    <d v="2041-07-01T00:00:00"/>
    <s v="Ilmu Perpustakaan (S1)"/>
    <s v="Ilmu Perpustakaan"/>
    <s v="Dekan  Fakultas Adab dan Ilmu Budaya Masa Jabatan 2024-2028"/>
    <d v="2024-09-18T00:00:00"/>
    <m/>
  </r>
  <r>
    <n v="6"/>
    <s v="Prof. Dr. Yulia Nasrul Latifi, S.Ag., M.Hum."/>
    <x v="2"/>
    <s v="H. 068468"/>
    <s v="Ponorogo"/>
    <d v="1972-07-06T00:00:00"/>
    <s v="197207061998032001"/>
    <s v="3404024607720001"/>
    <s v="IV/d"/>
    <d v="2024-04-01T00:00:00"/>
    <n v="26"/>
    <n v="1"/>
    <s v="Guru Besar"/>
    <d v="2023-06-01T00:00:00"/>
    <x v="1"/>
    <s v="Bahasa dan Sastra Arab IAIN Sunan Kalijaga   Tahun 1996"/>
    <s v="Sastra UGM   Tahun 2004"/>
    <s v="Ilmu-Ilmu Humaniora  UGM  Tahun 2020"/>
    <s v="092100500271"/>
    <n v="2007067201"/>
    <d v="2042-08-01T00:00:00"/>
    <s v="Bahasa dan Sastra Arab (S1)"/>
    <s v="Sastra Arab"/>
    <m/>
    <m/>
    <s v=" "/>
  </r>
  <r>
    <n v="7"/>
    <s v="Prof. Dr. Muhammad Wildan, MA."/>
    <x v="1"/>
    <s v="J. 012479"/>
    <s v="Yogyakarta"/>
    <d v="1971-04-03T00:00:00"/>
    <s v="197104031996031001"/>
    <s v="3404120304710001"/>
    <s v="IV/c"/>
    <d v="2024-04-01T00:00:00"/>
    <n v="28"/>
    <n v="1"/>
    <s v="Guru Besar"/>
    <d v="2023-04-01T00:00:00"/>
    <x v="1"/>
    <s v="Bahasa dan Sastra Arab IAIN Sunan Kalijaga   Tahun 1995"/>
    <s v="Sejarah Islam Rijksuniversiteit Te Leiden Tahun 1999"/>
    <s v="Antropologi Sosial  UKM  Tahun 2009"/>
    <n v="102100504704"/>
    <n v="2003047102"/>
    <d v="2041-05-01T00:00:00"/>
    <s v="Sejarah dan Peradaban Islam (S2)"/>
    <s v="Ilmu Antropologi Islam"/>
    <m/>
    <m/>
    <m/>
  </r>
  <r>
    <n v="8"/>
    <s v="Dr. Khairon Nahdiyyin, MA."/>
    <x v="1"/>
    <s v="F. 111339"/>
    <s v="Pasuruan"/>
    <d v="1968-04-01T00:00:00"/>
    <s v="196804011993031005"/>
    <s v="3404070104680002"/>
    <s v="IV/c"/>
    <d v="2015-04-01T00:00:00"/>
    <n v="22"/>
    <n v="1"/>
    <s v="Lektor Kepala"/>
    <d v="2004-10-01T00:00:00"/>
    <x v="1"/>
    <s v="Bahasa dan Sastra Arab IAIN Sunan Kalijaga Tahun 1991"/>
    <s v="Ilmu Perbandingan Agama UGM Tahun 2005"/>
    <s v="Studi Islam  UIN Sunan Kalijaga  Tahun  2019"/>
    <s v="092100500233"/>
    <n v="2001046801"/>
    <d v="2033-05-01T00:00:00"/>
    <s v="Bahasa dan Sastra Arab (S1)"/>
    <s v="Bahasa Arab / Tarih Adab"/>
    <m/>
    <m/>
    <m/>
  </r>
  <r>
    <n v="9"/>
    <s v="Dr. Badrun, M.Si"/>
    <x v="1"/>
    <s v="E. 946965"/>
    <s v="Ciamis"/>
    <d v="1963-11-16T00:00:00"/>
    <s v="196311161992031003"/>
    <s v="3471031611630001"/>
    <s v="IV/c"/>
    <d v="2011-04-01T00:00:00"/>
    <n v="19"/>
    <n v="1"/>
    <s v="Lektor Kepala"/>
    <d v="2006-03-01T00:00:00"/>
    <x v="1"/>
    <s v="Sejarah dan Kebudayaan Islam  IAIN Sunan Kalijaga  Tahun 1990"/>
    <s v="Sosiologi UGM Tahun 1999"/>
    <s v="Studi Islam UIN Sunan Kalijaga    Tahun 2018 "/>
    <s v="092100500217"/>
    <n v="2016116302"/>
    <d v="2028-12-01T00:00:00"/>
    <s v="Sejarah dan Kebudayaan Islam (S1)"/>
    <s v="Sejarah Kebudayaan Islam"/>
    <m/>
    <m/>
    <m/>
  </r>
  <r>
    <n v="10"/>
    <s v="Drs. Musthofa, M.A."/>
    <x v="1"/>
    <s v="F. 111340"/>
    <s v="Klaten"/>
    <d v="1966-11-30T00:00:00"/>
    <s v="196611301993031002"/>
    <s v="3402160301680001"/>
    <s v="IV/c"/>
    <d v="2024-04-01T00:00:00"/>
    <n v="31"/>
    <n v="1"/>
    <s v="Lektor Kepala"/>
    <d v="2006-12-01T00:00:00"/>
    <x v="2"/>
    <s v="Bahasa dan Sastra Arab IAIN Sunan Kalijaga Tahun 1991"/>
    <s v="Agama dan Lintas Budaya (Kajian Timur Tengah) UGM Tahun 2009"/>
    <m/>
    <s v="092100500234"/>
    <n v="2030116602"/>
    <d v="2031-12-01T00:00:00"/>
    <s v="Bahasa dan Sastra Arab (S1)"/>
    <s v="Bahasa dan Sastra Arab"/>
    <s v="Koordinator Divisi Unit Remunerasi"/>
    <d v="2021-02-03T00:00:00"/>
    <m/>
  </r>
  <r>
    <n v="11"/>
    <s v="Dr. Moh. Kanif Anwari, S.Ag., M. Ag."/>
    <x v="1"/>
    <s v="G. 294461"/>
    <s v="Ponorogo"/>
    <d v="1971-07-30T00:00:00"/>
    <s v="197107301996031002"/>
    <s v="3404073007710002"/>
    <s v="IV/c"/>
    <d v="2024-04-01T00:00:00"/>
    <n v="28"/>
    <n v="1"/>
    <s v="Lektor Kepala"/>
    <d v="2007-07-01T00:00:00"/>
    <x v="1"/>
    <s v="Bahasa dan Sastra Arab IAIN Sunan Kalijaga Tahun 1995"/>
    <s v="Akidah Filsafat IAIN Sunan Kalijaga Tahun 2004"/>
    <s v="Studi Islam UIN Sunan Kalijaga Tahun 2019"/>
    <s v="092100500254"/>
    <n v="2030077101"/>
    <d v="2036-08-01T00:00:00"/>
    <s v="Bahasa dan Sastra Arab (S1)"/>
    <s v="Bahasa Arab"/>
    <m/>
    <m/>
    <m/>
  </r>
  <r>
    <n v="12"/>
    <s v="Dr. Sujadi,  MA."/>
    <x v="1"/>
    <s v="G. 293142"/>
    <s v="Cirebon"/>
    <d v="1970-10-09T00:00:00"/>
    <s v="197010091995031001"/>
    <s v="3404060910700003"/>
    <s v="IV/c"/>
    <d v="2024-04-01T00:00:00"/>
    <n v="29"/>
    <n v="1"/>
    <s v="Lektor Kepala"/>
    <d v="2007-07-01T00:00:00"/>
    <x v="1"/>
    <s v="Sastra Arab IAIN Sunan Kalijaga   Tahun 1993"/>
    <s v="Teologi dan Sastra Islam Rijksuniversiteit Te Leiden Tahun 1998"/>
    <s v="Sejarah Islam (Islam Minoritas) Universiteit Leiden  Tahun 2017"/>
    <n v="122100509796"/>
    <n v="2009107001"/>
    <d v="2035-11-01T00:00:00"/>
    <s v="Sejarah dan Kebudayaan Islam (S1)"/>
    <s v="Bahasa Arab / SPPI"/>
    <m/>
    <m/>
    <m/>
  </r>
  <r>
    <n v="13"/>
    <s v="Dr. Uki Sukiman, M.Ag."/>
    <x v="1"/>
    <s v="G. 292203"/>
    <s v="Kuningan"/>
    <d v="1968-04-29T00:00:00"/>
    <s v="196804291995031001"/>
    <s v="3404122904680001"/>
    <s v="IV/c"/>
    <d v="2024-04-01T00:00:00"/>
    <n v="29"/>
    <n v="1"/>
    <s v="Lektor Kepala"/>
    <d v="2008-07-01T00:00:00"/>
    <x v="1"/>
    <s v="Bahasa dan Sastra Arab IAIN Sunan Kalijaga  Tahun 1993"/>
    <s v="Agama dan Filsafat IAIN Sunan Kalijaga  Tahun 2000"/>
    <s v="Studi Islam UIN Sunan Kalijaga Tahun 2011"/>
    <s v="092100500250"/>
    <n v="2029046801"/>
    <d v="2038-05-01T00:00:00"/>
    <s v="Bahasa dan Sastra Arab (S1)"/>
    <s v="Sastra dan Bahasa Arab"/>
    <m/>
    <m/>
    <m/>
  </r>
  <r>
    <n v="14"/>
    <s v="Habib, S. Ag, M.Ag."/>
    <x v="1"/>
    <s v="H. 068464"/>
    <s v="Boyolali"/>
    <d v="1972-06-13T00:00:00"/>
    <s v="197206131998031002"/>
    <s v="3402151306720005"/>
    <s v="IV/b"/>
    <d v="2024-04-01T00:00:00"/>
    <n v="26"/>
    <n v="1"/>
    <s v="Lektor Kepala"/>
    <d v="2008-07-01T00:00:00"/>
    <x v="2"/>
    <s v="Bahasa dan Sastra Arab  IAIN Sunan Kalijaga  Tahun 1997"/>
    <s v="Hukum Islam Kons. Hukum Keluarga  IAIN Sunan Kalijaga  Tahun 2003"/>
    <m/>
    <s v="092100500269"/>
    <n v="2013067202"/>
    <d v="2037-07-01T00:00:00"/>
    <s v="Bahasa dan Sastra Arab (S1)"/>
    <s v="Tarjamah"/>
    <s v="Ketua Program Studi Bahasa dan Sastra Arab  "/>
    <d v="2024-10-24T00:00:00"/>
    <m/>
  </r>
  <r>
    <n v="15"/>
    <s v="Dr. H. Akhmad Patah, M.Ag."/>
    <x v="1"/>
    <s v="E. 498007"/>
    <s v="Cilacap"/>
    <d v="1961-07-27T00:00:00"/>
    <s v="196107271988031002"/>
    <s v="3404072707610003"/>
    <s v="IV/b"/>
    <d v="2024-04-01T00:00:00"/>
    <n v="36"/>
    <n v="1"/>
    <s v="Lektor Kepala"/>
    <d v="2008-09-01T00:00:00"/>
    <x v="1"/>
    <s v="Sastra Arab IAIN Sunan Kalijaga  Tahun 1987"/>
    <s v="Pendidikan Islam  IAIN Sunan Kalijaga Tahun 1998"/>
    <s v="Studi Islam  UIN Sunan Kalijaga  Tahun 2014"/>
    <s v="092100500199"/>
    <n v="2007076101"/>
    <d v="2026-08-01T00:00:00"/>
    <s v="Bahasa dan Sastra Arab (S2)"/>
    <s v="Bahasa Arab"/>
    <m/>
    <m/>
    <m/>
  </r>
  <r>
    <n v="16"/>
    <s v="Dr. Anis Masruri, S.Ag., S.S., M.Si."/>
    <x v="1"/>
    <s v="I. 027750"/>
    <s v="Banyumas"/>
    <d v="1971-09-07T00:00:00"/>
    <s v="197109071998031003"/>
    <s v="3404100709710001"/>
    <s v="IV/b"/>
    <d v="2024-04-01T00:00:00"/>
    <n v="26"/>
    <n v="1"/>
    <s v="Lektor Kepala"/>
    <d v="2008-09-01T00:00:00"/>
    <x v="1"/>
    <s v="Pendidikan Bahasa Arab  IAIN Sunan Kalijaga Tahun 1995 /   Ilmu Perpustakaan UI  Tahun 1997"/>
    <s v="Ilmu Administrasi Negara (Manajemen Perpustakaan) UGM Tahun 2003"/>
    <s v="Ilmu Pendidikan-Pendidikan PIPS  UNY Tahun 2015"/>
    <s v="092100500248"/>
    <n v="2009077102"/>
    <d v="2036-10-01T00:00:00"/>
    <s v="Ilmu Perpustakaan (S1)"/>
    <s v="Katalogisasi"/>
    <m/>
    <m/>
    <m/>
  </r>
  <r>
    <n v="17"/>
    <s v="Dr. Imam Muhsin, M.Ag."/>
    <x v="1"/>
    <s v="H. 068476"/>
    <s v="Trenggalek"/>
    <d v="1973-01-08T00:00:00"/>
    <s v="197301081998031010"/>
    <s v="3402130801730002"/>
    <s v="IV/b"/>
    <d v="2024-04-01T00:00:00"/>
    <n v="16"/>
    <n v="1"/>
    <s v="Lektor Kepala"/>
    <d v="2008-10-01T00:00:00"/>
    <x v="1"/>
    <s v="Bahasa Arab IAIN Sunan Ampel   Tahun 1996"/>
    <s v="Dirosah Islamiyah  IAIN Sunan Ampel Tahun 1998"/>
    <s v="Studi Islam  UIN Sunan Kalijaga  Tahun 2008 "/>
    <s v="092100500276"/>
    <n v="2008017301"/>
    <d v="2038-02-01T00:00:00"/>
    <s v="Sejarah dan Peradaban Islam (S2)"/>
    <s v="Tafsir dan Budaya Lokal"/>
    <m/>
    <m/>
    <m/>
  </r>
  <r>
    <n v="18"/>
    <s v="Dr. H. Jarot Wahyudi, M.H., MA."/>
    <x v="1"/>
    <s v="G. 278177"/>
    <s v="Yogyakarta"/>
    <d v="1966-09-19T00:00:00"/>
    <s v="196609191994031003"/>
    <s v="3404081909660001"/>
    <s v="IV/b"/>
    <d v="2024-04-01T00:00:00"/>
    <n v="30"/>
    <n v="1"/>
    <s v="Lektor Kepala"/>
    <d v="2009-01-01T00:00:00"/>
    <x v="1"/>
    <s v="Bahasa dan Sastra Arab  IAIN Sunan Kalijaga  Tahun 1991 "/>
    <s v="Hukum Keperdataan UII   Tahun 1993 / Studi Islam  Mc Gill University  Tahun 1995"/>
    <s v="Hukum UII Tahun 2022"/>
    <s v="092100500313"/>
    <n v="2019096601"/>
    <d v="2031-10-01T00:00:00"/>
    <s v="Bahasa dan Sastra Arab (S1)"/>
    <s v="Tarikh Adab"/>
    <m/>
    <m/>
    <m/>
  </r>
  <r>
    <n v="19"/>
    <s v="Dr.Maharsi, M.Hum."/>
    <x v="1"/>
    <s v="J. 088815"/>
    <s v="Klaten"/>
    <d v="1971-10-31T00:00:00"/>
    <s v="197110312000031001"/>
    <s v="3402153110710001"/>
    <s v="IV/c"/>
    <d v="2022-04-01T00:00:00"/>
    <n v="22"/>
    <n v="1"/>
    <s v="Lektor Kepala"/>
    <d v="2009-10-01T00:00:00"/>
    <x v="1"/>
    <s v="Bahasa dan Sastra Jawa UGM  Tahun 1995"/>
    <s v="Antropologi UGM  Tahun 1999"/>
    <s v="Studi Islam  UIN Sunan Kalijaga  Tahun 2007 "/>
    <s v="092100500283"/>
    <n v="2031107101"/>
    <d v="2036-11-01T00:00:00"/>
    <s v="Sejarah dan Kebudayaan Islam (S1)"/>
    <s v="Islam dan Budaya "/>
    <m/>
    <m/>
    <m/>
  </r>
  <r>
    <n v="20"/>
    <s v="Dr. Mustari, M.Hum."/>
    <x v="1"/>
    <s v="G. 291231"/>
    <s v="Berakit"/>
    <d v="1960-11-16T00:00:00"/>
    <s v="196011161996031001"/>
    <s v="3402146111160002"/>
    <s v="IV/b"/>
    <d v="2024-04-01T00:00:00"/>
    <n v="28"/>
    <n v="1"/>
    <s v="Lektor Kepala"/>
    <d v="2010-05-01T00:00:00"/>
    <x v="1"/>
    <s v="Sastra Arab IAIN Sunan Kalijaga  Tahun 1991"/>
    <s v="Sastra UGM  Tahun 2005"/>
    <s v="Studi Islam UIN Sunan Kalijaga Yogyakarta Tahun 2021"/>
    <n v="102100504711"/>
    <n v="2016116001"/>
    <d v="2025-12-01T00:00:00"/>
    <s v="Bahasa dan Sastra Arab (S1)"/>
    <s v="Bahasa Arab /Naqd al-Adab"/>
    <m/>
    <m/>
    <m/>
  </r>
  <r>
    <n v="21"/>
    <s v="Dr. H. Moh. Habib, M.Ag."/>
    <x v="1"/>
    <s v="G. 211911"/>
    <s v="Klaten"/>
    <d v="1965-07-17T00:00:00"/>
    <s v="196507171994031002"/>
    <s v="3402061707650001"/>
    <s v="IV/b"/>
    <d v="2024-04-01T00:00:00"/>
    <n v="30"/>
    <n v="1"/>
    <s v="Lektor Kepala"/>
    <d v="2010-07-01T00:00:00"/>
    <x v="1"/>
    <s v="Bahasa dan Sastra Arab  IAIN Sunan Kalijaga  Tahun 1993"/>
    <s v="Pendidikan Islam IAIN Sunan Kalijaga  Tahun 2003"/>
    <s v="Studi Islam Konsentrasi Sejarah Kebudayaan Islam UIN Sunan Kalijaga Tahun 2017"/>
    <s v="092100500310"/>
    <n v="2017076502"/>
    <d v="2030-08-01T00:00:00"/>
    <s v="Bahasa dan Sastra Arab (S1)"/>
    <s v="Bahasa Arab / Nusus Adab"/>
    <m/>
    <m/>
    <m/>
  </r>
  <r>
    <n v="22"/>
    <s v="Dr. Zamzam Afandi, M.Ag."/>
    <x v="1"/>
    <s v="G. 142957"/>
    <s v="Roworejo"/>
    <d v="1963-11-11T00:00:00"/>
    <s v="196311111994031002"/>
    <s v="3404071111630003"/>
    <s v="IV/b"/>
    <d v="2024-04-01T00:00:00"/>
    <n v="30"/>
    <n v="1"/>
    <s v="Lektor Kepala"/>
    <d v="2010-09-01T00:00:00"/>
    <x v="1"/>
    <s v="Bahasa dan Sastra Arab  IAIN Sunan Kalijaga  Tahun 1993"/>
    <s v="Aqidah dan Filsafat  IAIN Sunan Kalijaga  Tahun 2000"/>
    <s v=" Falsafah (Pengajian Arab dan Tamadun Islam) UKM Tahun 2009"/>
    <n v="102100504775"/>
    <n v="2011116301"/>
    <d v="2028-12-01T00:00:00"/>
    <s v="Bahasa dan Sastra Arab (S2)"/>
    <s v="Bahasa Arab / Muthalaah"/>
    <m/>
    <m/>
    <m/>
  </r>
  <r>
    <n v="23"/>
    <s v="Dr. Tatik Mariyatut Tasnimah, M.Ag."/>
    <x v="2"/>
    <s v="E. 851629"/>
    <s v="Magelang"/>
    <d v="1962-09-08T00:00:00"/>
    <s v="196209081990012001"/>
    <s v="3323034809620005"/>
    <s v="IV/b"/>
    <d v="2024-04-01T00:00:00"/>
    <n v="34"/>
    <n v="3"/>
    <s v="Lektor Kepala"/>
    <d v="2011-04-01T00:00:00"/>
    <x v="1"/>
    <s v="Sastra Arab IAIN Sunan Kalijaga  Tahun 1988"/>
    <s v="Aqidah dan Filsafat IAIN Sunan Kalijaga Tahun 1997"/>
    <s v="Studi IslamUIN Sunan Kalijaga Tahun 2010"/>
    <s v="092100500207"/>
    <n v="2009096202"/>
    <d v="2027-10-01T00:00:00"/>
    <s v="Bahasa dan Sastra Arab (S2)"/>
    <s v="Naqd al-Adab"/>
    <s v=" "/>
    <s v=" "/>
    <m/>
  </r>
  <r>
    <n v="24"/>
    <s v="Fuad Arif Fudiyartanto, S.Pd., M.Hum., M.Ed., Ph.D."/>
    <x v="1"/>
    <s v="J.050003"/>
    <s v="Bantul"/>
    <d v="1972-09-28T00:00:00"/>
    <s v="197209281999031002"/>
    <s v="3402152809720002"/>
    <s v="IV/b"/>
    <d v="2024-04-01T00:00:00"/>
    <n v="25"/>
    <n v="1"/>
    <s v="Lektor Kepala"/>
    <d v="2013-02-01T00:00:00"/>
    <x v="1"/>
    <s v="Pendidikan Bahasa Inggris  IKIP Yogyakarta  Tahun 1997"/>
    <s v="Linguistik  UNS Tahun 2007 /  Education The Flinders University Australia Tahun  2009"/>
    <s v="Doctor of Philosophy University of South Australia 2020"/>
    <n v="102100504661"/>
    <n v="2028097201"/>
    <d v="2037-10-01T00:00:00"/>
    <s v="Sastra Inggris (S1)"/>
    <s v="Sastra Inggris"/>
    <s v="Kepala  UPT Pusat Pengembangan Bahasa Masa Jabatan 2024-2028 "/>
    <d v="2024-10-14T00:00:00"/>
    <m/>
  </r>
  <r>
    <n v="25"/>
    <s v="Dr. Sri Rohyanti Zulaikha, S.Ag., SS., M.Si."/>
    <x v="2"/>
    <s v="I. 027746"/>
    <s v="Gunung Kidul"/>
    <d v="1968-07-01T00:00:00"/>
    <s v="196807011998032001"/>
    <s v="3402124107680001"/>
    <s v="IV/b"/>
    <d v="2024-04-01T00:00:00"/>
    <n v="26"/>
    <n v="1"/>
    <s v="Lektor Kepala"/>
    <d v="2013-03-01T00:00:00"/>
    <x v="1"/>
    <s v="Tadris Bidang Bahasa Inggris IAIN Sunan Kalijaga Tahun 1992 /  Ilmu Perpustakaan  UI Tahun 1997_x000a_"/>
    <s v="Ilmu Administrasi Negara UGM Tahun 2002"/>
    <s v="Ilmu Pendidikan UNY  Tahun 2015"/>
    <s v="092100500278"/>
    <n v="2007016801"/>
    <d v="2033-08-01T00:00:00"/>
    <s v="Ilmu Perpustakaan (S1)"/>
    <s v="Bahan Rujukan dan Literasi Informasi"/>
    <s v="Wakil Dekan Bid. Adm. Umum, Perencanaan dan Keuangan  Fakultas Adab dan Ilmu Budaya Masa Jabatan 2024-2028"/>
    <d v="2024-10-14T00:00:00"/>
    <m/>
  </r>
  <r>
    <n v="26"/>
    <s v="Dr. Hisyam Zaini, MA."/>
    <x v="1"/>
    <s v="F. 101808"/>
    <s v="Boyolali"/>
    <d v="1963-11-09T00:00:00"/>
    <s v="196311091991031009"/>
    <s v="3404100911630001"/>
    <s v="IV/b"/>
    <d v="2024-04-01T00:00:00"/>
    <n v="33"/>
    <n v="1"/>
    <s v="Lektor Kepala"/>
    <d v="2015-11-01T00:00:00"/>
    <x v="1"/>
    <s v="Bahasa dan Sastra Arab  IAIN Sunan Kalijaga  Tahun 1990"/>
    <s v="Arabic Studis The University of Leeds  Tahun 1992"/>
    <s v="Studi Islam  UIN Sunan Kalijaga   Tahun 2011"/>
    <s v="092100500215"/>
    <n v="2009116301"/>
    <d v="2028-12-01T00:00:00"/>
    <s v="Bahasa dan Sastra Arab (S1)"/>
    <s v="Bahasa Arab"/>
    <m/>
    <m/>
    <m/>
  </r>
  <r>
    <n v="27"/>
    <s v="Dr. Ubaidillah, S.S.,M.Hum."/>
    <x v="1"/>
    <s v="P. 516618"/>
    <s v="Metro"/>
    <d v="1981-04-16T00:00:00"/>
    <s v="198104162009011006"/>
    <s v="1872011604810005"/>
    <s v="IV/b"/>
    <d v="2024-04-01T00:00:00"/>
    <n v="15"/>
    <n v="3"/>
    <s v="Lektor Kepala"/>
    <d v="2020-05-01T00:00:00"/>
    <x v="1"/>
    <s v="Bahasa dan Sastra Arab  UIN Sunan Kalijaga  Tahun 2005"/>
    <s v="Linguistik  UGM  Tahun 2008"/>
    <s v="Studi Islam  UIN Sunan Kalijaga  Tahun 2010"/>
    <n v="122100509797"/>
    <n v="2016048101"/>
    <d v="2046-05-01T00:00:00"/>
    <s v="Sastra Inggris (S1)"/>
    <s v="Teori Linguistik"/>
    <m/>
    <m/>
    <m/>
  </r>
  <r>
    <n v="28"/>
    <s v="Dr. Nurul Hak, S.Ag.,M.Hum"/>
    <x v="1"/>
    <s v="J. 009917"/>
    <s v="Tasikmalaya"/>
    <d v="1970-01-17T00:00:00"/>
    <s v="197001171999031001"/>
    <s v="3402151701700004"/>
    <s v="IV/b"/>
    <d v="2024-04-01T00:00:00"/>
    <n v="25"/>
    <n v="1"/>
    <s v="Lektor Kepala"/>
    <d v="2017-11-01T00:00:00"/>
    <x v="1"/>
    <s v="Bahasa dan Sastra Arab  IAIN Sunan Kalijaga  Tahun 1998"/>
    <s v="Sejarah UGM   Tahun 2004"/>
    <s v="Sejarah Islam  Universiti Malaya  Kuala Lumpur  Malaysia  Tahun 2010"/>
    <n v="102100504725"/>
    <n v="2017017002"/>
    <d v="2035-02-01T00:00:00"/>
    <s v="Sejarah dan Peradaban Islam (S2)"/>
    <s v="Sejarah Kebudayaan Islam"/>
    <s v="Wakil Dekan Bid. Akademik  Fakultas Adab dan Ilmu Budaya Masa Jabatan 2024-2028"/>
    <d v="2024-10-14T00:00:00"/>
    <m/>
  </r>
  <r>
    <n v="29"/>
    <s v="Dr. Aning Ayu Kusumawati, S.Ag, M. Si."/>
    <x v="2"/>
    <s v="M. 031209"/>
    <s v="Sragen"/>
    <d v="1971-06-12T00:00:00"/>
    <s v="197106122003122001"/>
    <s v="3471035206710003"/>
    <s v="IV/a"/>
    <d v="2022-10-01T00:00:00"/>
    <n v="18"/>
    <n v="10"/>
    <s v="Lektor Kepala"/>
    <d v="2022-05-01T00:00:00"/>
    <x v="1"/>
    <s v="Bahasa dan Sastra Arab IAIN Sunan Kalijaga   Tahun 1996"/>
    <s v="Sosiologi  UGM Tahun 2000"/>
    <s v="Studi Islam UIN Sunan Kalijaga Tahun 2019"/>
    <n v="102100504641"/>
    <n v="2012067102"/>
    <d v="2036-07-01T00:00:00"/>
    <s v="Bahasa dan Sastra Arab (S1)"/>
    <s v="Ilmu Susastra"/>
    <m/>
    <m/>
    <m/>
  </r>
  <r>
    <n v="30"/>
    <s v="Dr. Witriani, S.S., M.Hum."/>
    <x v="2"/>
    <s v="N 046754"/>
    <s v="Bukittinggi"/>
    <d v="1972-08-01T00:00:00"/>
    <s v="197208012006042002"/>
    <s v="3471074108720001"/>
    <s v="IV/a"/>
    <d v="2024-04-01T00:00:00"/>
    <n v="18"/>
    <n v="0"/>
    <s v="Lektor Kepala"/>
    <d v="2021-10-01T00:00:00"/>
    <x v="1"/>
    <s v="Sastra Inggris UGM   Tahun 1996"/>
    <s v="Pengkajian Amerika  UGM  Tahun 2003"/>
    <s v="Inter Linguistik Studies UGM  Tahun  2017"/>
    <n v="102100504773"/>
    <n v="2001087201"/>
    <d v="2037-09-01T00:00:00"/>
    <s v="Sastra Inggris (S1)"/>
    <s v="Kajian Budaya Barat"/>
    <s v="Ketua CDCIA"/>
    <d v="2024-10-11T00:00:00"/>
    <m/>
  </r>
  <r>
    <n v="31"/>
    <s v="Dr. Nurain, S.Ag.,M.Ag"/>
    <x v="2"/>
    <s v="J. 012485"/>
    <s v="Bogor"/>
    <d v="1973-03-12T00:00:00"/>
    <s v="197303121999032001"/>
    <s v="3404015203730004"/>
    <s v="III/c"/>
    <d v="2009-04-01T00:00:00"/>
    <n v="10"/>
    <n v="1"/>
    <s v="Lektor Kepala"/>
    <d v="2023-09-01T00:00:00"/>
    <x v="1"/>
    <s v="Sastra Arab IAIN Syarif Hidayatullah   Tahun 1997"/>
    <s v="Pendidikan Islam Kons. Sejarah Pendidikan Islam UIN Sunan Kalijaga  Tahun 2004"/>
    <s v="Ilmu-Ilmu Humaniora UGM Tahun 2021"/>
    <n v="122100509798"/>
    <n v="2012037301"/>
    <d v="2038-04-01T00:00:00"/>
    <s v="Bahasa dan Sastra Arab (S1)"/>
    <s v="Fiqh al-Lughah"/>
    <s v="Koord. Divisi Penerjemahan dan Tes"/>
    <d v="2024-10-31T00:00:00"/>
    <s v=" "/>
  </r>
  <r>
    <n v="32"/>
    <s v="Dr. Syifaun Nafisah, S.T., M.T."/>
    <x v="2"/>
    <s v="P. 171414"/>
    <s v="Brebes"/>
    <d v="1978-12-26T00:00:00"/>
    <s v="197812262008012017"/>
    <s v="3404066612780001"/>
    <s v="IV/a"/>
    <s v="01-04-2024"/>
    <n v="16"/>
    <n v="3"/>
    <s v="Lektor Kepala"/>
    <d v="2023-06-01T00:00:00"/>
    <x v="1"/>
    <s v="Teknik Informatika  UPN Veteran  Tahun 2001"/>
    <s v="Teknik Elektro  UGM  Tahun 2006"/>
    <s v="Teknik Elektro UGM   Tahun 2017"/>
    <n v="112100518100040"/>
    <n v="2026127801"/>
    <d v="2044-01-01T00:00:00"/>
    <s v="Ilmu Perpustakaan (S1)"/>
    <s v="Ilmu Teknologi Informasi"/>
    <m/>
    <m/>
    <m/>
  </r>
  <r>
    <n v="33"/>
    <s v="Dr. Tafrikhuddin, S.Ag., M.Pd."/>
    <x v="1"/>
    <s v="J. 009921"/>
    <s v="Bulakamba, Brebes"/>
    <d v="1973-02-05T00:00:00"/>
    <s v="197302051999031003"/>
    <s v="3404130502730001"/>
    <s v="III/d"/>
    <d v="2009-04-01T00:00:00"/>
    <n v="10"/>
    <n v="1"/>
    <s v="Lektor"/>
    <d v="2006-08-01T00:00:00"/>
    <x v="1"/>
    <s v="  Penerangan dan Penyiaran Agama Islam  IAIN Sunan Kalijaga Tahun  1998"/>
    <s v="Pendidikan Ilmu Pengetahuan Sosial  UNY  Tahun 2003"/>
    <s v="Ilmu Pendidikan UNY   Tahun 2014"/>
    <n v="102100504766"/>
    <n v="2002057301"/>
    <d v="2038-06-01T00:00:00"/>
    <s v="Ilmu Perpustakaan (S1)"/>
    <s v="Komunikasi"/>
    <s v="Kepala UPT Perpustakaan Masa Jabatan 2024 - 2028"/>
    <d v="2024-10-14T00:00:00"/>
    <m/>
  </r>
  <r>
    <n v="34"/>
    <s v="Riswinarno, SS., M.M."/>
    <x v="1"/>
    <s v="J. 069924"/>
    <s v="Boyolali"/>
    <d v="1970-01-29T00:00:00"/>
    <s v="197001291999031002"/>
    <s v="3402122901700002"/>
    <s v="III/c"/>
    <d v="2009-04-01T00:00:00"/>
    <n v="10"/>
    <n v="1"/>
    <s v="Lektor"/>
    <d v="2007-01-01T00:00:00"/>
    <x v="2"/>
    <s v="Arkeologi _x000a_UGM  Tahun 1996_x000a_"/>
    <s v="Manajemen Sumber Daya Manusia  STIE Widya Wiwaha YogyakartaTahun 2008"/>
    <m/>
    <n v="102100504732"/>
    <n v="2029017001"/>
    <d v="2035-02-01T00:00:00"/>
    <s v="Sejarah dan Kebudayaan Islam (S1)"/>
    <s v="Arkeologi"/>
    <m/>
    <m/>
    <m/>
  </r>
  <r>
    <n v="35"/>
    <s v="Drs. Musa, M.Si."/>
    <x v="1"/>
    <s v="F. 101811"/>
    <s v="Bangka"/>
    <d v="1962-09-12T00:00:00"/>
    <s v="196209121992031001"/>
    <s v="3471141209620001"/>
    <s v="III/d"/>
    <d v="2007-10-01T00:00:00"/>
    <n v="15"/>
    <n v="7"/>
    <s v="Lektor"/>
    <d v="2007-06-01T00:00:00"/>
    <x v="2"/>
    <s v="Sejarah dan Kebudayaan Islam  IAIN Sunan Kalijaga  Tahun 1990"/>
    <s v="Sosiologi  UGM  Tahun 2000"/>
    <m/>
    <s v="092100500222"/>
    <n v="2012096202"/>
    <d v="2027-10-01T00:00:00"/>
    <s v="Sejarah dan Kebudayaan Islam (S1)"/>
    <s v="SKI di Indonesia"/>
    <m/>
    <m/>
    <m/>
  </r>
  <r>
    <n v="36"/>
    <s v="Zuhrotul Latifah, S.Ag., M.Hum"/>
    <x v="2"/>
    <s v="H. 068463"/>
    <s v="Bantul"/>
    <d v="1970-10-08T00:00:00"/>
    <s v="197010081998032001"/>
    <s v="3402134810700002"/>
    <s v="III/d"/>
    <d v="2024-04-01T00:00:00"/>
    <n v="26"/>
    <n v="1"/>
    <s v="Lektor"/>
    <d v="2007-09-01T00:00:00"/>
    <x v="2"/>
    <s v="Sejarah dan Kebudayaan Islam  IAIN Sunan Kalijaga  Tahun 1995"/>
    <s v="Sejarah  UGM  Tahun 2005"/>
    <m/>
    <n v="102100504776"/>
    <n v="2008107001"/>
    <d v="2035-11-01T00:00:00"/>
    <s v="Sejarah dan Kebudayaan Islam (S1)"/>
    <s v="Sejarah Peradaban Islam"/>
    <m/>
    <m/>
    <m/>
  </r>
  <r>
    <n v="37"/>
    <s v="Dra. Himayatul Ittihadiyah, M.Hum"/>
    <x v="2"/>
    <s v="G. 142960"/>
    <s v="Magelang"/>
    <d v="1970-02-16T00:00:00"/>
    <s v="197002161994032013"/>
    <s v="34011191602700002"/>
    <s v="III/d"/>
    <d v="2012-04-01T00:00:00"/>
    <n v="18"/>
    <n v="1"/>
    <s v="Lektor"/>
    <d v="2007-09-01T00:00:00"/>
    <x v="2"/>
    <s v="Sejarah dan Kebudayaan Islam  IAIN Sunan Kalijaga  Tahun 1993"/>
    <s v="Sejarah  UGM  Tahun 2002"/>
    <m/>
    <n v="102100504663"/>
    <n v="2016027001"/>
    <d v="2035-03-01T00:00:00"/>
    <s v="Sejarah dan Kebudayaan Islam (S1)"/>
    <s v="SKI di Indonesia"/>
    <s v="Ketua Program Studi Magister Sejarah Peradaban Islam "/>
    <d v="2024-10-24T00:00:00"/>
    <m/>
  </r>
  <r>
    <n v="38"/>
    <s v="Dr. Syamsul Arifin, S.Ag, M.Ag"/>
    <x v="1"/>
    <s v="J. 091472"/>
    <s v="Sumenep"/>
    <d v="1968-02-12T00:00:00"/>
    <s v="196802122000031001"/>
    <s v="3529051202680002"/>
    <s v="III/d"/>
    <d v="2012-04-01T00:00:00"/>
    <n v="12"/>
    <n v="1"/>
    <s v="Lektor"/>
    <d v="2007-12-01T00:00:00"/>
    <x v="1"/>
    <s v="Sejarah dan Kebudayaan Islam  IAIN Sunan Kalijaga  Tahun 1999"/>
    <s v="Agama dan Filsafat Kons. Hubungan Antar Agama  UIN Sunan Kalijaga   Tahun 2005"/>
    <s v="Studi Islam  UIN Sunan Kalijaga  Tahun 2018"/>
    <n v="102100504764"/>
    <n v="2012026801"/>
    <d v="2033-03-01T00:00:00"/>
    <s v="Sejarah dan Peradaban Islam (S2)"/>
    <s v="Sejarah Pergerakan Nasional"/>
    <s v="Wakil Dekan  Bid. Kemahasiswaan dan Kerjasama Fakultas Adab dan Ilmu Budaya Masa Jabatan 2024-2028"/>
    <d v="2024-10-14T00:00:00"/>
    <m/>
  </r>
  <r>
    <n v="39"/>
    <s v="Herawati, S. Ag., M.Pd."/>
    <x v="2"/>
    <s v="J. 012480"/>
    <s v="Sukoarjo"/>
    <d v="1972-04-24T00:00:00"/>
    <s v="197204241999032003"/>
    <s v="3404066404720001"/>
    <s v="III/d"/>
    <d v="2013-04-01T00:00:00"/>
    <n v="14"/>
    <n v="1"/>
    <s v="Lektor"/>
    <d v="2008-04-01T00:00:00"/>
    <x v="2"/>
    <s v="Sejarah Kebudayaan Islam  IAIN Sunan Kalijaga  Tahun 1997"/>
    <s v="Pendidikan Ilmu Pengetahuan Sosial UNY   Tahun 2010"/>
    <m/>
    <n v="112100511310008"/>
    <n v="2024047202"/>
    <d v="2037-05-01T00:00:00"/>
    <s v="Sejarah dan Kebudayaan Islam (S1)"/>
    <s v="Sejarah Islam di Indonesia"/>
    <m/>
    <m/>
    <m/>
  </r>
  <r>
    <n v="40"/>
    <s v="Marwiyah, S.Ag., SS, M.LIS."/>
    <x v="2"/>
    <s v="J. 139189"/>
    <s v="Padang Timur Kodya, Padang"/>
    <d v="1969-09-05T00:00:00"/>
    <s v="196909052000032001"/>
    <s v="3404024509690002"/>
    <s v="III/d"/>
    <d v="2013-04-01T00:00:00"/>
    <n v="13"/>
    <n v="1"/>
    <s v="Lektor"/>
    <s v="01-05-2008"/>
    <x v="2"/>
    <s v="Perbandingan Agama  IAIN Sunan Kalijaga Tahun 1995 /  Ilmu Perpustakaan  UI Tahun 1999"/>
    <s v="Master of Library and Information Studies  McGill University  Tahun 2004"/>
    <m/>
    <n v="102100504685"/>
    <n v="2009056901"/>
    <d v="2034-10-01T00:00:00"/>
    <s v="Ilmu Perpustakaan (S1)"/>
    <s v="Temu Kembali informasi"/>
    <m/>
    <m/>
    <m/>
  </r>
  <r>
    <n v="41"/>
    <s v="Drs. Djazim Rohmadi, M.Si."/>
    <x v="1"/>
    <s v="G. 141826"/>
    <s v="Klaten"/>
    <d v="1963-01-28T00:00:00"/>
    <s v="196301281994031001"/>
    <s v="3404102801630001"/>
    <s v="III/d"/>
    <d v="2008-10-01T00:00:00"/>
    <n v="14"/>
    <n v="7"/>
    <s v="Lektor"/>
    <d v="2008-05-01T00:00:00"/>
    <x v="2"/>
    <s v="Perbandingan Agama  IAIN Sunan Kalijaga Tahun 1989"/>
    <s v="Administrasi Negara (Manajemen Perpustakaan)   UGM  Tahun 2001"/>
    <m/>
    <s v="092100500249"/>
    <n v="2028016301"/>
    <d v="2028-02-01T00:00:00"/>
    <s v="Ilmu Perpustakaan (S1)"/>
    <s v="Ilmu Pelestarian Bahan Pustaka  dan Pelayanan Umum"/>
    <m/>
    <m/>
    <m/>
  </r>
  <r>
    <n v="42"/>
    <s v="Dr. Ening Herniti, M.Hum."/>
    <x v="2"/>
    <s v="M. 031210"/>
    <s v="Pekalongan"/>
    <d v="1973-11-10T00:00:00"/>
    <s v="197311102003122002"/>
    <s v="3402125011730006"/>
    <s v="III/d"/>
    <d v="2011-04-01T00:00:00"/>
    <n v="7"/>
    <n v="4"/>
    <s v="Lektor"/>
    <d v="2008-06-01T00:00:00"/>
    <x v="1"/>
    <s v="Bahasa dan Sastra Indonesia  Univ. Diponegoro  Tahun 1997"/>
    <s v="Sastra (Linguistik) UGM   Tahun 2001"/>
    <s v="Studi Islam UIN Sunan Kalijaga Tahun 2019"/>
    <n v="102100504653"/>
    <n v="2010117301"/>
    <d v="2038-12-01T00:00:00"/>
    <s v="Bahasa dan Sastra Arab (S1)"/>
    <s v="linguistik"/>
    <m/>
    <m/>
    <m/>
  </r>
  <r>
    <n v="43"/>
    <s v="Muh. Solihin Arianto, S. Ag., SS, M.Lis."/>
    <x v="1"/>
    <s v="J. 090943"/>
    <s v="Baligay"/>
    <d v="1970-09-06T00:00:00"/>
    <s v="197009061999031012"/>
    <s v="3404100607700002"/>
    <s v="III/c"/>
    <d v="2011-04-01T00:00:00"/>
    <n v="12"/>
    <n v="1"/>
    <s v="Lektor"/>
    <d v="2008-11-01T00:00:00"/>
    <x v="2"/>
    <s v="Perbandingan Agama  IAIN Sunan Kalijaga Tahun 1996 /  Ilmu Perpustakaan  UI Tahun 1998"/>
    <s v="Information Comunication Technology  International Islamic University Malaysia Tahun 2006"/>
    <m/>
    <n v="102100504701"/>
    <n v="2006097002"/>
    <d v="2035-10-01T00:00:00"/>
    <s v="Ilmu Perpustakaan (S1)"/>
    <s v="Pembinaan &amp; Pengembangan Koleksi"/>
    <m/>
    <m/>
    <s v=" "/>
  </r>
  <r>
    <n v="44"/>
    <s v="Dr. Dwi Margo Yuwono, M.Hum."/>
    <x v="1"/>
    <s v="M. 135262"/>
    <s v="Probolinggo"/>
    <d v="1977-04-19T00:00:00"/>
    <s v="197704192005011002"/>
    <s v="3404141904770004"/>
    <s v="III/d"/>
    <d v="2013-10-01T00:00:00"/>
    <n v="8"/>
    <n v="9"/>
    <s v="Lektor"/>
    <d v="2010-01-01T00:00:00"/>
    <x v="1"/>
    <s v="Pendidikan Bahasa Perancis  UNY  Tahun 2001"/>
    <s v="Linguistik Terapan UNY   Tahun 2004"/>
    <s v="Penelitian dan Evaluasi Pendidikan UNY Tahun 2023"/>
    <n v="102100504650"/>
    <n v="2019047701"/>
    <d v="2042-05-01T00:00:00"/>
    <s v="Sastra Inggris (S1)"/>
    <s v="linguistik dan Terjemah"/>
    <s v="Sekretaris Program Studi Sastra Inggris"/>
    <d v="2024-10-24T00:00:00"/>
    <m/>
  </r>
  <r>
    <n v="45"/>
    <s v="Dra. Soraya Adnani, M.Si"/>
    <x v="2"/>
    <s v="F. 111344"/>
    <s v="Yogyakarta"/>
    <d v="1965-09-28T00:00:00"/>
    <s v="196509281993032001"/>
    <s v="3471136809650003"/>
    <s v="III/d"/>
    <d v="2024-04-01T00:00:00"/>
    <n v="31"/>
    <n v="1"/>
    <s v="Lektor"/>
    <d v="2010-04-01T00:00:00"/>
    <x v="2"/>
    <s v="Antropologi dan Sejarah Dunia  UGM  Tahun 1991"/>
    <s v="Sosiologi  UGM  Tahun 2004"/>
    <m/>
    <n v="102100504751"/>
    <n v="2028096501"/>
    <d v="2030-10-01T00:00:00"/>
    <s v="Sejarah dan Kebudayaan Islam (S1)"/>
    <s v="Sosiologi"/>
    <m/>
    <m/>
    <m/>
  </r>
  <r>
    <n v="46"/>
    <s v="Dr. Ridwan, S.Ag., M.Hum."/>
    <x v="1"/>
    <s v="G. 292209"/>
    <s v="Lamongan"/>
    <d v="1973-07-10T00:00:00"/>
    <s v="197307101997031007"/>
    <s v="3404081007730005"/>
    <s v="III/d"/>
    <d v="2024-04-01T00:00:00"/>
    <n v="27"/>
    <n v="1"/>
    <s v="Lektor"/>
    <d v="2010-08-01T00:00:00"/>
    <x v="1"/>
    <s v="Bahasa dan Sastra Arab  IAIN Sunan Kalijaga  Tahun 1996"/>
    <s v="Ilmu Susastra  UI Tahun 2002"/>
    <s v="Pengkajian Islam  UIN Syarif Hidayatullah Tahun 2010"/>
    <n v="112100511320009"/>
    <n v="2010077303"/>
    <d v="2038-08-01T00:00:00"/>
    <s v="Bahasa dan Sastra Arab (S1)"/>
    <s v="Bahasa Arab/Tarjamah"/>
    <m/>
    <m/>
    <m/>
  </r>
  <r>
    <n v="47"/>
    <s v="Puji Lestari, M.Kom."/>
    <x v="2"/>
    <s v="M 027832"/>
    <s v="Metro"/>
    <d v="1979-01-16T00:00:00"/>
    <s v="197901162005012001"/>
    <s v="3404015601790002"/>
    <s v="III/d"/>
    <d v="2024-04-01T00:00:00"/>
    <n v="19"/>
    <n v="3"/>
    <s v="Lektor"/>
    <d v="2010-09-01T00:00:00"/>
    <x v="2"/>
    <s v="Teknik Informatika  Institut Sains Teknologi AKPRIND Yogyakarta  Tahun 2001"/>
    <s v="Ilmu Komputer  UGM  Tahun 2005 "/>
    <m/>
    <n v="112100518130043"/>
    <n v="2016017901"/>
    <d v="2041-02-01T00:00:00"/>
    <s v="Ilmu Perpustakaan (S1)"/>
    <s v="Aplikasi Komputer DEA"/>
    <m/>
    <s v=" "/>
    <s v=" "/>
  </r>
  <r>
    <n v="48"/>
    <s v="Siti Rohaya, S.Ag., M.T."/>
    <x v="2"/>
    <s v="N. 044385"/>
    <s v="Pontianak"/>
    <s v="22-06-1979"/>
    <s v="197906222006042003"/>
    <s v="3471036206790001"/>
    <s v="III/d"/>
    <d v="2024-04-01T00:00:00"/>
    <n v="18"/>
    <n v="0"/>
    <s v="Lektor"/>
    <d v="2010-10-01T00:00:00"/>
    <x v="2"/>
    <s v="Komunikasi dan Penyiaran Islam  IAIN Sunan Kalijaga Tahun  2000"/>
    <s v="Teknik Elektro (Teknologi Informasi) UGM  Tahun 2006"/>
    <m/>
    <n v="102100504747"/>
    <n v="2022067901"/>
    <d v="2044-07-01T00:00:00"/>
    <s v="Ilmu Perpustakaan (S1)"/>
    <s v="Dasar-dasar Komunikasi dan Teknologi Informasi"/>
    <s v="Koordinator Divisi Pengembangan Kewirausahaan dan Inovasi pada CENDI"/>
    <d v="2022-08-25T00:00:00"/>
    <s v=" "/>
  </r>
  <r>
    <n v="49"/>
    <s v="Dr. Ulyati Retno Sari, SS, M.Hum"/>
    <x v="2"/>
    <s v="M. 135264"/>
    <s v="Yogyakarta"/>
    <d v="1977-11-15T00:00:00"/>
    <s v="197711152005012002"/>
    <s v="3404105511770006"/>
    <s v="III/d"/>
    <d v="2024-04-01T00:00:00"/>
    <n v="19"/>
    <n v="3"/>
    <s v="Lektor"/>
    <d v="2011-07-01T00:00:00"/>
    <x v="1"/>
    <s v="Sastra Inggris  UGM  Tahun 2001"/>
    <s v="Pengkajian Amerika  UGM  Tahun 2005"/>
    <s v="UNY Ilmu Pendidikan Bahasa Tahun 2024"/>
    <n v="102100504768"/>
    <n v="2015117701"/>
    <d v="2042-12-01T00:00:00"/>
    <s v="Sastra Inggris (S1)"/>
    <s v="Bahasa Inggris"/>
    <s v="Ketua Program Studi Sastra Inggris"/>
    <d v="2024-10-24T00:00:00"/>
    <m/>
  </r>
  <r>
    <n v="50"/>
    <s v="Dr. Labibah, M.LIS."/>
    <x v="2"/>
    <s v="I. 141720"/>
    <s v="Pekalongan"/>
    <d v="1968-11-03T00:00:00"/>
    <s v="196811031994032005"/>
    <s v="3402144311680003"/>
    <s v="IV/a"/>
    <d v="2024-06-01T00:00:00"/>
    <n v="30"/>
    <n v="3"/>
    <s v="Lektor"/>
    <d v="2011-10-01T00:00:00"/>
    <x v="1"/>
    <s v="Tadris IAIN Sunan Kalijaga  Tahun 1992"/>
    <s v="Master of Library and Information Studies McGill University  Tahun  1999"/>
    <s v="Studi Islam UIN Sunan Kalijaga Tahun 2022"/>
    <n v="102100504677"/>
    <n v="2011036801"/>
    <d v="2033-12-01T00:00:00"/>
    <s v="Ilmu Perpustakaan (S1)"/>
    <s v="Managemen Perpustakaan"/>
    <m/>
    <m/>
    <m/>
  </r>
  <r>
    <n v="51"/>
    <s v="Siti Maimunah, S.Ag.,M.Hum."/>
    <x v="2"/>
    <s v="G. 068460"/>
    <s v="Gresik"/>
    <d v="1971-04-30T00:00:00"/>
    <s v="197104301997032002"/>
    <s v="3404077004710001"/>
    <s v="III/d"/>
    <d v="2012-04-01T00:00:00"/>
    <n v="15"/>
    <n v="1"/>
    <s v="Lektor"/>
    <d v="2011-12-01T00:00:00"/>
    <x v="2"/>
    <s v="Sejarah dan Kebudayaan Islam  IAIN Sunan Kalijaga  Tahun 1995"/>
    <s v="Sejarah  UGM  Tahun 2004"/>
    <m/>
    <n v="102100504746"/>
    <n v="2030047101"/>
    <d v="2036-05-01T00:00:00"/>
    <s v="Sejarah dan Kebudayaan Islam (S1)"/>
    <s v="Metode Penelitian Sejarah"/>
    <m/>
    <m/>
    <m/>
  </r>
  <r>
    <n v="52"/>
    <s v="Febriyanti Dwiratna Lestari, SS., MA."/>
    <x v="2"/>
    <s v="P. 512925"/>
    <s v="Madiun"/>
    <d v="1981-03-03T00:00:00"/>
    <s v="198102032009012007"/>
    <s v="3404124302810004"/>
    <s v="III/d"/>
    <d v="2024-04-01T00:00:00"/>
    <n v="15"/>
    <n v="3"/>
    <s v="Lektor"/>
    <d v="2012-01-01T00:00:00"/>
    <x v="2"/>
    <s v="Bahasa dan Sastra Inggris  UNY  Tahun 2005"/>
    <s v="Pengkajian Amerika  UGM  Tahun 2008"/>
    <m/>
    <n v="132100511957"/>
    <s v="0503028102"/>
    <d v="2046-03-01T00:00:00"/>
    <s v="Sastra Inggris (S1)"/>
    <s v="Sastra Inggris"/>
    <m/>
    <m/>
    <m/>
  </r>
  <r>
    <n v="53"/>
    <s v="Bambang Hariyanto, SS., MA., Ph.D."/>
    <x v="1"/>
    <s v="P. 623364"/>
    <s v="Kediri"/>
    <d v="1980-04-11T00:00:00"/>
    <s v="198004112009121003"/>
    <s v="3506011104800003"/>
    <s v="III/d"/>
    <d v="2017-10-01T00:00:00"/>
    <n v="7"/>
    <n v="10"/>
    <s v="Lektor"/>
    <d v="2013-10-01T00:00:00"/>
    <x v="1"/>
    <s v="Bahasa Inggris  STAIN Malang  Tahun 2003"/>
    <s v="Linguistik  UGM  Tahun 2008"/>
    <s v="Linguistik, Western Sydney University Australia Tahun 2023"/>
    <n v="132100511951"/>
    <n v="2011048001"/>
    <d v="2045-05-01T00:00:00"/>
    <s v="Sastra Inggris (S1)"/>
    <s v="Linguistik"/>
    <m/>
    <m/>
    <s v=" "/>
  </r>
  <r>
    <n v="54"/>
    <s v="Moh. Wakhid Hidayat, S.S.,M.A."/>
    <x v="1"/>
    <s v="P. 516616"/>
    <s v="Kebumen"/>
    <d v="1980-09-03T00:00:00"/>
    <s v="198009032009011011"/>
    <s v="3305080309800003"/>
    <s v="III/d"/>
    <d v="2024-04-01T00:00:00"/>
    <n v="15"/>
    <n v="3"/>
    <s v="Lektor"/>
    <d v="2014-09-01T00:00:00"/>
    <x v="2"/>
    <s v="Bahasa dan Sastra Arab  IAIN Sunan Kalijaga  Tahun 2004"/>
    <s v="Pengkajian Islam  UIN Syarif Hidayatullah Tahun  2007"/>
    <m/>
    <n v="122100509793"/>
    <n v="2003098001"/>
    <d v="2045-10-01T00:00:00"/>
    <s v="Bahasa dan Sastra Arab (S1)"/>
    <s v="Nusus Adab"/>
    <m/>
    <m/>
    <m/>
  </r>
  <r>
    <n v="55"/>
    <s v="Dr. Danial Hidayatullah, SS., M.Hum."/>
    <x v="1"/>
    <s v="P. 516617"/>
    <s v="Nganjuk"/>
    <d v="1976-04-05T00:00:00"/>
    <s v="197604052009011016"/>
    <s v="3404110504760001"/>
    <s v="III/d"/>
    <d v="2024-04-01T00:00:00"/>
    <n v="15"/>
    <n v="3"/>
    <s v="Lektor"/>
    <d v="2014-09-01T00:00:00"/>
    <x v="1"/>
    <s v="Sastra Inggris  UGM  Tahun 2000 "/>
    <s v="Pengkajian Amerika UGM   Tahun 2005"/>
    <s v="Ilmu-Ilmu Humaniora UGM Tahun 2020"/>
    <n v="122100509794"/>
    <n v="2005047603"/>
    <d v="2041-05-01T00:00:00"/>
    <s v="Sastra Inggris (S1)"/>
    <s v="Teori Sastra"/>
    <s v="Koord. Divisi Kerjasama, media dan informasi"/>
    <d v="2024-10-31T00:00:00"/>
    <m/>
  </r>
  <r>
    <n v="56"/>
    <s v="Dr. Arif Budiman, S.S., M.A."/>
    <x v="1"/>
    <s v="Q. 149187"/>
    <s v="Magelang"/>
    <d v="1978-03-09T00:00:00"/>
    <s v="197803092011011003"/>
    <s v="3308050903780001"/>
    <s v="III/d"/>
    <d v="2024-04-01T00:00:00"/>
    <n v="13"/>
    <n v="3"/>
    <s v="Lektor"/>
    <d v="2015-04-01T00:00:00"/>
    <x v="1"/>
    <s v="Bahasa Sastra Inggris  UNS  Tahun 2003"/>
    <s v="Linguistik UGM   Tahun 2009"/>
    <s v="Ilmu-Ilmu Humaniora UGM Tahun 2021"/>
    <n v="132100511946"/>
    <n v="2009037801"/>
    <d v="2043-04-01T00:00:00"/>
    <s v="Sastra Inggris (S1)"/>
    <s v="Ilmu Linguistik"/>
    <m/>
    <m/>
    <m/>
  </r>
  <r>
    <n v="57"/>
    <s v="Fatiyah, S.Hum., M.A."/>
    <x v="2"/>
    <s v="Q. 149186"/>
    <s v="Sleman"/>
    <d v="1981-12-06T00:00:00"/>
    <s v="198112062011012003"/>
    <s v="3404124812810002"/>
    <s v="III/d"/>
    <d v="2020-04-01T00:00:00"/>
    <n v="9"/>
    <n v="3"/>
    <s v="Lektor"/>
    <d v="2017-11-01T00:00:00"/>
    <x v="2"/>
    <s v="Sejarah Peradaban Islam  UIN Sunan Kalijaga  Tahun 2004"/>
    <s v="Ilmu Sejarah  UGM  Tahun 2009"/>
    <s v=" "/>
    <n v="142100512846"/>
    <n v="2006128101"/>
    <d v="2047-01-01T00:00:00"/>
    <s v="Sejarah dan Kebudayaan Islam (S1)"/>
    <s v="Sejarah Kebudayaan Islam"/>
    <s v="Ketua Program Studi Sejarah Kebudayaan Islam "/>
    <d v="2024-10-24T00:00:00"/>
    <m/>
  </r>
  <r>
    <n v="58"/>
    <s v="Umi Nurun Ni'mah, S.S., M.Hum."/>
    <x v="2"/>
    <s v="B 01030127"/>
    <s v="Semarang"/>
    <d v="1980-01-02T00:00:00"/>
    <s v="198001022015032002"/>
    <s v="3322054201800002"/>
    <s v="III/d"/>
    <d v="2024-04-01T00:00:00"/>
    <n v="9"/>
    <n v="1"/>
    <s v="Lektor"/>
    <d v="2021-02-01T00:00:00"/>
    <x v="2"/>
    <s v="Bahasa dan Sastra Arab UIN Sunan Kalijaga   Tahun 2005"/>
    <s v="Agama dan Filsafat  UIN Sunan Kalijaga   Tahun 2010"/>
    <m/>
    <n v="212100516594"/>
    <s v="2002018001"/>
    <d v="2045-02-01T00:00:00"/>
    <s v="Bahasa dan Sastra Arab (S1)"/>
    <s v="Arudl Wal Qawafi/Balaghah"/>
    <m/>
    <m/>
    <m/>
  </r>
  <r>
    <n v="59"/>
    <s v="Aninda Aji Siwi, S.Pd., M.Pd."/>
    <x v="2"/>
    <m/>
    <s v="Surakarta"/>
    <d v="1988-10-11T00:00:00"/>
    <s v="198510112015032004"/>
    <s v="3311105110850002"/>
    <s v="III/d"/>
    <d v="2024-10-01T00:00:00"/>
    <n v="9"/>
    <n v="7"/>
    <s v="Lektor"/>
    <d v="2022-06-01T00:00:00"/>
    <x v="2"/>
    <s v="Bahasa Inggris  UNS  Pendidikan Tahun 2008"/>
    <s v="Linguistik Terapan UNY   Tahun 2013"/>
    <m/>
    <n v="192100517419"/>
    <s v="2011108801"/>
    <d v="2053-11-01T00:00:00"/>
    <s v="Sastra Inggris (S1)"/>
    <s v="Linguistik Terapan"/>
    <m/>
    <m/>
    <m/>
  </r>
  <r>
    <n v="60"/>
    <s v="Thoriq Tri Prabowo, M.IP."/>
    <x v="1"/>
    <m/>
    <s v="Temanggung "/>
    <d v="1993-03-14T00:00:00"/>
    <s v="199303142018011001"/>
    <s v="3323191403930001"/>
    <s v="III/c"/>
    <d v="2022-04-01T00:00:00"/>
    <n v="7"/>
    <n v="1"/>
    <s v="Lektor"/>
    <d v="2021-10-01T00:00:00"/>
    <x v="2"/>
    <s v=" "/>
    <s v="Interdisciplinary Islamic Studies Konsentrasi Ilmu Perpustakaan dan Informasi  UIN Sunan Kalijaga Tahun 2016"/>
    <m/>
    <s v="222100517748"/>
    <s v="2014039301"/>
    <d v="2058-04-01T00:00:00"/>
    <s v="Ilmu Perpustakaan (S1)"/>
    <s v="Presevarsi Informasi"/>
    <m/>
    <m/>
    <s v="TUGAS BELAJAR"/>
  </r>
  <r>
    <n v="61"/>
    <s v="Arina Faila Saufa, M.A."/>
    <x v="2"/>
    <m/>
    <s v="Kudus"/>
    <d v="1994-02-13T00:00:00"/>
    <s v="199402132019032016 "/>
    <s v="3319045302940002"/>
    <s v="III/c"/>
    <d v="2023-10-01T00:00:00"/>
    <n v="4"/>
    <n v="7"/>
    <s v="Lektor"/>
    <d v="2023-01-01T00:00:00"/>
    <x v="2"/>
    <s v="UNDIP Tahun 2015"/>
    <s v="Ilmu Perpustakaan UIN Sunan Kalijaga Tahun 2018"/>
    <m/>
    <s v="232100519183 "/>
    <s v="2013029401"/>
    <d v="2059-03-01T00:00:00"/>
    <s v="Ilmu Perpustakaan (S1)"/>
    <s v="Ilmu Perpustakaan"/>
    <m/>
    <m/>
    <m/>
  </r>
  <r>
    <n v="62"/>
    <s v="M. Ainul Yaqin, S.Pd., M.Ed."/>
    <x v="1"/>
    <s v="M. 031208"/>
    <s v="Pasuruan"/>
    <d v="1974-06-12T00:00:00"/>
    <s v="197406122003121001"/>
    <s v="3306101202740005"/>
    <s v="III/c"/>
    <d v="2024-04-01T00:00:00"/>
    <n v="20"/>
    <n v="4"/>
    <s v="Lektor"/>
    <d v="2023-01-01T00:00:00"/>
    <x v="2"/>
    <s v="Pendidikan Bahasa Inggris  UNISMA Malang  Tahun 1997"/>
    <s v=" Curiculum And Instruction  George Mason University Tahun 2001"/>
    <m/>
    <n v="112100512260017"/>
    <n v="2012067402"/>
    <d v="2039-07-01T00:00:00"/>
    <s v="Ilmu Perpustakaan (S1)"/>
    <s v="Bahasa Inggris"/>
    <s v="Ketua Program Studi Ilmu Perpustakaan"/>
    <d v="2024-10-24T00:00:00"/>
    <s v=" "/>
  </r>
  <r>
    <n v="63"/>
    <s v="Khairunnisa Etika Sari, M.IP."/>
    <x v="2"/>
    <m/>
    <s v="Yogyakarta"/>
    <d v="1987-02-06T00:00:00"/>
    <s v="198702062019082001 "/>
    <s v="3471064602870001"/>
    <s v="III/c"/>
    <d v="2024-04-01T00:00:00"/>
    <n v="4"/>
    <n v="8"/>
    <s v="Lektor"/>
    <d v="2023-05-01T00:00:00"/>
    <x v="2"/>
    <m/>
    <s v="IIS Konsentrasi Ilmu Perpustakaan dan Informasi UIN Sunan Kalijaga Tahun 2013"/>
    <m/>
    <m/>
    <s v="2006028702"/>
    <d v="2052-03-01T00:00:00"/>
    <s v="Ilmu Perpustakaan (S1)"/>
    <s v="Ilmu Perpustakaan"/>
    <m/>
    <m/>
    <m/>
  </r>
  <r>
    <n v="64"/>
    <s v="Faisal Syarifudin, S.Ag., S.S., M.Si."/>
    <x v="1"/>
    <s v="L 031076"/>
    <s v="Kandangan"/>
    <d v="1975-06-14T00:00:00"/>
    <s v="197506142001121004"/>
    <s v="2404071406750005"/>
    <s v="III/b"/>
    <d v="2006-04-01T00:00:00"/>
    <n v="4"/>
    <n v="4"/>
    <s v="Lektor"/>
    <d v="2023-04-01T00:00:00"/>
    <x v="2"/>
    <s v="Muamalat Jinayat  IAIN Antasari  Tahun 1998 / Ilmu Perpustakaan  UI  Tahun 2002"/>
    <s v="Sosiologi UGM   Tahun 2007"/>
    <m/>
    <n v="122100509801"/>
    <n v="2014067502"/>
    <d v="2043-07-01T00:00:00"/>
    <s v="Ilmu Perpustakaan (S1)"/>
    <s v="Manajemen Terbitan Berseri"/>
    <m/>
    <m/>
    <s v=" "/>
  </r>
  <r>
    <n v="65"/>
    <s v="Iryanto Chandra, M.Eng."/>
    <x v="1"/>
    <m/>
    <s v="Jayapura"/>
    <d v="1985-08-09T00:00:00"/>
    <s v="198508092019031008"/>
    <s v="9171030908850003"/>
    <s v="III/c"/>
    <d v="2024-12-01T00:00:00"/>
    <n v="5"/>
    <n v="9"/>
    <s v="Lektor"/>
    <d v="2024-09-01T00:00:00"/>
    <x v="2"/>
    <s v="ITN Malang Tahun 2010"/>
    <s v="Teknik Elektro UGM Tahun 2017"/>
    <m/>
    <m/>
    <s v="2009088501"/>
    <d v="2050-09-01T00:00:00"/>
    <s v="Ilmu Perpustakaan (S1)"/>
    <s v="Manajemen Informasi "/>
    <m/>
    <m/>
    <m/>
  </r>
  <r>
    <n v="66"/>
    <s v="Harsiwi Fajar Sari, S.S.,M.A."/>
    <x v="2"/>
    <m/>
    <s v="Kulon Progo"/>
    <d v="1985-03-23T00:00:00"/>
    <s v="198503232015032004"/>
    <s v="3401126303850001"/>
    <s v="III/b"/>
    <d v="2015-03-01T00:00:00"/>
    <n v="0"/>
    <n v="0"/>
    <s v="Asisten Ahli"/>
    <d v="2020-10-01T00:00:00"/>
    <x v="2"/>
    <s v="Sastra Inggris  UGM  Tahun 2007"/>
    <s v="Pengkajian Amerika UGM   Tahun 2014"/>
    <m/>
    <s v="222100517752"/>
    <s v="2023038501"/>
    <d v="2050-04-01T00:00:00"/>
    <s v="Sastra Inggris (S1)"/>
    <s v="Poetry"/>
    <m/>
    <m/>
    <m/>
  </r>
  <r>
    <n v="67"/>
    <s v="Tika Fitriyah, M.Hum."/>
    <x v="2"/>
    <s v="B 01034876"/>
    <s v="Tasikmalaya"/>
    <d v="1991-04-15T00:00:00"/>
    <s v="199104152018012001"/>
    <s v="3278015504910013"/>
    <s v="III/c"/>
    <d v="2024-04-01T00:00:00"/>
    <n v="6"/>
    <n v="3"/>
    <s v="Asisten Ahli"/>
    <d v="2020-10-01T00:00:00"/>
    <x v="2"/>
    <s v="Bahasa dan Sastra Arab UIN Sunan Kalijaga  Tahun 2013"/>
    <s v="Bahasa dan Sastra Arab UIN Sunan Kalijaga   Tahun 2015"/>
    <m/>
    <m/>
    <s v="2015049101"/>
    <d v="2056-05-01T00:00:00"/>
    <s v="Bahasa dan Sastra Arab (S1)"/>
    <s v="Tarjamah "/>
    <m/>
    <m/>
    <m/>
  </r>
  <r>
    <n v="68"/>
    <s v="Andriyana Fatmawati, M.Pd."/>
    <x v="2"/>
    <m/>
    <s v="Bantul"/>
    <d v="1991-09-20T00:00:00"/>
    <s v="199109202019032020 "/>
    <s v="3402026009910001"/>
    <s v="III/b"/>
    <d v="2019-03-01T00:00:00"/>
    <n v="0"/>
    <n v="0"/>
    <s v="Asisten Ahli"/>
    <d v="2021-03-01T00:00:00"/>
    <x v="2"/>
    <s v="UNY Tahun 2014"/>
    <s v="Pendidikan Bahasa Jawa  UNY  Tahun 2018"/>
    <m/>
    <m/>
    <s v="2020099101"/>
    <d v="2056-10-01T00:00:00"/>
    <s v="Ilmu Perpustakaan (S1)"/>
    <s v="Katalogisasi Literatur Aksara Jawa "/>
    <s v="Plt. Sekretaris Program Studi Magister Sejarah Peradaban Islam "/>
    <d v="2024-10-24T00:00:00"/>
    <m/>
  </r>
  <r>
    <n v="69"/>
    <s v="Muhammad Bagus Febriyanto, M.Hum."/>
    <x v="1"/>
    <m/>
    <s v="Bantul"/>
    <d v="1990-02-15T00:00:00"/>
    <s v="199002152019031005 "/>
    <s v="3402131502900001"/>
    <s v="III/b"/>
    <d v="2019-03-01T00:00:00"/>
    <n v="0"/>
    <n v="0"/>
    <s v="Asisten Ahli"/>
    <d v="2021-03-01T00:00:00"/>
    <x v="2"/>
    <s v="UGM Tahun 2012"/>
    <s v="Ilmu Susastra UI   Tahun 2018"/>
    <m/>
    <m/>
    <s v="2015029002"/>
    <d v="2055-03-01T00:00:00"/>
    <s v="Ilmu Perpustakaan (S1)"/>
    <s v=" Katalogisasi Literatur Aksara Jawa "/>
    <m/>
    <m/>
    <m/>
  </r>
  <r>
    <n v="70"/>
    <s v="Lilih Deva Martias, M.Sc."/>
    <x v="2"/>
    <m/>
    <s v="Magelang"/>
    <d v="1987-03-11T00:00:00"/>
    <s v="198703112019032010 "/>
    <s v="3308105103870001"/>
    <s v="III/b"/>
    <d v="2019-03-01T00:00:00"/>
    <n v="0"/>
    <n v="0"/>
    <s v="Asisten Ahli"/>
    <d v="2021-10-01T00:00:00"/>
    <x v="2"/>
    <s v="UNS Tahun 2009"/>
    <s v="Matematika UGM   Tahun 2014"/>
    <m/>
    <m/>
    <n v="2011038703"/>
    <d v="2052-12-01T00:00:00"/>
    <s v="Ilmu Perpustakaan (S1)"/>
    <s v="Statistik"/>
    <s v=" "/>
    <m/>
    <m/>
  </r>
  <r>
    <n v="71"/>
    <s v="Amalia Azka Rahmayani, M.Sc."/>
    <x v="2"/>
    <m/>
    <s v="Jakarta"/>
    <d v="1992-12-05T00:00:00"/>
    <s v="199212052019032009 "/>
    <s v="3175074512920006"/>
    <s v="III/b"/>
    <d v="2019-03-01T00:00:00"/>
    <n v="0"/>
    <n v="0"/>
    <s v="Asisten Ahli"/>
    <d v="2021-03-01T00:00:00"/>
    <x v="2"/>
    <s v="UII Tahun 2015"/>
    <s v="Magister Teknik Industri   UGM Tahun 2018"/>
    <m/>
    <m/>
    <s v="2005129201"/>
    <d v="2058-01-01T00:00:00"/>
    <s v="Ilmu Perpustakaan (S1)"/>
    <s v="Ergonomi"/>
    <m/>
    <m/>
    <m/>
  </r>
  <r>
    <n v="72"/>
    <s v="Ahmad Anwar, M.A."/>
    <x v="1"/>
    <m/>
    <s v="Semarang"/>
    <d v="1992-02-14T00:00:00"/>
    <s v="199202142019031013 "/>
    <s v="3404141402920001"/>
    <s v="III/b"/>
    <d v="2019-03-01T00:00:00"/>
    <n v="0"/>
    <n v="0"/>
    <s v="Asisten Ahli"/>
    <d v="2021-03-01T00:00:00"/>
    <x v="2"/>
    <m/>
    <s v="IIS Konsentrasi Ilmu Perpustakaan dan Informasi UIN Sunan Kalijaga Tahun 2017"/>
    <m/>
    <m/>
    <s v="2014029201"/>
    <d v="2057-03-01T00:00:00"/>
    <s v="Ilmu Perpustakaan (S1)"/>
    <s v="Ilmu Perpustakaan"/>
    <m/>
    <m/>
    <m/>
  </r>
  <r>
    <n v="73"/>
    <s v="Nur Riani, M.A."/>
    <x v="2"/>
    <m/>
    <s v="Purworejo"/>
    <d v="1992-02-21T00:00:00"/>
    <s v="199202212019082001"/>
    <s v="3404096102920005"/>
    <s v="III/b"/>
    <d v="2019-08-01T00:00:00"/>
    <n v="0"/>
    <n v="0"/>
    <s v="Asisten Ahli"/>
    <d v="2021-03-01T00:00:00"/>
    <x v="2"/>
    <m/>
    <s v="IIS Konsentrasi Ilmu Perpustakaan dan Informasi UIN Sunan Kalijaga Tahun 2018"/>
    <m/>
    <m/>
    <s v="2021029202"/>
    <d v="2057-03-01T00:00:00"/>
    <s v="Ilmu Perpustakaan (S1)"/>
    <s v="Ilmu Perpustakaan"/>
    <s v="Plt. Sekretaris Program Studi Ilmu Perpustakaan (IP)  "/>
    <d v="2024-10-24T00:00:00"/>
    <m/>
  </r>
  <r>
    <n v="74"/>
    <s v="Kholili Badriza, Lc., M.Hum."/>
    <x v="1"/>
    <m/>
    <s v="Magetan"/>
    <d v="1992-10-03T00:00:00"/>
    <s v="199210032020121003"/>
    <s v="3520130310920001"/>
    <s v="III/b"/>
    <d v="2020-12-01T00:00:00"/>
    <n v="0"/>
    <n v="0"/>
    <s v="Asisten Ahli"/>
    <d v="2022-11-01T00:00:00"/>
    <x v="2"/>
    <m/>
    <s v="Sejarah Peradaban Islam UIN Sunan Kalijaga Tahun 2019"/>
    <m/>
    <m/>
    <s v="2003109201"/>
    <d v="2057-11-01T00:00:00"/>
    <s v="Sejarah dan Kebudayaan Islam (S1)"/>
    <s v="Asisten Ahli - Dosen Sejarah dan Kebudayaan Islam"/>
    <m/>
    <m/>
    <m/>
  </r>
  <r>
    <n v="75"/>
    <s v="Nurul Leyly Rachmawati, Lc.,M.Hum."/>
    <x v="2"/>
    <m/>
    <s v="Magelang"/>
    <d v="1991-05-09T00:00:00"/>
    <s v="199105092020122008"/>
    <s v="3308074905910001"/>
    <s v="III/b"/>
    <d v="2020-12-01T00:00:00"/>
    <n v="0"/>
    <n v="0"/>
    <s v="Asisten Ahli"/>
    <d v="2023-04-01T00:00:00"/>
    <x v="2"/>
    <m/>
    <s v="Bahasa dan Sastra Arab UIN Sunan Kalijaga Tahun 2019"/>
    <m/>
    <m/>
    <s v="2009059101"/>
    <d v="2056-06-01T00:00:00"/>
    <s v="Bahasa dan Sastra Arab (S1)"/>
    <s v="Asisten Ahli-Dosen Bahasa dan Sastra Arab"/>
    <s v="Plt. Sekretaris Program Studi Bahasa dan Sastra Arab  "/>
    <d v="2024-10-24T00:00:00"/>
    <m/>
  </r>
  <r>
    <n v="76"/>
    <s v="Nini Salwa Istiqamah, S.IP., MIR."/>
    <x v="2"/>
    <m/>
    <s v="Bone"/>
    <d v="1992-02-08T00:00:00"/>
    <s v="199202082022032001"/>
    <s v="'7308224802920001"/>
    <s v="III/b"/>
    <d v="2022-03-01T00:00:00"/>
    <m/>
    <m/>
    <s v="Asisten Ahli"/>
    <d v="2023-04-01T00:00:00"/>
    <x v="2"/>
    <m/>
    <s v="Hubungan Internasional The University of Melbourne Australia Tahun 2021"/>
    <m/>
    <m/>
    <s v="2008029203"/>
    <d v="2057-03-01T00:00:00"/>
    <s v="Sejarah dan Kebudayaan Islam (S1)"/>
    <s v="Asisten Ahli - Dosen Hubungan Internasional"/>
    <m/>
    <m/>
    <s v="TUGAS BELAJAR"/>
  </r>
  <r>
    <n v="77"/>
    <s v="Anisah Durrotul Fajri, SS., M.Hum."/>
    <x v="2"/>
    <m/>
    <s v="Yogyakarta"/>
    <d v="1991-02-23T00:00:00"/>
    <s v="199102232020122009"/>
    <s v="3402156302910001"/>
    <s v="III/b"/>
    <d v="2020-12-01T00:00:00"/>
    <n v="0"/>
    <n v="0"/>
    <s v="Asisten Ahli"/>
    <d v="2023-01-01T00:00:00"/>
    <x v="2"/>
    <m/>
    <s v="Ilmu Linguistik UI Tahun 2017"/>
    <m/>
    <m/>
    <s v="2023029103"/>
    <d v="2056-03-01T00:00:00"/>
    <s v="Sastra Inggris (S1)"/>
    <s v="Sastra Inggris"/>
    <m/>
    <m/>
    <m/>
  </r>
  <r>
    <n v="78"/>
    <s v="M. Salwa Arraid, M.Hum."/>
    <x v="1"/>
    <m/>
    <s v="Gunungkidul"/>
    <d v="1988-08-21T00:00:00"/>
    <s v="198808212020121002"/>
    <s v="3403012108880001"/>
    <s v="III/b"/>
    <d v="2020-12-01T00:00:00"/>
    <n v="0"/>
    <n v="0"/>
    <s v="Asisten Ahli"/>
    <d v="2023-01-01T00:00:00"/>
    <x v="2"/>
    <m/>
    <s v="Bahasa dan Sastra Arab UIN Sunan Kalijaga Tahun 2019"/>
    <m/>
    <m/>
    <s v="2021088803"/>
    <d v="2053-09-01T00:00:00"/>
    <s v="Bahasa dan Sastra Arab (S1)"/>
    <s v="Dosen Bahasa dan Sastra Arab"/>
    <s v="Plt. Sekretaris Program Studi Magister (S2) Bahasa dan Sastra Arab"/>
    <d v="2024-10-24T00:00:00"/>
    <m/>
  </r>
  <r>
    <n v="79"/>
    <s v="Maylisa Oktavira, M.Pd.I."/>
    <x v="2"/>
    <m/>
    <s v="Pontianak"/>
    <d v="1990-05-22T00:00:00"/>
    <s v="199005222022032002"/>
    <s v="'6171036205900009"/>
    <s v="III/b"/>
    <d v="2022-03-01T00:00:00"/>
    <m/>
    <m/>
    <s v="Asisten Ahli"/>
    <d v="2023-05-01T00:00:00"/>
    <x v="2"/>
    <m/>
    <s v="Bahasa dan Sastra Arab Universitas Islam Negeri Maulana Malik Ibrahim Malang"/>
    <m/>
    <m/>
    <s v="2022059003"/>
    <d v="2055-07-01T00:00:00"/>
    <s v="Bahasa dan Sastra Arab (S1)"/>
    <s v="Bahasa dan Sastra Arab"/>
    <s v="Anggota ADMISI"/>
    <d v="2024-12-06T00:00:00"/>
    <m/>
  </r>
  <r>
    <s v="B. FAKULTAS DAKWAH DAN KOMUNIKASI"/>
    <m/>
    <x v="0"/>
    <m/>
    <m/>
    <m/>
    <m/>
    <m/>
    <m/>
    <m/>
    <m/>
    <m/>
    <m/>
    <m/>
    <x v="0"/>
    <m/>
    <m/>
    <m/>
    <m/>
    <m/>
    <m/>
    <m/>
    <m/>
    <m/>
    <m/>
    <m/>
  </r>
  <r>
    <n v="1"/>
    <s v="Prof. Alimatul Qibtiyah, S.Ag, M.Si, Ph.D."/>
    <x v="2"/>
    <s v="G.289535"/>
    <s v="Ngawi"/>
    <d v="1971-09-19T00:00:00"/>
    <s v="197109191996032001"/>
    <s v="3402125909710005"/>
    <s v="IV/c"/>
    <d v="2020-10-01T00:00:00"/>
    <n v="24"/>
    <n v="7"/>
    <s v="Guru Besar"/>
    <d v="2020-04-01T00:00:00"/>
    <x v="1"/>
    <s v="Penerangan dan Penyiaran Agama Islam  IAIN Sunan Kalijaga  Tahun 1995"/>
    <s v="Psikologi UGM Tahun 2000 / University of Northern IOWA Tahun 2005"/>
    <s v="Doctor of Philosophy  University of Western Sydney  Tahun 2013"/>
    <n v="132100511943"/>
    <n v="2010097101"/>
    <d v="2041-10-01T00:00:00"/>
    <s v="Komunikasi dan Penyiaran Islam (S2)"/>
    <s v="Kajian Gender"/>
    <s v=" "/>
    <s v=" "/>
    <s v="Komisioner Komnas Perempuan TMT 1 Jan 20"/>
  </r>
  <r>
    <n v="2"/>
    <s v="Prof. Dr. Casmini, S.Ag, M.Si."/>
    <x v="2"/>
    <s v="C.289536"/>
    <s v="Batang"/>
    <d v="1971-10-05T00:00:00"/>
    <s v="197110051996032002"/>
    <s v="3404104510710001"/>
    <s v="IV/d"/>
    <d v="2024-04-01T00:00:00"/>
    <n v="28"/>
    <n v="1"/>
    <s v="Guru Besar"/>
    <d v="2021-08-01T00:00:00"/>
    <x v="1"/>
    <s v="Bimbingan dan Penyuluhan Agama Islam  IAIN Sunan Kalijaga  Tahun 1995"/>
    <s v="Psikologi  UGM  Tahun 2003"/>
    <s v="Psikologi UGM  Tahun 2011"/>
    <s v="092100500255"/>
    <n v="2005107103"/>
    <d v="2041-11-01T00:00:00"/>
    <s v="Bimbingan dan Konseling Islam (S2)"/>
    <s v="Psikologi Umum"/>
    <m/>
    <m/>
    <m/>
  </r>
  <r>
    <n v="3"/>
    <s v="Prof. Dr. Arif Maftuhin, M.Ag"/>
    <x v="1"/>
    <s v="L 031077"/>
    <s v="Blitar"/>
    <d v="1974-02-02T00:00:00"/>
    <s v="197402022001121002"/>
    <s v="3402120202740008"/>
    <s v="IV/b"/>
    <d v="2022-04-01T00:00:00"/>
    <n v="20"/>
    <n v="4"/>
    <s v="Guru Besar"/>
    <d v="2023-01-01T00:00:00"/>
    <x v="1"/>
    <s v="Muammalat Jinayat  STAIN Surakarta   Tahun 1998"/>
    <s v="IAIN Sunan Kalijaga Hukum Islam Kons. Muamalat  Tahun 2000"/>
    <s v="Studi Islam  UIN Sunan Kalijaga  Tahun 2016"/>
    <n v="102100504643"/>
    <n v="2002027401"/>
    <d v="2044-03-01T00:00:00"/>
    <s v="Ilmu Kesejahteraan Sosial (S1)"/>
    <s v="Fiqh Sosial"/>
    <s v="Dekan Fakultas  Dakwah dan Komunikasi Masa Jabatan 2024 - 2028"/>
    <d v="2024-09-18T00:00:00"/>
    <m/>
  </r>
  <r>
    <n v="4"/>
    <s v="Dr. H. Akhmad Rifa'i, M.Phil."/>
    <x v="1"/>
    <s v="E. 189730"/>
    <s v="Sumenep"/>
    <d v="1960-09-05T00:00:00"/>
    <s v="196009051986031006"/>
    <s v="3404060509600001"/>
    <s v="IV/c"/>
    <d v="2015-10-01T00:00:00"/>
    <n v="29"/>
    <n v="7"/>
    <s v="Lektor Kepala"/>
    <d v="2001-04-01T00:00:00"/>
    <x v="1"/>
    <s v="Dakwah  IAIN Sunan Kalijaga  Tahun 1985"/>
    <s v="Demography  The Cairo Demographic Center Tahun 1996"/>
    <s v="Sosiologi  UGM  Tahun  2006"/>
    <s v="092100500193"/>
    <n v="2005096001"/>
    <d v="2025-10-01T00:00:00"/>
    <s v="Komunikasi dan Penyiaran Islam (S2)"/>
    <s v="Sosiologi"/>
    <m/>
    <m/>
    <m/>
  </r>
  <r>
    <n v="5"/>
    <s v="Prof. Dr. H. Nurjannah, M.Si."/>
    <x v="2"/>
    <s v="E.498006"/>
    <s v="Rembang"/>
    <d v="1960-03-10T00:00:00"/>
    <s v="196003101987032001"/>
    <s v="3404075003600001"/>
    <s v="IV/c"/>
    <d v="2017-04-01T00:00:00"/>
    <n v="30"/>
    <n v="1"/>
    <s v="Guru Besar"/>
    <d v="2023-10-01T00:00:00"/>
    <x v="1"/>
    <s v="Dakwah  IAIN Sunan Kalijaga  Tahun 1986"/>
    <s v="Psikologi  Sosial  UGM  Tahun 2000"/>
    <s v="Ilmu Psikologi UGM   Tahun 2011"/>
    <s v="092100500198"/>
    <n v="2010036001"/>
    <d v="2025-04-01T00:00:00"/>
    <s v="Bimbingan dan Konseling Islam (S2)"/>
    <s v="Ilmu Konseling Islam"/>
    <m/>
    <m/>
    <m/>
  </r>
  <r>
    <n v="6"/>
    <s v="Dr. Hamdan Dly, M.Si."/>
    <x v="1"/>
    <s v="G.142966"/>
    <s v="Matondang Tap Sel"/>
    <d v="1966-12-09T00:00:00"/>
    <s v="196612091994031004"/>
    <s v="3404070912660004"/>
    <s v="IV/c"/>
    <d v="2012-10-01T00:00:00"/>
    <n v="18"/>
    <n v="7"/>
    <s v="Lektor Kepala"/>
    <d v="2005-04-01T00:00:00"/>
    <x v="1"/>
    <s v="Penerangan dan Penyiaran Agama Islam  IAIN Sunan KalijagaTahun 1992"/>
    <s v="Ketahanan Nasional UGM   Tahun 2000"/>
    <s v="Ilmu Politik  UGM  Tahun 2011"/>
    <s v="092100500247"/>
    <n v="2009126601"/>
    <d v="2032-01-01T00:00:00"/>
    <s v="Komunikasi dan Penyiaran Islam (S2)"/>
    <s v="Politik dan Media"/>
    <m/>
    <m/>
    <m/>
  </r>
  <r>
    <n v="7"/>
    <s v="Drs. Abdul Rozak, M.Pd"/>
    <x v="1"/>
    <s v="G.160963"/>
    <s v="Kebumen"/>
    <d v="1967-10-06T00:00:00"/>
    <s v="196710061994031003"/>
    <s v="3402150610670007"/>
    <s v="IV/c"/>
    <d v="2024-10-01T00:00:00"/>
    <n v="30"/>
    <n v="7"/>
    <s v="Lektor Kepala"/>
    <d v="2006-10-01T00:00:00"/>
    <x v="2"/>
    <s v="Komunikasi Massa  UNS  Tahun 1992"/>
    <s v="Penelitian dan Evaluasi Pendidikan  UNY  Tahun 2000"/>
    <m/>
    <s v="092100500245"/>
    <n v="2006106702"/>
    <d v="2032-11-01T00:00:00"/>
    <s v="Komunikasi dan Penyiaran Islam (S1)"/>
    <s v="Ilmu Komunikasi"/>
    <s v="Ketua Program Studi S-2 Komunikasi dan Penyiaran Islam"/>
    <d v="2024-11-18T00:00:00"/>
    <m/>
  </r>
  <r>
    <n v="8"/>
    <s v="Drs. Moh. Abu Suhud, M.Pd."/>
    <x v="1"/>
    <s v="E-882125"/>
    <s v="Sojomerto Kendal"/>
    <d v="1961-04-10T00:00:00"/>
    <s v="196104101990011001"/>
    <s v="3404101004610002"/>
    <s v="IV/a"/>
    <d v="2008-04-01T00:00:00"/>
    <n v="18"/>
    <n v="3"/>
    <s v="Lektor Kepala"/>
    <d v="2007-12-01T00:00:00"/>
    <x v="2"/>
    <s v="Dakwah  IAIN Sunan Kalijaga  Tahun 1988"/>
    <s v="Pendidikan Luar Sekolah  UNY  Tahun 2003"/>
    <s v=" "/>
    <s v="092100500304"/>
    <n v="2010046101"/>
    <d v="2026-05-01T00:00:00"/>
    <s v="Pengembangan Masyarakat Islam (S1)"/>
    <s v="Ilmu Dakwah"/>
    <m/>
    <m/>
    <m/>
  </r>
  <r>
    <n v="9"/>
    <s v="Drs. Mukhammad Sahlan, M.Si"/>
    <x v="1"/>
    <s v="G.013073"/>
    <s v="Pati"/>
    <d v="1968-05-01T00:00:00"/>
    <s v="196805011993031006"/>
    <s v="3402120105680001"/>
    <s v="IV/b"/>
    <d v="2024-04-01T00:00:00"/>
    <n v="30"/>
    <n v="7"/>
    <s v="Lektor Kepala"/>
    <d v="2008-01-01T00:00:00"/>
    <x v="2"/>
    <s v="Penerangan dan Penyiaran Agama Islam  IAIN Sunan Kalijaga  Tahun 1992"/>
    <s v="Sosiologi  UGM  Tahun 2004"/>
    <m/>
    <s v="092100500235"/>
    <n v="2001056801"/>
    <d v="2033-06-01T00:00:00"/>
    <s v="Komunikasi dan Penyiaran Islam (S1)"/>
    <s v="Public Relation"/>
    <m/>
    <m/>
    <m/>
  </r>
  <r>
    <n v="10"/>
    <s v="Dr. Sriharini, S.Ag, M.Si"/>
    <x v="2"/>
    <s v="H.066443"/>
    <s v="Gunung Kidul"/>
    <d v="1971-05-26T00:00:00"/>
    <s v="197105261997032001"/>
    <s v="3402126605700004"/>
    <s v="IV/c"/>
    <d v="2024-04-01T00:00:00"/>
    <n v="27"/>
    <n v="1"/>
    <s v="Lektor Kepala"/>
    <d v="2008-07-01T00:00:00"/>
    <x v="1"/>
    <s v="Bimbingan dan Penyuluhan Agama Islam  IAIN Sunan Kalijaga  Tahun 1996"/>
    <s v="Sosiologi  UGM  Tahun 2000"/>
    <s v="Studi Pembangunan  Univ. Satya Wacana Salatiga Tahun 2009"/>
    <s v="092100500268"/>
    <n v="2026057101"/>
    <d v="2036-06-01T00:00:00"/>
    <s v="Pengembangan Masyarakat Islam (S2)"/>
    <s v="Sosiologi Pembangunan  "/>
    <s v="Ketua Program Studi Magister (S2) Pengembangan Masyarakat Islam"/>
    <d v="2024-10-21T00:00:00"/>
    <m/>
  </r>
  <r>
    <n v="11"/>
    <s v="Dr. Irsyadunnas, M.Ag"/>
    <x v="1"/>
    <s v="J 009915"/>
    <s v="Padang"/>
    <d v="1971-04-13T00:00:00"/>
    <s v="197104131998031006"/>
    <s v="3404071304710006"/>
    <s v="IV/b"/>
    <d v="2024-04-01T00:00:00"/>
    <n v="26"/>
    <n v="1"/>
    <s v="Lektor Kepala"/>
    <d v="2008-10-01T00:00:00"/>
    <x v="1"/>
    <s v="Tafsir Hadist  IAIN Syarif Hidayatullah  Tahun 1995"/>
    <s v="Pengkajian Islam Kons. Tafsir Hadis IAIN Imam Bonjol   Tahun 2001"/>
    <s v="Pengkajian Islam Kons. Tafsir Hadits  UIN Syarif Hidayatullah  Tahun  2013"/>
    <n v="102100504667"/>
    <n v="2013047102"/>
    <d v="2036-05-01T00:00:00"/>
    <s v="Bimbingan dan Konseling Islam (S2)"/>
    <s v="Tafsir"/>
    <s v="Wakil Dekan Bid. Administrasi Umum, Perencanaan dan Keuangan  Fakultas Dakwah dan Komunikasi Masa Jabatan 2024-2028"/>
    <d v="2024-10-14T00:00:00"/>
    <m/>
  </r>
  <r>
    <n v="12"/>
    <s v="Dr. Andy Dermawan, M.Ag"/>
    <x v="1"/>
    <s v="J. 139190"/>
    <s v="Ngawi"/>
    <d v="1970-09-08T00:00:00"/>
    <s v="197009082000031001"/>
    <s v="3402120809700004"/>
    <s v="IV/c"/>
    <d v="2024-08-01T00:00:00"/>
    <n v="24"/>
    <n v="5"/>
    <s v="Lektor Kepala"/>
    <d v="2010-05-01T00:00:00"/>
    <x v="1"/>
    <s v="Aqidah dan Filsafat  IAIN Sunan Kalijaga Tahun 1996"/>
    <s v="Studi Islam  UMS  Tahun 1998"/>
    <s v=" Politik Islam  UMY Tahun 2018"/>
    <s v="092100500158"/>
    <n v="2008097002"/>
    <d v="2035-10-01T00:00:00"/>
    <s v="Manajemen Dakwah (S1)"/>
    <s v="Metodelogi Study Islam"/>
    <m/>
    <m/>
    <m/>
  </r>
  <r>
    <n v="13"/>
    <s v="Nailul Falah, S.Ag, M.Si"/>
    <x v="1"/>
    <s v="I.027747"/>
    <s v="Gresik"/>
    <d v="1972-10-01T00:00:00"/>
    <s v="197210011998031003"/>
    <s v="3404100110720001"/>
    <s v="IV/b"/>
    <d v="2024-04-01T00:00:00"/>
    <n v="24"/>
    <n v="1"/>
    <s v="Lektor Kepala"/>
    <d v="2010-09-01T00:00:00"/>
    <x v="2"/>
    <s v="Bahasa dan Sastra Arab  IAIN Sunan Kalijaga  Tahun 1996"/>
    <s v="Psikologi  UGM  Tahun 2003"/>
    <m/>
    <n v="102100504714"/>
    <n v="2001017203"/>
    <d v="2037-11-01T00:00:00"/>
    <s v="Bimbingan dan Konseling Islam (S1)"/>
    <s v="Psikologi"/>
    <m/>
    <m/>
    <m/>
  </r>
  <r>
    <n v="14"/>
    <s v="Dr. Hikmah Endraswati, SE., M.Si."/>
    <x v="2"/>
    <s v="J 048065"/>
    <s v="Sleman"/>
    <d v="1977-05-07T00:00:00"/>
    <s v="197705072000032001"/>
    <s v="3471044705770002"/>
    <s v="IV/c"/>
    <d v="2019-04-01T00:00:00"/>
    <n v="19"/>
    <n v="6"/>
    <s v="Lektor Kepala"/>
    <d v="2010-09-01T00:00:00"/>
    <x v="1"/>
    <s v="Ekonomi  UGM  Tahun 1999"/>
    <s v="Manajemen  UGM  Tahun 2004"/>
    <s v="Manajemen  UNS  Tahun 2016"/>
    <s v="092102 300508"/>
    <s v="2007057701"/>
    <d v="2042-06-01T00:00:00"/>
    <s v="Manajemen Dakwah (S1)"/>
    <m/>
    <s v="Koordinator Pusat Akreditasi dan Sertifikasi pada LPM Masa Jabatan 2024 - 2028"/>
    <d v="2024-10-14T00:00:00"/>
    <m/>
  </r>
  <r>
    <n v="15"/>
    <s v="Dr. Zainudin, M.Ag"/>
    <x v="1"/>
    <s v="J.009918"/>
    <s v="Lamongan"/>
    <d v="1966-08-27T00:00:00"/>
    <s v="196608271999031001"/>
    <s v="3404071111630003"/>
    <s v="IV/c"/>
    <d v="2024-10-01T00:00:00"/>
    <n v="25"/>
    <n v="7"/>
    <s v="Lektor Kepala"/>
    <d v="2010-05-01T00:00:00"/>
    <x v="1"/>
    <s v="Tafsir Hadis  IAIN Sunan Kalijaga  Tahun 1993"/>
    <s v="Agama dan Filsafat Kons. Filsafat Islam IAIN Sunan Kalijaga   Tahun 2002"/>
    <s v="Studi Islam  UIN Sunan Kalijaga  Tahun 2013"/>
    <s v="092100500317"/>
    <n v="2027086601"/>
    <d v="2031-09-01T00:00:00"/>
    <s v="Ilmu Kesejahteraan Sosial (S1)"/>
    <s v="Ulumul Hadist"/>
    <m/>
    <m/>
    <m/>
  </r>
  <r>
    <n v="16"/>
    <s v="Drs.Mokh. Nazili, M.Pd."/>
    <x v="1"/>
    <s v="F.097445"/>
    <s v="Pati"/>
    <d v="1963-02-10T00:00:00"/>
    <s v="196302101991031002"/>
    <s v="3404071002630003"/>
    <s v="IV/b"/>
    <d v="2024-06-01T00:00:00"/>
    <n v="33"/>
    <n v="3"/>
    <s v="Lektor Kepala"/>
    <d v="2011-10-01T00:00:00"/>
    <x v="2"/>
    <s v="Penerangan dan Penyiaran Agama Islam  IAIN Sunan Kalijaga  Tahun 1990"/>
    <s v="Pendidikan Luar Sekolah  UNY  Tahun 2003"/>
    <m/>
    <s v="092100500211"/>
    <n v="2010026301"/>
    <d v="2028-03-01T00:00:00"/>
    <s v="Manajemen Dakwah (S1)"/>
    <s v="Komunikasi"/>
    <m/>
    <m/>
    <m/>
  </r>
  <r>
    <n v="17"/>
    <s v="Drs. Lathiful Khuluq, M.A., BSW., Ph.D."/>
    <x v="1"/>
    <s v="F. 097447"/>
    <s v="Lamongan"/>
    <d v="1968-06-10T00:00:00"/>
    <s v="196806101992031003"/>
    <s v="3404101006680001"/>
    <s v="IV/c"/>
    <d v="2024-08-01T00:00:00"/>
    <n v="32"/>
    <n v="5"/>
    <s v="Lektor Kepala"/>
    <d v="2013-03-01T00:00:00"/>
    <x v="1"/>
    <s v="Sejarah dan Kebudayaan  Islam  IAIN Sunan Kalijaga  Tahun 1991"/>
    <s v="Islamic Studies McGill University  Tahun 1997"/>
    <s v="Doctor of Philosophy McGill University  Tahun 2009"/>
    <n v="102100504678"/>
    <n v="2010066802"/>
    <d v="2033-07-01T00:00:00"/>
    <s v="Ilmu Kesejahteraan Sosial (S1)"/>
    <s v="Masalah-masalah Kesejahteraan Sosial"/>
    <m/>
    <m/>
    <m/>
  </r>
  <r>
    <n v="18"/>
    <s v="Prof. Dra. Siti Syamsiyatun, MA, Ph.D."/>
    <x v="2"/>
    <s v="G.289532"/>
    <s v="Yogyakarta"/>
    <d v="1964-03-23T00:00:00"/>
    <s v="196403231995032002"/>
    <s v="3471136303640002"/>
    <s v="III/d"/>
    <d v="2017-04-01T00:00:00"/>
    <n v="22"/>
    <n v="1"/>
    <s v="Guru Besar"/>
    <d v="2023-09-01T00:00:00"/>
    <x v="1"/>
    <s v="Ilmu Dakwah  UMY  Tahun 1991"/>
    <s v="Islamic Studies  McGill University  Tahun 1998"/>
    <s v="Politics  Monash University Australia Tahun 2006"/>
    <n v="102100504748"/>
    <n v="2023036401"/>
    <d v="2029-04-01T00:00:00"/>
    <s v="Pengembangan Masyarakat Islam (S2)"/>
    <s v="Kajian Islam dan Gender"/>
    <m/>
    <m/>
    <m/>
  </r>
  <r>
    <n v="19"/>
    <s v="Dr. Pajar Hatma Indra Jaya, S.Sos, M.SI"/>
    <x v="1"/>
    <s v="M. 032988"/>
    <s v="Bantul"/>
    <d v="1981-04-28T00:00:00"/>
    <s v="198104282003121003"/>
    <s v="3402052804810001"/>
    <s v="IV/c"/>
    <d v="2022-10-01T00:00:00"/>
    <n v="18"/>
    <n v="10"/>
    <s v="Lektor Kepala"/>
    <d v="2014-10-01T00:00:00"/>
    <x v="1"/>
    <s v="Sosiologi  UNS  Tahun 2003"/>
    <s v="Sosiologi (Studi Pembangunan)  UGM  Tahun 2005"/>
    <s v="Sosiologi  UGM  Tahun 2012"/>
    <n v="102100504728"/>
    <n v="2028048101"/>
    <d v="2046-05-01T00:00:00"/>
    <s v="Pengembangan Masyarakat Islam (S2)"/>
    <s v="Analisis Problem Sosial"/>
    <s v="Wakil Dekan Bid. Akademik  Fakultas Dakwah dan Komunikasi Masa Jabatan 2024-2028"/>
    <d v="2024-10-14T00:00:00"/>
    <m/>
  </r>
  <r>
    <n v="20"/>
    <s v="Dr. Abdur Rozaki, S. Ag., M.Si"/>
    <x v="1"/>
    <s v="M 215839"/>
    <s v="Bangkalan"/>
    <d v="1975-07-01T00:00:00"/>
    <s v="197507012005011007"/>
    <s v="3404060107750033"/>
    <s v="IV/b"/>
    <d v="2024-04-01T00:00:00"/>
    <n v="19"/>
    <n v="3"/>
    <s v="Lektor Kepala"/>
    <d v="2018-03-01T00:00:00"/>
    <x v="1"/>
    <s v="Aqidah dan Filsafat  IAIN Sunan Kalijaga   Tahun 1999"/>
    <s v="Sosiologi  UGM  Tahun 2003"/>
    <s v="Studi Islam  UIN Sunan Kalijaga    Tahun  2015"/>
    <n v="102100504630"/>
    <n v="2001077503"/>
    <d v="2040-08-01T00:00:00"/>
    <s v="Pengembangan Masyarakat Islam (S2)"/>
    <s v="Sosiologi Agama"/>
    <s v="Wakil Rektor Bidang Kemahasiswaan dan Kerja Sama Periode 2024 - 2028"/>
    <d v="2024-09-18T00:00:00"/>
    <m/>
  </r>
  <r>
    <n v="21"/>
    <s v="Dr. H. Okrisal Eka Putra, Lc, M.Ag"/>
    <x v="1"/>
    <s v="L. 021473"/>
    <s v="Simalanggang"/>
    <d v="1972-10-16T00:00:00"/>
    <s v="197310162000121001"/>
    <s v="3471031610730002"/>
    <s v="IV/a"/>
    <d v="2020-10-01T00:00:00"/>
    <n v="19"/>
    <n v="10"/>
    <s v="Lektor Kepala"/>
    <d v="2019-10-01T00:00:00"/>
    <x v="1"/>
    <s v="Univ. Al-Azhar  F. Syariah  Syariah Islamiah"/>
    <s v="Pengkajian Islam  IAIN Syarif Hidayatullah Tahun 2000"/>
    <s v="Studi Islam  UIN Sunan Kalijaga   Tahun 2015"/>
    <n v="102100504727"/>
    <n v="2016077201"/>
    <d v="2037-08-01T00:00:00"/>
    <s v="Manajemen Dakwah (S1)"/>
    <s v="Ushul Fiqh"/>
    <m/>
    <m/>
    <m/>
  </r>
  <r>
    <n v="22"/>
    <s v="Drs. H. Noor Hamid, M.Pd.I."/>
    <x v="1"/>
    <s v="E 078009"/>
    <s v="Pati"/>
    <d v="1961-12-08T00:00:00"/>
    <s v="196112081986031003"/>
    <s v="3404130812610002"/>
    <s v="IV/b"/>
    <d v="2011-04-01T00:00:00"/>
    <n v="23"/>
    <n v="0"/>
    <s v="Lektor  "/>
    <d v="2021-05-01T00:00:00"/>
    <x v="2"/>
    <s v="Pendidikan Islam  IAIN Sunan Kalijaga  Tahun 1988"/>
    <s v="Pendidikan Islam  UNISMA  Tahun 2004"/>
    <m/>
    <s v="222100517743"/>
    <n v="2008126101"/>
    <d v="2027-01-01T00:00:00"/>
    <s v="Manajemen Dakwah (S1)"/>
    <s v="Manajemen Bimbingan Haji"/>
    <m/>
    <m/>
    <m/>
  </r>
  <r>
    <n v="23"/>
    <s v="Drs. Abdullah, M.Si"/>
    <x v="1"/>
    <s v="F.108910"/>
    <s v="Kuala Simpang"/>
    <d v="1964-02-04T00:00:00"/>
    <s v="196402041992031004"/>
    <s v="3404100402640001"/>
    <s v="III/d"/>
    <d v="2011-10-01T00:00:00"/>
    <n v="17"/>
    <n v="7"/>
    <s v="Lektor"/>
    <d v="2001-10-01T00:00:00"/>
    <x v="2"/>
    <s v="IAIN Sunan Kalijaga  Bimbingan dan Penyuluhan Agama Islam  Tahun 1991"/>
    <s v="Sosiologi  UGM  Tahun 2002"/>
    <m/>
    <s v="092100500305"/>
    <n v="2004026402"/>
    <d v="2029-03-01T00:00:00"/>
    <s v="Bimbingan dan Konseling Islam (S1)"/>
    <s v="Bimbingan dan Penyuluhan"/>
    <m/>
    <m/>
    <m/>
  </r>
  <r>
    <n v="24"/>
    <s v="Dr. Rifai, MA"/>
    <x v="1"/>
    <s v="F.111821"/>
    <s v="Kec. Singkep"/>
    <d v="1961-07-04T00:00:00"/>
    <s v="196107041992031001"/>
    <s v="3471130407610002"/>
    <s v="III/d"/>
    <s v="01-04-2024"/>
    <n v="32"/>
    <n v="1"/>
    <s v="Lektor"/>
    <d v="2002-11-01T00:00:00"/>
    <x v="1"/>
    <s v="Dakwah IAIN Sunan Kalijaga   Tahun 1989"/>
    <s v="Studi Islam  UMY   Tahun 2005"/>
    <s v="Politik Islam UMY  Tahun 2018"/>
    <s v="092100500224"/>
    <n v="2007046101"/>
    <d v="2026-05-01T00:00:00"/>
    <s v="Bimbingan dan Konseling Islam (S1)"/>
    <s v="Ilmu Dakwah"/>
    <m/>
    <m/>
    <m/>
  </r>
  <r>
    <n v="25"/>
    <s v="Ro’fah, M.A., Ph.D."/>
    <x v="2"/>
    <m/>
    <s v="Banyumas"/>
    <d v="1972-08-17T00:00:00"/>
    <s v="197211242001122002"/>
    <s v="3404106411720001"/>
    <s v="IV/a"/>
    <d v="2024-04-01T00:00:00"/>
    <n v="22"/>
    <n v="4"/>
    <s v="Lektor Kepala"/>
    <d v="2023-06-01T00:00:00"/>
    <x v="1"/>
    <s v="Peradilan Agama IAIN Syarif Hidayatullah Tahun 1996"/>
    <s v="Islamic Studies, Mc.Gill University, 2000"/>
    <s v="Social Work McGill University, 2011"/>
    <n v="112100511200007"/>
    <n v="2017087202"/>
    <d v="2037-09-01T00:00:00"/>
    <s v="Interdiciplinary Islamic Studies (S2)"/>
    <s v="Pekerja Sosial"/>
    <m/>
    <m/>
    <m/>
  </r>
  <r>
    <n v="26"/>
    <s v="Dra. Nurmahni, M.Ag"/>
    <x v="2"/>
    <s v="I.289223"/>
    <s v="Langsa"/>
    <s v="19-05-1972"/>
    <s v="197205191998032001"/>
    <s v="3404075905720004"/>
    <s v="III/c"/>
    <d v="2004-10-01T00:00:00"/>
    <n v="6"/>
    <n v="7"/>
    <s v="Lektor"/>
    <d v="2005-05-01T00:00:00"/>
    <x v="2"/>
    <s v="Bahasa Arab  IAIN Sumatera Utara  Tahun 1994"/>
    <s v="IAIN Imam Bonjol  Pengkajian Islam Kons. Tafsir Hadis  Tahun 2000"/>
    <m/>
    <n v="102100504724"/>
    <n v="2019057201"/>
    <d v="2037-06-01T00:00:00"/>
    <s v="Manajemen Dakwah (S1)"/>
    <s v="Hadits"/>
    <m/>
    <m/>
    <m/>
  </r>
  <r>
    <n v="27"/>
    <s v="Dr. Khadiq, S.Ag.,M.Hum."/>
    <x v="1"/>
    <s v="J 009920"/>
    <s v="Boyolali"/>
    <d v="1970-01-25T00:00:00"/>
    <s v="197001251999031001"/>
    <s v="3309072501700002"/>
    <s v="III/d"/>
    <d v="2005-10-01T00:00:00"/>
    <n v="15"/>
    <n v="7"/>
    <s v="Lektor"/>
    <d v="2005-10-01T00:00:00"/>
    <x v="1"/>
    <s v="Penerangan dan Penyiaran Agama Islam  IAIN Sunan Kalijaga  Tahun 1997"/>
    <s v="UGM   Sejarah  Tahun 2004"/>
    <s v="Sejarah Islam UGM Tahun 2016"/>
    <n v="102100504674"/>
    <n v="2025017001"/>
    <d v="2035-02-01T00:00:00"/>
    <s v="Komunikasi dan Penyiaran Islam (S2)"/>
    <s v="Sejarah Dakwah"/>
    <s v="Sekretaris Program Studi (S2) Komunikasi dan Penyiaran Islam"/>
    <d v="2024-11-18T00:00:00"/>
    <m/>
  </r>
  <r>
    <n v="28"/>
    <s v="Dr. Hj. Mikhriani, MM"/>
    <x v="2"/>
    <s v="J. 139186"/>
    <s v="Belinyu"/>
    <d v="1964-05-12T00:00:00"/>
    <s v="196405122000032001"/>
    <s v="3404125205640003"/>
    <s v="III/d"/>
    <d v="2009-10-01T00:00:00"/>
    <n v="9"/>
    <n v="7"/>
    <s v="Lektor"/>
    <d v="2007-01-01T00:00:00"/>
    <x v="1"/>
    <s v="Manajemen  UPN Veteran Yogyakarta Tahun 1990"/>
    <s v="Ekonomi  Manajemen Pemasaran STIE Mitra Indonesia Yogyakarta  Tahun 1997"/>
    <s v="UII Tahun 2020"/>
    <n v="102100504689"/>
    <n v="2012056401"/>
    <d v="2029-06-01T00:00:00"/>
    <s v="Manajemen Dakwah (S1)"/>
    <s v="Manajemen"/>
    <m/>
    <m/>
    <m/>
  </r>
  <r>
    <n v="29"/>
    <s v="Drs. Muhammad Hafiun, M.Pd."/>
    <x v="1"/>
    <s v="E.845918"/>
    <s v="Berenyah"/>
    <d v="1962-05-20T00:00:00"/>
    <s v="196205201989031002"/>
    <s v="3404102005620002"/>
    <s v="III/d"/>
    <d v="2007-04-01T00:00:00"/>
    <n v="18"/>
    <n v="1"/>
    <s v="Lektor"/>
    <d v="2007-04-01T00:00:00"/>
    <x v="2"/>
    <s v="Dakwah  IAIN Sunan Kalijaga  Tahun 1988"/>
    <s v="Pendidikan Ilmu Pengetahuan Sosial  UNY  Tahun 2005"/>
    <m/>
    <s v="092100500205"/>
    <n v="2020056201"/>
    <d v="2027-06-01T00:00:00"/>
    <s v="Bimbingan dan Konseling Islam (S1)"/>
    <s v="Akhlak / Tasawuf"/>
    <m/>
    <m/>
    <m/>
  </r>
  <r>
    <n v="30"/>
    <s v="Drs. M. Rosyid Ridla, M.Si"/>
    <x v="1"/>
    <s v="F.113273"/>
    <s v="Surakarta"/>
    <d v="1967-01-04T00:00:00"/>
    <s v="196701041993031003"/>
    <s v="3402160401670002"/>
    <s v="III/d"/>
    <d v="2009-10-01T00:00:00"/>
    <n v="16"/>
    <n v="7"/>
    <s v="Lektor"/>
    <d v="2007-09-01T00:00:00"/>
    <x v="2"/>
    <s v="Bimbingan Penyuluhan Agama Islam  IAIN Sunan Kalijaga  Tahun  1991"/>
    <s v="Psikologi  UGM  Tahun 2004"/>
    <m/>
    <n v="102100504700"/>
    <n v="2004016701"/>
    <d v="2032-02-01T00:00:00"/>
    <s v="Manajemen Dakwah (S1)"/>
    <s v="Filsafat Dakwah"/>
    <m/>
    <m/>
    <m/>
  </r>
  <r>
    <n v="31"/>
    <s v="Slamet, S.Ag, M.Si"/>
    <x v="1"/>
    <s v="H 068461"/>
    <s v="Bantul"/>
    <d v="1969-12-14T00:00:00"/>
    <s v="196912141998031002"/>
    <s v="3402081412690002"/>
    <s v="III/d"/>
    <d v="2013-10-01T00:00:00"/>
    <n v="15"/>
    <n v="7"/>
    <s v="Lektor"/>
    <d v="2007-09-01T00:00:00"/>
    <x v="2"/>
    <s v="Penerangan dan Penyiaran Agama Islam  STIDMS Yogyakarta  Tahun 1995"/>
    <s v="Psikologi  UGM  Tahun 2005"/>
    <m/>
    <n v="102100504749"/>
    <n v="2014126901"/>
    <d v="2035-01-01T00:00:00"/>
    <s v="Bimbingan dan Konseling Islam (S1)"/>
    <s v="Psikologi Dakwah"/>
    <m/>
    <m/>
    <m/>
  </r>
  <r>
    <n v="32"/>
    <s v="Dra. Siti Fatimah, M.Pd."/>
    <x v="2"/>
    <s v="G.142963"/>
    <s v="Surakarta"/>
    <d v="1969-04-01T00:00:00"/>
    <s v="196904011994032002"/>
    <s v="3402124104690005"/>
    <s v="III/d"/>
    <d v="2009-04-01T00:00:00"/>
    <n v="15"/>
    <n v="1"/>
    <s v="Lektor"/>
    <d v="2009-01-01T00:00:00"/>
    <x v="2"/>
    <s v="Penerangan dan Penyiaran Agama Islam  IAIN Sunan Kalijaga Tahun 1993"/>
    <s v="Pendidikan Luar Sekolah  UNY  Tahun 2003"/>
    <m/>
    <n v="102100504741"/>
    <n v="2001046901"/>
    <d v="2034-05-01T00:00:00"/>
    <s v="Manajemen Dakwah (S1)"/>
    <s v="Manajemen Dakwah"/>
    <m/>
    <m/>
    <m/>
  </r>
  <r>
    <n v="33"/>
    <s v="Dr. H. Muhsin, S.Ag, MA"/>
    <x v="1"/>
    <s v="M. 032987"/>
    <s v="Tulung Agung"/>
    <d v="1970-04-03T00:00:00"/>
    <s v="197004032003121001"/>
    <s v="3404070304700003"/>
    <s v="III/d"/>
    <d v="2013-04-01T00:00:00"/>
    <n v="9"/>
    <n v="4"/>
    <s v="Lektor"/>
    <d v="2009-04-01T00:00:00"/>
    <x v="1"/>
    <s v="IAIN Sunan Kalijaga  Penerangan dan Penyiaran Agama Islam  Tahun 1997"/>
    <s v="UMY  Studi Islam  Tahun 2004"/>
    <s v="Psikologi Pendidikan Islam UMY    Tahun 2018"/>
    <n v="102100504705"/>
    <n v="2003047003"/>
    <d v="2035-05-01T00:00:00"/>
    <s v="Bimbingan dan Konseling Islam (S2)"/>
    <s v="Psikologi Pendidikan"/>
    <s v="Wakil Dekan Bid. Kemahasiswaan dan Kerjasama  Fakultas Dakwah dan Komunikasi Masa Jabatan 2024-2028"/>
    <d v="2024-10-14T00:00:00"/>
    <m/>
  </r>
  <r>
    <n v="34"/>
    <s v="Early Maghfiroh Innayati, S.Ag. M.Si"/>
    <x v="2"/>
    <s v="L 068466"/>
    <s v="Yogyakarta"/>
    <d v="1974-10-25T00:00:00"/>
    <s v="197410251998032001"/>
    <s v="3471066510740007"/>
    <s v="III/d"/>
    <d v="2011-04-01T00:00:00"/>
    <n v="13"/>
    <n v="1"/>
    <s v="Lektor"/>
    <d v="2010-08-01T00:00:00"/>
    <x v="2"/>
    <s v="Komunikasi dan Penyiaran Islam  UMY  Tahun 1997"/>
    <s v="Psikologi  UGM  Tahun 2003"/>
    <m/>
    <n v="102100504652"/>
    <n v="2025107403"/>
    <d v="2039-11-01T00:00:00"/>
    <s v="Manajemen Dakwah (S1)"/>
    <s v="Psikologi Agama "/>
    <m/>
    <m/>
    <m/>
  </r>
  <r>
    <n v="35"/>
    <s v="Dr. Asep Jahidin, S.Ag., M.Si."/>
    <x v="1"/>
    <s v="N 044382"/>
    <s v="Bandung"/>
    <s v="30-08-1975"/>
    <s v="197508302006041002"/>
    <s v="3402123008750003"/>
    <s v="III/d"/>
    <d v="2018-10-01T00:00:00"/>
    <n v="12"/>
    <n v="6"/>
    <s v="Lektor"/>
    <s v="01-05-2011"/>
    <x v="1"/>
    <s v="Bahasa dan Sastra Arab  IAIN Sunan Gunung Djati  Tahun 2001"/>
    <s v="Sosiologi  UI  Tahun 2005"/>
    <s v="Kesejahteraan Sosial Universitas Padjajaran Tahun 2020"/>
    <n v="102100504646"/>
    <s v="2030087502"/>
    <d v="2040-09-01T00:00:00"/>
    <s v="Ilmu Kesejahteraan Sosial (S1)"/>
    <s v="Managemen Kesejahteraan Sosial"/>
    <s v="Koordinator Pusat Layanan Difabel pada LP2M Masa Jabatan 2024-2028"/>
    <d v="2024-10-14T00:00:00"/>
    <m/>
  </r>
  <r>
    <n v="36"/>
    <s v="Muh. Toriq Nurmadiansyah, S.Ag.,M.Si."/>
    <x v="1"/>
    <s v="M. 032989"/>
    <s v="Yogyakarta"/>
    <d v="1969-02-27T00:00:00"/>
    <s v="196902272003121001"/>
    <s v="3404072702690002"/>
    <s v="III/d"/>
    <d v="2024-04-01T00:00:00"/>
    <n v="20"/>
    <n v="4"/>
    <s v="Lektor"/>
    <d v="2013-03-01T00:00:00"/>
    <x v="2"/>
    <s v="Penerangan dan Penyiaran Agama Islam  IAIN Sunan Kalijaga  Tahun 1997"/>
    <s v="Studi Islam Konsentrasi Ekonomi Islam  UII  Tahun 2003"/>
    <m/>
    <n v="102100504702"/>
    <n v="2027026901"/>
    <d v="2034-03-01T00:00:00"/>
    <s v="Manajemen Dakwah (S1)"/>
    <s v="Manajemen Keuangan Islam "/>
    <s v="Koordinator Pusat Pengabdian kepada Masyarakat pada LP2M Masa Jabatan 2024-2028"/>
    <d v="2024-10-14T00:00:00"/>
    <m/>
  </r>
  <r>
    <n v="37"/>
    <s v="Andayani, SIP, MSW"/>
    <x v="2"/>
    <s v="J. 090676"/>
    <s v="Samarinda"/>
    <d v="1972-10-16T00:00:00"/>
    <s v="197210161999032008"/>
    <s v="3404075610720007"/>
    <s v="III/c"/>
    <d v="2020-10-01T00:00:00"/>
    <n v="21"/>
    <n v="7"/>
    <s v="Lektor"/>
    <d v="2013-09-01T00:00:00"/>
    <x v="2"/>
    <s v="Ilmu Komunikasi  UGM  Tahun 1998"/>
    <s v="Sosial Work McGill University Canada  Tahun  2006"/>
    <m/>
    <n v="112100511440012"/>
    <n v="2016107202"/>
    <d v="2037-11-01T00:00:00"/>
    <s v="Ilmu Kesejahteraan Sosial (S1)"/>
    <s v="Ilmu Intervensi Dalam Kesejahteraan Sosial"/>
    <m/>
    <m/>
    <m/>
  </r>
  <r>
    <n v="38"/>
    <s v="Dra. Anisah Indriati, M.Si"/>
    <x v="2"/>
    <s v="G.173668"/>
    <s v="Temanggung"/>
    <d v="1966-12-26T00:00:00"/>
    <s v="196612261992032002"/>
    <s v="3323132612650003"/>
    <s v="III/d"/>
    <d v="2024-04-01T00:00:00"/>
    <n v="32"/>
    <n v="1"/>
    <s v="Lektor"/>
    <d v="2013-12-01T00:00:00"/>
    <x v="2"/>
    <s v="Bimbingan dan Penyuluhan Agama Islam  IAIN Sunan Kalijaga  Tahun 1991"/>
    <s v="Sosiologi  UGM  Tahun  2003"/>
    <m/>
    <n v="102100504642"/>
    <n v="2026126601"/>
    <d v="2032-01-01T00:00:00"/>
    <s v="Komunikasi dan Penyiaran Islam (S1)"/>
    <s v="Tafsir"/>
    <m/>
    <m/>
    <m/>
  </r>
  <r>
    <n v="39"/>
    <s v="A. Said Hasan Basri, S.Psi, M.Si"/>
    <x v="1"/>
    <s v="N 519110"/>
    <s v="Jember"/>
    <s v="27-04-1975"/>
    <s v="197504272008011008"/>
    <s v="3404072704750006"/>
    <s v="III/d"/>
    <s v="01-04-2018"/>
    <n v="10"/>
    <n v="3"/>
    <s v="Lektor"/>
    <d v="2014-03-01T00:00:00"/>
    <x v="2"/>
    <s v="Psikologi  UAD  Tahun 2004"/>
    <s v="Psikologi  UGM  Tahun 2007"/>
    <m/>
    <n v="112100513400025"/>
    <n v="2027047501"/>
    <s v="01-05-2040"/>
    <s v="Bimbingan dan Konseling Islam (S1)"/>
    <s v="Psikologi Konseling"/>
    <m/>
    <m/>
    <m/>
  </r>
  <r>
    <n v="40"/>
    <s v="Aryan Torrido, SE.,M.Si."/>
    <x v="1"/>
    <s v="P 437830"/>
    <s v="Yogyakarta"/>
    <d v="1975-05-10T00:00:00"/>
    <s v="197505102009011016"/>
    <s v="3404071005750014"/>
    <s v="III/d"/>
    <s v="01-04-2024"/>
    <n v="15"/>
    <n v="3"/>
    <s v="Lektor"/>
    <d v="2014-05-01T00:00:00"/>
    <x v="2"/>
    <s v="Manajemen  UPN Veteran Yogyakarta Tahun 2000"/>
    <s v="Sosiologi (Kebijakan dan Kesejahteraan Sosial UGM   Tahun 2006"/>
    <m/>
    <n v="122100509809"/>
    <n v="2010057502"/>
    <d v="2040-06-01T00:00:00"/>
    <s v="Ilmu Kesejahteraan Sosial (S1)"/>
    <s v="Kebijakan Kesejahteraan Sosial"/>
    <s v="Sekretaris Program Studi Magister (S2) Ilmu Kesejahteraan Sosial  "/>
    <d v="2024-10-21T00:00:00"/>
    <m/>
  </r>
  <r>
    <n v="41"/>
    <s v="Dr. Mohammad Zamroni, S.Sos.I.,M.Si."/>
    <x v="1"/>
    <s v="P 437829"/>
    <s v="Kudus"/>
    <d v="1978-07-17T00:00:00"/>
    <s v="197807172009011012"/>
    <s v="3471131707780004"/>
    <s v="III/d"/>
    <d v="2024-04-01T00:00:00"/>
    <n v="15"/>
    <n v="3"/>
    <s v="Lektor"/>
    <d v="2015-07-01T00:00:00"/>
    <x v="1"/>
    <s v="Komunikasi dan Penyiaran Islam  IAIN Sunan Kalijaga  Tahun 2003"/>
    <s v="Ilmu Komunikasi UI   Tahun 2006"/>
    <s v="Ilmu Komunikasi UNPAD Tahun 2022"/>
    <n v="142100512835"/>
    <s v="0517077802"/>
    <d v="2043-08-01T00:00:00"/>
    <s v="Komunikasi dan Penyiaran Islam (S1)"/>
    <s v="Ilmu komunikasi"/>
    <m/>
    <m/>
    <s v=" "/>
  </r>
  <r>
    <n v="42"/>
    <s v="Siti Solechah, S.Sos.I., M.Si."/>
    <x v="2"/>
    <s v="P. 512924"/>
    <s v="Banjarnegara"/>
    <d v="1983-05-19T00:00:00"/>
    <s v="198305192009122002"/>
    <s v="3304065945830006"/>
    <s v="III/d"/>
    <d v="2024-04-01T00:00:00"/>
    <n v="14"/>
    <n v="4"/>
    <s v="Lektor"/>
    <d v="2016-09-01T00:00:00"/>
    <x v="2"/>
    <s v="Pengembangan Masyarakat Islam  UIN Sunan Kalijaga   Tahun 2006 "/>
    <s v="Interdisiplinary Islamic Studies Kons. Pekerjaan Sosial  UIN Sunan Kalijaga  Tahun 2009"/>
    <s v=" "/>
    <n v="132100511994"/>
    <n v="2019058301"/>
    <d v="2048-06-01T00:00:00"/>
    <s v="Ilmu Kesejahteraan Sosial (S1)"/>
    <s v="Praktikum Pekerjaan Sosial"/>
    <m/>
    <m/>
    <m/>
  </r>
  <r>
    <n v="43"/>
    <s v="Noorkamilah, S.Ag.,M.Si"/>
    <x v="2"/>
    <s v="N. 044383"/>
    <s v="Ciamis"/>
    <d v="1974-04-08T00:00:00"/>
    <s v="197404082006042002"/>
    <s v="3402124804740002"/>
    <s v="III/c"/>
    <d v="2020-10-01T00:00:00"/>
    <n v="14"/>
    <n v="6"/>
    <s v="Lektor"/>
    <s v="01-10-2016"/>
    <x v="2"/>
    <s v="Kependidikan Islam  IAIN Sunan Kalijaga  Tahun 2001"/>
    <s v="Sosiologi   UI  Tahun 2006"/>
    <m/>
    <n v="102100504718"/>
    <n v="2008047402"/>
    <d v="2039-05-01T00:00:00"/>
    <s v="Ilmu Kesejahteraan Sosial (S1)"/>
    <s v="Kesejahteraan Sosial"/>
    <m/>
    <m/>
    <m/>
  </r>
  <r>
    <n v="44"/>
    <s v="Dr. Maryono, S. Ag., M. Pd."/>
    <x v="1"/>
    <s v="M 215838"/>
    <s v="Sleman"/>
    <d v="1970-10-26T00:00:00"/>
    <s v="197010262005011005"/>
    <s v="3404142610710001"/>
    <s v="III/c"/>
    <d v="2018-10-01T00:00:00"/>
    <n v="13"/>
    <n v="9"/>
    <s v="Lektor"/>
    <d v="2017-10-01T00:00:00"/>
    <x v="1"/>
    <s v="Aqidah Filsafat  IAIN Sunan Kalijaga  Tahun 1999"/>
    <s v="Manajemen Pendidikan UNY  Tahun 2003"/>
    <s v="Manajemen Pendidikan UNY  Tahun 2019"/>
    <n v="102100504686"/>
    <n v="2026107001"/>
    <d v="2035-11-01T00:00:00"/>
    <s v="Manajemen Dakwah (S1)"/>
    <s v="Ilmu Manajemen Organisasi"/>
    <m/>
    <m/>
    <m/>
  </r>
  <r>
    <n v="45"/>
    <s v="Nanang Mizwar Hasyim, S.Sos., M.Si."/>
    <x v="1"/>
    <s v=" "/>
    <s v="Bojonegoro"/>
    <d v="1984-03-07T00:00:00"/>
    <s v="198403072011011013"/>
    <s v="3622160703840008"/>
    <s v="III/d"/>
    <d v="2022-04-01T00:00:00"/>
    <n v="11"/>
    <n v="3"/>
    <s v="Lektor"/>
    <d v="2018-09-01T00:00:00"/>
    <x v="2"/>
    <s v="IAIN Sunan Ampel  Ilmu Komunikasi  Tahun 2007"/>
    <s v="Univ. Dr. Sutomo  Ilmu Komunikasi  Tahun 2009"/>
    <m/>
    <n v="142100512850"/>
    <n v="2007038401"/>
    <d v="2049-04-01T00:00:00"/>
    <s v="Komunikasi dan Penyiaran Islam (S1)"/>
    <s v="Ilmu Komunikasi Massa"/>
    <m/>
    <m/>
    <m/>
  </r>
  <r>
    <n v="46"/>
    <s v="Muhammad Izzul Haq, S.Sos., M.Sc."/>
    <x v="1"/>
    <s v="P 437831"/>
    <s v="Jombang"/>
    <s v="23-08-1981"/>
    <s v="198108232009011007"/>
    <s v="3517102308810001"/>
    <s v="III/c"/>
    <s v="01-10-2019"/>
    <n v="10"/>
    <n v="9"/>
    <s v="Lektor"/>
    <d v="2019-04-01T00:00:00"/>
    <x v="2"/>
    <s v="Ilmu Sosiatri  UGM  Tahun 2006"/>
    <s v="Social Policy and Development   University of London  Tahun 2007 "/>
    <m/>
    <n v="122100509810"/>
    <n v="2023088101"/>
    <s v="01-09-2046"/>
    <s v="Ilmu Kesejahteraan Sosial (S1)"/>
    <s v="Sosiologi Kebijakan Sosial"/>
    <s v="Ketua Program Studi Ilmu Kesejahteraan Sosial  "/>
    <d v="2024-10-21T00:00:00"/>
    <m/>
  </r>
  <r>
    <n v="47"/>
    <s v="Dra. Evi Septiani Tavip Hayati, M.Si"/>
    <x v="2"/>
    <s v="G.013071"/>
    <s v="Cirebon"/>
    <d v="1964-09-23T00:00:00"/>
    <s v="196409231992032001"/>
    <s v="3471136309640002"/>
    <s v="III/d"/>
    <d v="2024-10-01T00:00:00"/>
    <n v="32"/>
    <n v="7"/>
    <s v="Lektor"/>
    <d v="2022-04-01T00:00:00"/>
    <x v="2"/>
    <s v="Perbandingan Agama  IAIN Sunan Kalijaga  Tahun 1991"/>
    <s v="Sosiologi  UGM  Tahun 2004"/>
    <m/>
    <n v="102100504658"/>
    <n v="2023096401"/>
    <d v="2029-10-01T00:00:00"/>
    <s v="Komunikasi dan Penyiaran Islam (S1)"/>
    <s v="Komunikasi Dakwah"/>
    <m/>
    <m/>
    <m/>
  </r>
  <r>
    <n v="48"/>
    <s v="Achmad Muhamad, S.Ag., M.Ag."/>
    <x v="1"/>
    <s v="J 090954"/>
    <s v="Gresik"/>
    <d v="1972-07-19T00:00:00"/>
    <s v="197207192000031002"/>
    <s v="3471131907720006"/>
    <s v="III/c"/>
    <d v="2024-10-01T00:00:00"/>
    <n v="24"/>
    <n v="7"/>
    <s v="Lektor"/>
    <d v="2022-03-01T00:00:00"/>
    <x v="2"/>
    <s v="Bahasa dan Sastra Arab  IAIN Sunan Kalijaga  Tahun 1997"/>
    <s v="Agama dan Filsafat Kons. Filsafat Islam  IAIN Sunan Kalijaga  Tahun 1999"/>
    <m/>
    <n v="102100504632"/>
    <n v="2019077202"/>
    <d v="2037-08-01T00:00:00"/>
    <s v="Manajemen Dakwah (S1)"/>
    <s v="Kepemimpinan Islam"/>
    <m/>
    <m/>
    <m/>
  </r>
  <r>
    <n v="49"/>
    <s v="Saptoni, S.Ag., M.A."/>
    <x v="1"/>
    <s v="J. 009919"/>
    <s v="Ngawi"/>
    <d v="1973-02-21T00:00:00"/>
    <s v="197302211999031002"/>
    <s v="3402132102730002"/>
    <s v="III/c"/>
    <d v="2024-10-01T00:00:00"/>
    <n v="25"/>
    <n v="7"/>
    <s v="Lektor"/>
    <d v="2022-04-01T00:00:00"/>
    <x v="2"/>
    <s v="Perandilan Agama  IAIN Sunan Kalijaga   Tahun 1997"/>
    <s v="Leiden University Netherlands  Islamologie Tahun  2004"/>
    <m/>
    <n v="102100504736"/>
    <n v="2021027301"/>
    <d v="2038-03-01T00:00:00"/>
    <s v="Komunikasi dan Penyiaran Islam (S1)"/>
    <s v="Ushul Figh"/>
    <s v="Ketua Program Studi Komunikasi dan Penyiaran Islam"/>
    <d v="2024-10-21T00:00:00"/>
    <m/>
  </r>
  <r>
    <n v="50"/>
    <s v="Siti Aminah, S.Sos.I., M.Si."/>
    <x v="2"/>
    <s v="P. 684479"/>
    <s v="Kuningan"/>
    <d v="1983-08-11T00:00:00"/>
    <s v="198308112011012010"/>
    <s v="3208015108830002"/>
    <s v="III/d"/>
    <d v="2023-10-01T00:00:00"/>
    <n v="12"/>
    <n v="9"/>
    <s v="Lektor"/>
    <d v="2020-10-01T00:00:00"/>
    <x v="2"/>
    <s v="Pengembangan Masyarakat Islam  UIN Sunan Kalijaga  Tahun 2006"/>
    <s v="Interdisciplinary Islamic Studies  Kons. Pekerjaan Sosial  UIN Sunan Kalijaga  Tahun 2010"/>
    <s v=" "/>
    <n v="142100512849"/>
    <s v="2011088301"/>
    <d v="2048-09-01T00:00:00"/>
    <s v="Pengembangan Masyarakat Islam (S1)"/>
    <s v="Psikologi Terapan Pemberdayaan Masyarakat"/>
    <s v="Ketua Program Studi Pengembangan Masyarakat Islam"/>
    <d v="2024-10-21T00:00:00"/>
    <m/>
  </r>
  <r>
    <n v="51"/>
    <s v="Aris Risdiana, S.Sos.I., MM."/>
    <x v="1"/>
    <s v="P. 684479"/>
    <s v="Tasikmalaya"/>
    <d v="1982-08-04T00:00:00"/>
    <s v="198208042011011007"/>
    <s v="3314135207850002"/>
    <s v="III/c"/>
    <d v="2023-10-01T00:00:00"/>
    <n v="12"/>
    <n v="9"/>
    <s v="Lektor"/>
    <d v="2023-01-01T00:00:00"/>
    <x v="2"/>
    <s v="Manajemen Dakwah  UIN Sunan Kalijaga  Tahun 2005"/>
    <s v="Magister Manajemen Konsentrasi Manajemen SDM  UMY  Tahun 2010"/>
    <s v=" "/>
    <n v="142100512848"/>
    <s v="0504088201"/>
    <d v="2047-09-01T00:00:00"/>
    <s v="Manajemen Dakwah (S1)"/>
    <s v="Manajemen SDM"/>
    <s v="Anggota Pusat Pengembangan Bisnis"/>
    <d v="2024-12-11T00:00:00"/>
    <m/>
  </r>
  <r>
    <n v="52"/>
    <s v="Citra Widyastuti, M.Psi."/>
    <x v="2"/>
    <s v="B 01034724"/>
    <s v="Mataram"/>
    <d v="1986-09-08T00:00:00"/>
    <s v="198609082018012002"/>
    <s v="3402164809860003"/>
    <s v="III/c"/>
    <d v="2023-10-01T00:00:00"/>
    <n v="5"/>
    <n v="9"/>
    <s v="Lektor"/>
    <d v="2023-01-01T00:00:00"/>
    <x v="2"/>
    <s v="Psikologi  UII  Tahun 2008"/>
    <s v="Profesi Psikologi UGM    Tahun 2012"/>
    <m/>
    <s v="232100519176"/>
    <s v="2008098602"/>
    <d v="2051-10-01T00:00:00"/>
    <s v="Bimbingan dan Konseling Islam (S1)"/>
    <s v="Konseling Rehabilitasi"/>
    <s v="Koordinator Divisi Konsultasi  dan Bimbingan Karir pada CENDI"/>
    <d v="2022-08-25T00:00:00"/>
    <s v=" "/>
  </r>
  <r>
    <n v="53"/>
    <s v="Rahadiyand Aditya, M.A."/>
    <x v="1"/>
    <m/>
    <s v="Bekasi "/>
    <d v="1993-06-10T00:00:00"/>
    <s v="199306102019031009 "/>
    <s v="3275051006930009"/>
    <s v="III/c"/>
    <d v="2023-10-01T00:00:00"/>
    <n v="4"/>
    <n v="7"/>
    <s v="Lektor"/>
    <d v="2022-11-01T00:00:00"/>
    <x v="2"/>
    <m/>
    <s v="Pembangunan Sosial dan Kesejahteraan UGM Tahun 2016"/>
    <m/>
    <m/>
    <s v="2006109302"/>
    <d v="2058-06-01T00:00:00"/>
    <s v="Pengembangan Masyarakat Islam (S1)"/>
    <s v="Pengembangan Masyarakat Islam"/>
    <m/>
    <m/>
    <s v="TUGAS BELAJAR"/>
  </r>
  <r>
    <n v="54"/>
    <s v="Arya Fendha Ibnu Shina, M.Si."/>
    <x v="2"/>
    <m/>
    <s v="Magelang"/>
    <d v="1990-06-28T00:00:00"/>
    <s v="199006282019032022 "/>
    <s v="3308026806900003"/>
    <s v="III/c"/>
    <d v="2023-10-01T00:00:00"/>
    <n v="4"/>
    <n v="7"/>
    <s v="Lektor"/>
    <d v="2023-01-01T00:00:00"/>
    <x v="2"/>
    <s v="UNDIP Tahun 2012"/>
    <s v="Statistika Institut Teknologi Sepuluh Nopember Tahun 2015"/>
    <m/>
    <s v="232100519184"/>
    <s v="2028069001"/>
    <d v="2055-07-01T00:00:00"/>
    <s v="Bimbingan dan Konseling Islam (S1)"/>
    <s v="Statistik"/>
    <m/>
    <m/>
    <m/>
  </r>
  <r>
    <n v="55"/>
    <s v="Muhamad Lutfi Habibi, M.A."/>
    <x v="1"/>
    <m/>
    <s v="Magelang"/>
    <d v="1991-03-29T00:00:00"/>
    <s v="199103292019031013 "/>
    <s v="3308102903910002"/>
    <s v="III/c"/>
    <d v="2023-10-01T00:00:00"/>
    <n v="4"/>
    <n v="7"/>
    <s v="Lektor"/>
    <d v="2023-01-01T00:00:00"/>
    <x v="2"/>
    <s v="UNY Tahun 2013"/>
    <s v="Ilmu Komunikasi UGM Tahun 2016"/>
    <m/>
    <s v="232100519181 "/>
    <n v="2029039104"/>
    <d v="2056-04-01T00:00:00"/>
    <s v="Komunikasi dan Penyiaran Islam (S1)"/>
    <s v="Desain Komunikasi Visual dan Animasi"/>
    <m/>
    <m/>
    <m/>
  </r>
  <r>
    <n v="56"/>
    <s v="Ferra Puspito Sari, M.Pd."/>
    <x v="2"/>
    <m/>
    <s v="Madiun"/>
    <d v="1991-02-15T00:00:00"/>
    <s v="199102152019032018 "/>
    <s v="3577015502910001"/>
    <s v="III/c"/>
    <d v="2023-10-01T00:00:00"/>
    <n v="4"/>
    <n v="7"/>
    <s v="Lektor"/>
    <d v="2022-11-01T00:00:00"/>
    <x v="2"/>
    <s v="Univ. Negeri Surabaya Tahun 2013"/>
    <s v="Pendidikan Luar Biasa Universitas Negeri Surabaya Tahun 2016"/>
    <m/>
    <s v="232100519174"/>
    <s v="2015029102"/>
    <d v="2056-03-01T00:00:00"/>
    <s v="Bimbingan dan Konseling Islam (S1)"/>
    <s v="Konseling Kebutuhan Khusus"/>
    <m/>
    <m/>
    <m/>
  </r>
  <r>
    <n v="57"/>
    <s v="Shofi'unnafi, M.M."/>
    <x v="1"/>
    <m/>
    <s v="Pati"/>
    <d v="1992-08-13T00:00:00"/>
    <s v="199208132019031006"/>
    <s v="3318011308920001"/>
    <s v="III/c"/>
    <d v="2023-10-01T00:00:00"/>
    <n v="4"/>
    <n v="7"/>
    <s v="Lektor"/>
    <d v="2022-11-01T00:00:00"/>
    <x v="2"/>
    <s v="UIN Sunan Kalijaga Tahun 2014"/>
    <s v="Manajemen UII Tahun 2017"/>
    <m/>
    <s v="232100519182"/>
    <s v="2013089201"/>
    <d v="2057-09-01T00:00:00"/>
    <s v="Manajemen Dakwah (S1)"/>
    <s v="Manajemen Wisata Keagamaan"/>
    <m/>
    <m/>
    <m/>
  </r>
  <r>
    <n v="58"/>
    <s v="Ahmad Izudin, M.Si."/>
    <x v="1"/>
    <m/>
    <s v="Sukabumi"/>
    <d v="1989-09-12T00:00:00"/>
    <s v="198909122019031008 "/>
    <s v="3202241209890004"/>
    <s v="III/c"/>
    <d v="2023-10-01T00:00:00"/>
    <n v="4"/>
    <n v="7"/>
    <s v="Lektor"/>
    <d v="2022-11-01T00:00:00"/>
    <x v="2"/>
    <s v="UIN Sunan Kalijaga Tahun 2013"/>
    <s v="Interdisiplinary Islamic Studies Konsentrasi Pekerjaan Sosial UIN Sunan Kalijaga Tahun 2015"/>
    <m/>
    <s v="232100519192"/>
    <s v="2112098901"/>
    <d v="2055-01-01T00:00:00"/>
    <s v="Pengembangan Masyarakat Islam (S1)"/>
    <s v="Pembangunan Sosial"/>
    <s v="Sekretaris Program Studi Magister (S2) Pengembangan Masyarakat Islam"/>
    <d v="2024-10-21T00:00:00"/>
    <m/>
  </r>
  <r>
    <n v="59"/>
    <s v="Beti Nur Hayati, M.A."/>
    <x v="2"/>
    <m/>
    <s v="Boyolali"/>
    <d v="1993-10-12T00:00:00"/>
    <s v="199310122019032011 "/>
    <s v="3309125210939002"/>
    <s v="III/c"/>
    <d v="2023-10-01T00:00:00"/>
    <n v="4"/>
    <n v="7"/>
    <s v="Lektor"/>
    <d v="2022-11-01T00:00:00"/>
    <x v="2"/>
    <s v="UGM Tahun 2016"/>
    <s v="Pembangunan Sosial UGM Tahun 2018"/>
    <m/>
    <s v="232100519180"/>
    <s v="2012109301"/>
    <d v="2058-11-01T00:00:00"/>
    <s v="Pengembangan Masyarakat Islam (S1)"/>
    <s v="Pemberdayaan Masyarakat"/>
    <m/>
    <m/>
    <m/>
  </r>
  <r>
    <n v="60"/>
    <s v="Mochammad Sinung Restendy, M.Sos."/>
    <x v="1"/>
    <m/>
    <s v="Tulungagung"/>
    <d v="1989-04-19T00:00:00"/>
    <s v="198904192019031009 "/>
    <s v="3504021904890004"/>
    <s v="III/c"/>
    <d v="2023-10-01T00:00:00"/>
    <n v="10"/>
    <n v="3"/>
    <s v="Lektor"/>
    <d v="2022-11-01T00:00:00"/>
    <x v="2"/>
    <s v="STAIN Tulungaggung Tahun 2011"/>
    <s v="Komunikasi Penyiaran Islam UIN Sunan Ampel Surabaya Tahun 2017"/>
    <m/>
    <s v="232100519179"/>
    <s v="2019048901"/>
    <d v="2054-05-01T00:00:00"/>
    <s v="Komunikasi dan Penyiaran Islam (S1)"/>
    <s v="Jurnalistik"/>
    <m/>
    <m/>
    <m/>
  </r>
  <r>
    <n v="61"/>
    <s v="Anggi Jatmiko, M.A."/>
    <x v="1"/>
    <m/>
    <s v="Bantul"/>
    <d v="1992-08-20T00:00:00"/>
    <s v="199208202019031007 "/>
    <s v="3402072008920002"/>
    <s v="III/c"/>
    <d v="2023-10-01T00:00:00"/>
    <n v="4"/>
    <n v="7"/>
    <s v="Lektor"/>
    <d v="2023-01-01T00:00:00"/>
    <x v="2"/>
    <s v="UIN Sunan Kalijaga Tahun 2014"/>
    <s v="Interdisciplinary Islamic Studies Kons. Bimbingan dan Konseling Islam UIN Sunan Kalijaga Tahun 2017"/>
    <m/>
    <s v="232100519178"/>
    <s v="2020089201"/>
    <d v="2057-09-01T00:00:00"/>
    <s v="Bimbingan dan Konseling Islam (S1)"/>
    <s v="Bimbingan dan Konseling Islam"/>
    <s v="Sekretaris Program Studi Bimbingan dan Konseling Islam"/>
    <d v="2024-10-21T00:00:00"/>
    <m/>
  </r>
  <r>
    <n v="62"/>
    <s v="Seiren Ikhtiara, M.A."/>
    <x v="2"/>
    <m/>
    <s v="Bengkulu"/>
    <d v="1991-06-11T00:00:00"/>
    <s v="199106112019032027 "/>
    <s v="1771035106910002"/>
    <s v="III/c"/>
    <d v="2023-10-01T00:00:00"/>
    <n v="4"/>
    <n v="7"/>
    <s v="Lektor"/>
    <d v="2023-01-01T00:00:00"/>
    <x v="2"/>
    <s v="Universitas Bengkulu Tahun 2014"/>
    <s v="Ilmu Komunikasi UGM Tahun 2017"/>
    <m/>
    <s v="232100519185"/>
    <s v="0511069103"/>
    <d v="2056-07-01T00:00:00"/>
    <s v="Komunikasi dan Penyiaran Islam (S1)"/>
    <s v="Ilmu Komunikasi"/>
    <s v="Anggota Pusat Pengembangan Bisnis"/>
    <d v="2024-12-11T00:00:00"/>
    <m/>
  </r>
  <r>
    <n v="63"/>
    <s v="Dr. Muh. Ulil Absor, S.H.I., MA."/>
    <x v="1"/>
    <s v="P. 586725"/>
    <s v="Jontlak Praya, Lombok"/>
    <d v="1980-10-18T00:00:00"/>
    <s v="198010182009011012"/>
    <s v="4701141810800001"/>
    <s v="III/c"/>
    <d v="2024-04-01T00:00:00"/>
    <n v="15"/>
    <n v="3"/>
    <s v="Lektor"/>
    <d v="2023-01-01T00:00:00"/>
    <x v="1"/>
    <s v="IAIN Sunan Kalijaga  Perbandingan Mazhab dan Hukum  Tahun 2003"/>
    <s v="Studi Islam (Kons. Social Work) UIN Sunan Kalijaga  Tahun 2006"/>
    <s v="Demographic And Social Research The Australian National University Tahun 2021"/>
    <n v="132100511976"/>
    <n v="2018108002"/>
    <d v="2045-11-01T00:00:00"/>
    <s v="Ilmu Kesejahteraan Sosial (S1)"/>
    <s v="Intervensi Pekerjaan Sosial"/>
    <s v="Ketua Program Studi Magister (S2) Ilmu Kesejahteraan Sosial  "/>
    <d v="2024-10-21T00:00:00"/>
    <m/>
  </r>
  <r>
    <n v="64"/>
    <s v="Sudharno Dwi Yuwono, M.Pd."/>
    <x v="1"/>
    <m/>
    <s v="Banjar Negara"/>
    <d v="1989-05-20T00:00:00"/>
    <s v="198905202019031009 "/>
    <s v="3304092005890001"/>
    <s v="III/c"/>
    <d v="2024-04-01T00:00:00"/>
    <n v="5"/>
    <n v="1"/>
    <s v="Lektor"/>
    <d v="2023-01-01T00:00:00"/>
    <x v="2"/>
    <s v="Universitas Negeri Jakarta Tahun 2014"/>
    <s v="Magister Bimbingan Konseling Univ. Negeri Jakarta Tahun 2016"/>
    <m/>
    <m/>
    <s v="0320058904"/>
    <d v="2054-06-01T00:00:00"/>
    <s v="Bimbingan dan Konseling Islam (S1)"/>
    <s v="Mikro Konseling"/>
    <s v="Sekretaris Program Studi Magister (S2) Bimbingan dan Konseling Islam "/>
    <d v="2024-10-21T00:00:00"/>
    <m/>
  </r>
  <r>
    <n v="65"/>
    <s v="Reza Mina Pahlewi, M.A."/>
    <x v="1"/>
    <m/>
    <s v="Sleman"/>
    <d v="1990-07-20T00:00:00"/>
    <s v="199007202019031009 "/>
    <s v="3404122007900004"/>
    <s v="III/c"/>
    <d v="2024-04-01T00:00:00"/>
    <n v="5"/>
    <n v="1"/>
    <s v="Lektor"/>
    <d v="2023-04-01T00:00:00"/>
    <x v="2"/>
    <s v="Universitas PGRI Yogyakarta Tahun 2014"/>
    <s v="Interdisciplinary Islamic Studies Konsentrasi Bimbingan dan Konseling Islam UIN Sunan Kalijaga Tahun 2018"/>
    <m/>
    <m/>
    <s v="2020079001"/>
    <d v="2055-08-01T00:00:00"/>
    <s v="Bimbingan dan Konseling Islam (S1)"/>
    <s v="Psikoterapi Islam"/>
    <m/>
    <m/>
    <m/>
  </r>
  <r>
    <n v="66"/>
    <s v="Nur Fitriyani Hardi, M.Psi."/>
    <x v="2"/>
    <m/>
    <s v="Ujung Pandang"/>
    <d v="1990-03-27T00:00:00"/>
    <s v="199003272019032016 "/>
    <s v="7371106703900004"/>
    <s v="III/c"/>
    <d v="2024-04-01T00:00:00"/>
    <n v="5"/>
    <n v="1"/>
    <s v="Lektor"/>
    <d v="2023-04-01T00:00:00"/>
    <x v="2"/>
    <s v="Universitas Negeri Makassar Tahun 2013"/>
    <s v="Magister Psikologi Profesi UGM Tahun 2017"/>
    <m/>
    <m/>
    <s v="2027039001"/>
    <d v="2055-04-01T00:00:00"/>
    <s v="Bimbingan dan Konseling Islam (S1)"/>
    <s v="Dosen Konseling Krisis"/>
    <m/>
    <m/>
    <m/>
  </r>
  <r>
    <n v="67"/>
    <s v="Munif Solihan, MPA."/>
    <x v="1"/>
    <m/>
    <s v="Temanggung"/>
    <d v="1985-09-12T00:00:00"/>
    <s v="198512092019031002 "/>
    <s v="3323040912850003"/>
    <s v="III/c"/>
    <d v="2024-12-01T00:00:00"/>
    <n v="5"/>
    <n v="9"/>
    <s v="Lektor"/>
    <d v="2023-01-01T00:00:00"/>
    <x v="2"/>
    <m/>
    <s v="Administrasi Publik UGM Tahun 2010"/>
    <m/>
    <m/>
    <s v="2009128502"/>
    <d v="2050-10-01T00:00:00"/>
    <s v="Manajemen Dakwah (S1)"/>
    <s v="Manajemen Zakat Infak dan Sodaqoh"/>
    <s v="Ketua Program Studi Manajemen Dakwah "/>
    <d v="2024-10-21T00:00:00"/>
    <m/>
  </r>
  <r>
    <n v="68"/>
    <s v="Idan Ramdani, M.A."/>
    <x v="1"/>
    <m/>
    <s v="Ciamis"/>
    <d v="1993-03-19T00:00:00"/>
    <s v="199303192019031009 "/>
    <s v="3207361903930003"/>
    <s v="III/c"/>
    <d v="2024-04-01T00:00:00"/>
    <n v="5"/>
    <n v="1"/>
    <s v="Lektor"/>
    <d v="2023-01-01T00:00:00"/>
    <x v="2"/>
    <m/>
    <s v="Interdisciplinary Islamic Studies UIN Sunan Kalijaga Tahun 2018"/>
    <m/>
    <m/>
    <n v="2019039302"/>
    <d v="2058-04-01T00:00:00"/>
    <s v="Ilmu Kesejahteraan Sosial (S1)"/>
    <s v="Ilmu Kesejahteraan Sosial"/>
    <s v="Anggota ADMISI"/>
    <d v="2024-12-06T00:00:00"/>
    <m/>
  </r>
  <r>
    <n v="69"/>
    <s v="Khotibul Umam, M.Si."/>
    <x v="1"/>
    <m/>
    <s v="Cilacap"/>
    <d v="1988-05-03T00:00:00"/>
    <s v="198805032019031014 "/>
    <s v="3301110305880002"/>
    <s v="III/c"/>
    <d v="2024-04-01T00:00:00"/>
    <n v="5"/>
    <n v="1"/>
    <s v="Lektor"/>
    <d v="2023-01-01T00:00:00"/>
    <x v="2"/>
    <s v="UIN Sunan Kalijaga Tahun 2011"/>
    <s v="Interdisciplinary Islamic Studies Kons. Pekerjaan Sosial UIN Sunan Kalijaga Tahun 2013"/>
    <m/>
    <n v="182212815453"/>
    <s v="2103058801"/>
    <d v="2053-06-01T00:00:00"/>
    <s v="Ilmu Kesejahteraan Sosial (S1)"/>
    <s v="Ilmu Kesejahteraan Sosial"/>
    <s v="Sekretaris Program Studi Ilmu Kesejahteraan Sosial"/>
    <d v="2024-10-21T00:00:00"/>
    <m/>
  </r>
  <r>
    <n v="70"/>
    <s v="Muhammad Irfai Muslim, M.Si."/>
    <x v="1"/>
    <m/>
    <s v="Cirebon"/>
    <d v="1988-12-15T00:00:00"/>
    <s v="198812152019031009 "/>
    <s v="3209261512880001"/>
    <s v="III/c"/>
    <d v="2024-04-01T00:00:00"/>
    <n v="5"/>
    <n v="1"/>
    <s v="Lektor"/>
    <d v="2023-01-01T00:00:00"/>
    <x v="2"/>
    <s v="UIN Syarif Hidayatullah Tahun 2013"/>
    <s v="Ilmu Manajemen IPB Tahun 2017"/>
    <m/>
    <m/>
    <s v="2015128804"/>
    <d v="2054-01-01T00:00:00"/>
    <s v="Manajemen Dakwah (S1)"/>
    <s v="Manajemen Haji dan Umroh  "/>
    <m/>
    <m/>
    <m/>
  </r>
  <r>
    <n v="71"/>
    <s v="Abidah Muflihati, S.Th.I., M.Si"/>
    <x v="2"/>
    <s v="J 044383"/>
    <s v="Pemalang"/>
    <s v="17-03-1977"/>
    <s v="197703172006042001"/>
    <s v="3402155703770004"/>
    <s v="III/a"/>
    <d v="2006-04-01T00:00:00"/>
    <n v="0"/>
    <n v="0"/>
    <s v="Asisten Ahli"/>
    <s v="01-08-2010"/>
    <x v="2"/>
    <s v="IAIN Sunan Kalijaga  Tafsir Hadis  Tahun 2002"/>
    <s v="Sosiologi  UI  Tahun 2005"/>
    <m/>
    <n v="112100513000020"/>
    <n v="2017037702"/>
    <d v="2042-04-01T00:00:00"/>
    <s v="Ilmu Kesejahteraan Sosial (S1)"/>
    <s v="Pekerjaan Sosial"/>
    <m/>
    <m/>
    <m/>
  </r>
  <r>
    <n v="72"/>
    <s v="Arin Mamlakah Kalamika, M.A."/>
    <x v="2"/>
    <m/>
    <s v="Bantul"/>
    <d v="1988-09-05T00:00:00"/>
    <s v="198809052019032012 "/>
    <s v="3402134509880002"/>
    <s v="III/b"/>
    <d v="2019-03-01T00:00:00"/>
    <m/>
    <m/>
    <s v="Asisten Ahli"/>
    <d v="2020-09-01T00:00:00"/>
    <x v="2"/>
    <s v="UGM Tahun 2011"/>
    <s v="Pembangunan Sosial dan Kesejahteraan UGM Tahun 2013"/>
    <m/>
    <m/>
    <s v="2005098801"/>
    <d v="2053-10-01T00:00:00"/>
    <s v="Ilmu Kesejahteraan Sosial (S1)"/>
    <s v="Kesejahteraan Sosial"/>
    <m/>
    <m/>
    <s v="TUGAS BELAJAR"/>
  </r>
  <r>
    <n v="73"/>
    <s v="Bayu Mitra Adhyatma Kusuma, M.AP."/>
    <x v="1"/>
    <m/>
    <s v="Banyuwangi"/>
    <d v="1990-04-07T00:00:00"/>
    <s v="199004072019031014 "/>
    <s v="3510060704900003"/>
    <s v="III/b"/>
    <d v="2019-03-01T00:00:00"/>
    <m/>
    <m/>
    <s v="Asisten Ahli"/>
    <d v="2020-09-01T00:00:00"/>
    <x v="2"/>
    <s v="UNBRAW Tahun 2012"/>
    <s v="Ilmu Administrasi Negara/Publik Universitas Brawijaya Tahun 2014"/>
    <m/>
    <m/>
    <s v="2007049002"/>
    <d v="2055-05-01T00:00:00"/>
    <s v="Manajemen Dakwah (S1)"/>
    <s v="Enterpreneurship"/>
    <m/>
    <m/>
    <s v="TUGAS BELAJAR"/>
  </r>
  <r>
    <n v="74"/>
    <s v="Widowati Maisarah, M.A."/>
    <x v="2"/>
    <m/>
    <s v="Yogyakarta"/>
    <d v="1984-01-14T00:00:00"/>
    <s v="198401142019032005 "/>
    <s v="3402155401840001"/>
    <s v="III/b"/>
    <d v="2019-03-01T00:00:00"/>
    <m/>
    <m/>
    <s v="Asisten Ahli"/>
    <d v="2021-09-01T00:00:00"/>
    <x v="2"/>
    <s v="UGM Tahun 2009"/>
    <s v="Ilmu Komunikasi UGM Tahun 2012"/>
    <m/>
    <m/>
    <s v="2014018402 "/>
    <d v="2049-02-01T00:00:00"/>
    <s v="Komunikasi dan Penyiaran Islam (S1)"/>
    <s v="Cybermedia"/>
    <m/>
    <m/>
    <s v="TUGAS BELAJAR"/>
  </r>
  <r>
    <n v="75"/>
    <s v="Nitra Galih Imansari, M.Sos."/>
    <x v="2"/>
    <m/>
    <s v="Lamongan"/>
    <d v="1994-09-15T00:00:00"/>
    <s v="199409152020122008"/>
    <s v="3524075509940001"/>
    <s v="III/b"/>
    <d v="2020-12-01T00:00:00"/>
    <n v="0"/>
    <n v="0"/>
    <s v="Asisten Ahli"/>
    <d v="2022-09-01T00:00:00"/>
    <x v="2"/>
    <m/>
    <s v=" Komunikasi Penyiaran Islam UIN Sunan Ampel Surabaya Tahun 2019"/>
    <m/>
    <m/>
    <n v="2015099401"/>
    <d v="2059-10-01T00:00:00"/>
    <s v="Komunikasi dan Penyiaran Islam (S1)"/>
    <s v="Produksi Acara TV"/>
    <s v="Petugas Pelaksana Sekretaris Program Studi Komunikasi dan Penyiaran Islam"/>
    <d v="2024-10-21T00:00:00"/>
    <m/>
  </r>
  <r>
    <n v="76"/>
    <s v="Muhammad Diak Udin, M.Sos."/>
    <x v="1"/>
    <m/>
    <s v="Kendari"/>
    <d v="1988-12-24T00:00:00"/>
    <s v="198812242020121004"/>
    <s v="3505022412880001"/>
    <s v="III/b"/>
    <d v="2020-12-01T00:00:00"/>
    <n v="0"/>
    <n v="0"/>
    <s v="Asisten Ahli"/>
    <d v="2022-09-01T00:00:00"/>
    <x v="2"/>
    <m/>
    <s v="Komunikasi Penyiaran Islam UIN Sunan Ampel Surabaya Tahun 2017"/>
    <m/>
    <m/>
    <s v="2124128804"/>
    <d v="2054-01-01T00:00:00"/>
    <s v="Komunikasi dan Penyiaran Islam (S1)"/>
    <s v="Sosiologi Komunikasi "/>
    <m/>
    <m/>
    <m/>
  </r>
  <r>
    <n v="77"/>
    <s v="Muhamad Rashif Hilmi, S.Si., M.Sc."/>
    <x v="1"/>
    <m/>
    <s v="Yogyakarta"/>
    <d v="1992-03-09T00:00:00"/>
    <s v="199203092020121001"/>
    <s v="3471120903920001"/>
    <s v="III/b"/>
    <d v="2020-12-01T00:00:00"/>
    <n v="0"/>
    <n v="0"/>
    <s v="Asisten Ahli"/>
    <d v="2022-09-01T00:00:00"/>
    <x v="2"/>
    <m/>
    <s v="Statistik UGM Tahun 2018"/>
    <m/>
    <m/>
    <s v="2009039203"/>
    <d v="2057-04-01T00:00:00"/>
    <s v="Pengembangan Masyarakat Islam (S1)"/>
    <s v="Statistik"/>
    <m/>
    <m/>
    <m/>
  </r>
  <r>
    <n v="78"/>
    <s v="Irawan Wibisono, M.I.Kom"/>
    <x v="1"/>
    <m/>
    <s v="Sragen"/>
    <d v="1987-10-30T00:00:00"/>
    <s v="198710302020121003"/>
    <s v="3314133010870001"/>
    <s v="III/b"/>
    <d v="2020-12-01T00:00:00"/>
    <n v="0"/>
    <n v="0"/>
    <s v="Asisten Ahli"/>
    <d v="2022-09-01T00:00:00"/>
    <x v="2"/>
    <m/>
    <s v="Ilmu Komunikasi UNS Tahun 2018"/>
    <m/>
    <m/>
    <s v="2030108703"/>
    <d v="2052-11-01T00:00:00"/>
    <s v="Komunikasi dan Penyiaran Islam (S1)"/>
    <s v="Komunikasi Publik dan Komunikasi Media Massa"/>
    <m/>
    <m/>
    <m/>
  </r>
  <r>
    <n v="79"/>
    <s v="Taufik Rahman, M.Sos."/>
    <x v="1"/>
    <m/>
    <s v="Medan"/>
    <d v="1986-12-15T00:00:00"/>
    <s v="198612152020121003"/>
    <s v="1271021512860002"/>
    <s v="III/b"/>
    <d v="2020-12-01T00:00:00"/>
    <n v="0"/>
    <n v="0"/>
    <s v="Asisten Ahli"/>
    <d v="2022-09-01T00:00:00"/>
    <x v="2"/>
    <m/>
    <s v="Komunikasi dan Penyiaran Islam UIN Sumatera Utara Medan Tahun 2019"/>
    <m/>
    <m/>
    <s v="2015128603"/>
    <d v="2052-01-01T00:00:00"/>
    <s v="Komunikasi dan Penyiaran Islam (S1)"/>
    <s v="Komunikasi"/>
    <m/>
    <m/>
    <m/>
  </r>
  <r>
    <n v="80"/>
    <s v="Nurul Fajriyah Prahastuti, S.Psi., M.A."/>
    <x v="2"/>
    <m/>
    <s v="Banyumas"/>
    <d v="1992-01-12T00:00:00"/>
    <s v="199201122020122011"/>
    <s v="3302085201920002"/>
    <s v="III/b"/>
    <d v="2020-12-01T00:00:00"/>
    <n v="0"/>
    <n v="0"/>
    <s v="Asisten Ahli"/>
    <d v="2022-09-01T00:00:00"/>
    <x v="2"/>
    <m/>
    <s v="Psikometri UGM Tahun 2018"/>
    <m/>
    <m/>
    <s v="2012019204"/>
    <d v="2057-02-01T00:00:00"/>
    <s v="Ilmu Kesejahteraan Sosial (S1)"/>
    <s v="Statistik dan Psikometri"/>
    <m/>
    <m/>
    <m/>
  </r>
  <r>
    <n v="81"/>
    <s v="Dian Eka Permanasari, S.Ds., M.A."/>
    <x v="2"/>
    <m/>
    <s v="Surabaya"/>
    <d v="1991-03-22T00:00:00"/>
    <s v="199103222020122011"/>
    <s v="3578016203910001"/>
    <s v="III/b"/>
    <d v="2020-12-01T00:00:00"/>
    <n v="0"/>
    <n v="0"/>
    <s v="Asisten Ahli"/>
    <d v="2023-01-01T00:00:00"/>
    <x v="2"/>
    <m/>
    <s v="Ilmu Komunikasi UGM Tahun 2019"/>
    <m/>
    <m/>
    <s v="2022039104"/>
    <d v="2056-04-01T00:00:00"/>
    <s v="Komunikasi dan Penyiaran Islam (S1)"/>
    <s v="Desain Komunikasi"/>
    <m/>
    <m/>
    <m/>
  </r>
  <r>
    <n v="82"/>
    <s v="Halimatus Sa'diyah, S.I.Kom, M.I.Kom"/>
    <x v="2"/>
    <m/>
    <s v="Bekasi"/>
    <d v="1989-04-25T00:00:00"/>
    <s v="198904252020122009"/>
    <s v="2322076504890001"/>
    <s v="III/b"/>
    <d v="2020-12-01T00:00:00"/>
    <n v="0"/>
    <n v="0"/>
    <s v="Asisten Ahli"/>
    <d v="2023-01-01T00:00:00"/>
    <x v="2"/>
    <m/>
    <s v="Ilmu Komunikasi UNDIP Tahun 2014"/>
    <m/>
    <m/>
    <s v="0525048901"/>
    <d v="2054-05-01T00:00:00"/>
    <s v="Pengembangan Masyarakat Islam (S1)"/>
    <s v="Ilmu Komunikasi"/>
    <s v="Plt. Sekretaris Program Studi  Pengembangan Masyarakat Islam"/>
    <d v="2024-10-21T00:00:00"/>
    <m/>
  </r>
  <r>
    <n v="83"/>
    <s v="Dr. Muhamad Rudi Wijaya, M.Pd.I"/>
    <x v="1"/>
    <m/>
    <s v="Lampung Timur"/>
    <d v="1989-06-10T00:00:00"/>
    <s v="‌198906102024031001"/>
    <s v="‌1807061006890001"/>
    <s v="III/c"/>
    <d v="2024-03-01T00:00:00"/>
    <n v="0"/>
    <n v="0"/>
    <s v="Lektor"/>
    <d v="2024-03-01T00:00:00"/>
    <x v="1"/>
    <m/>
    <s v=" "/>
    <s v="‌S-3 PENGEMBANGAN MASYARAKAT Tahun 2020"/>
    <m/>
    <m/>
    <d v="2054-07-01T00:00:00"/>
    <s v="Pengembangan Masyarakat Islam (S1)"/>
    <s v=" "/>
    <m/>
    <m/>
    <m/>
  </r>
  <r>
    <s v="C. FAKULTAS SYARI'AH DAN HUKUM"/>
    <m/>
    <x v="0"/>
    <m/>
    <m/>
    <m/>
    <m/>
    <m/>
    <m/>
    <m/>
    <m/>
    <m/>
    <m/>
    <m/>
    <x v="0"/>
    <m/>
    <m/>
    <m/>
    <m/>
    <m/>
    <m/>
    <m/>
    <m/>
    <m/>
    <m/>
    <m/>
  </r>
  <r>
    <n v="1"/>
    <s v="Prof. Dr. H.Syamsul Anwar, MA"/>
    <x v="1"/>
    <s v="E. 189731"/>
    <s v="Kepulauan Riau"/>
    <d v="1956-02-17T00:00:00"/>
    <s v="195602171983031003"/>
    <s v="3471031702560002"/>
    <s v="IV/e"/>
    <d v="2024-04-01T00:00:00"/>
    <n v="41"/>
    <n v="1"/>
    <s v="Guru Besar"/>
    <d v="2004-10-01T00:00:00"/>
    <x v="1"/>
    <s v="Perdata Pidana Islam IAIN Sunan Kalijaga Tahun 1981"/>
    <s v="Aqidah dan Filsafat IAIN Sunan Kalijaga Tahun 1991"/>
    <s v=" Studi Islam IAIN Sunan Kalijaga Tahun 2001"/>
    <m/>
    <n v="2017025601"/>
    <d v="2026-03-01T00:00:00"/>
    <s v="Ilmu Syari'ah (S2)"/>
    <s v="Ushul Fiqh"/>
    <m/>
    <m/>
    <m/>
  </r>
  <r>
    <n v="2"/>
    <s v="Prof. Drs. K.H. Yudian Wahyudi, MA, Ph.D"/>
    <x v="1"/>
    <s v="E.717321"/>
    <s v="Balikpapan"/>
    <d v="1960-04-17T00:00:00"/>
    <s v="196004171989031001"/>
    <s v="3471131704600002"/>
    <s v="IV/d"/>
    <d v="2015-10-01T00:00:00"/>
    <n v="26"/>
    <n v="7"/>
    <s v="Guru Besar"/>
    <d v="2008-09-01T00:00:00"/>
    <x v="1"/>
    <s v="Peradilan Agama IAIN Sunan Kalijaga Tahun 1987"/>
    <s v="Islamic Studies Mc.Gill University Tahun 1993"/>
    <s v="Islamic Studies Mc.Gill University Tahun  2002"/>
    <s v="09210050298"/>
    <s v="2017046001"/>
    <d v="2030-05-01T00:00:00"/>
    <s v="Ilmu Syari'ah (S3)"/>
    <s v="Filsafat Hukum Islam"/>
    <s v=" "/>
    <s v=" "/>
    <s v="Kepala BPIP (TMT 5 Februari 2020)"/>
  </r>
  <r>
    <n v="3"/>
    <s v="Prof. Dr. Susiknan, M.Ag."/>
    <x v="1"/>
    <s v="C.173670"/>
    <s v="Lamongan"/>
    <d v="1968-06-11T00:00:00"/>
    <s v="196806111994031003"/>
    <s v="3402121106680003"/>
    <s v="IV/e"/>
    <d v="2024-04-01T00:00:00"/>
    <n v="30"/>
    <n v="1"/>
    <s v="Guru Besar"/>
    <d v="2008-09-01T00:00:00"/>
    <x v="1"/>
    <s v="Peradilan Agama IAIN Sunan Kalijaga Tahun 1992"/>
    <s v="Aqidah Filsafat IAIN Sunan Kalijaga Tahun 1998"/>
    <s v="Studi Islam UIN Sunan Kalijaga Tahun 2007"/>
    <s v="09210050300"/>
    <n v="2011066802"/>
    <d v="2038-07-01T00:00:00"/>
    <s v="Perbandingan Mazhab (S1)"/>
    <s v="Hukum Islam di Indonesia"/>
    <m/>
    <m/>
    <m/>
  </r>
  <r>
    <n v="4"/>
    <s v="Prof. H. Ratno Lukito, MA, DCL"/>
    <x v="1"/>
    <s v="F.106448"/>
    <s v="Yogyakarta"/>
    <d v="1968-03-23T00:00:00"/>
    <s v="196803221993031001"/>
    <s v="3471132203680001"/>
    <s v="IV/e"/>
    <d v="2024-04-01T00:00:00"/>
    <n v="31"/>
    <n v="1"/>
    <s v="Guru Besar"/>
    <d v="2010-06-01T00:00:00"/>
    <x v="1"/>
    <s v="Peradilan Agama IAIN Sunan Kalijaga Tahun 1992"/>
    <s v="Islamic Studies Mc.Gill University Tahun 1997"/>
    <s v="Civil Law McGill University Tahun 2006"/>
    <n v="102100504731"/>
    <n v="2023036802"/>
    <d v="2038-04-01T00:00:00"/>
    <s v="Ilmu Syari'ah (S3)"/>
    <s v="Perbandingan Hukum"/>
    <m/>
    <m/>
    <m/>
  </r>
  <r>
    <n v="5"/>
    <s v="Prof. Dr. Drs. Makhrus, S.H., M.Hum."/>
    <x v="1"/>
    <s v="F. 111337"/>
    <s v="Pemalang"/>
    <d v="1968-02-02T00:00:00"/>
    <s v="196802021993031003"/>
    <s v="3404070202680003"/>
    <s v="IV/e"/>
    <d v="2020-10-01T00:00:00"/>
    <n v="27"/>
    <n v="1"/>
    <s v="Guru Besar"/>
    <d v="2015-09-01T00:00:00"/>
    <x v="1"/>
    <s v="Muamalat Jinayat  IAIN Sunan Kalijaga Tahun 1992 / Ilmu Hukum Univ. Cokroaminoto Yogyakarta Tahun 2014"/>
    <s v="Ilmu Hukum UII Tahun 1999"/>
    <s v="Ilmu Hukum UII Tahun  2011"/>
    <s v="092100500232"/>
    <n v="2002026802"/>
    <d v="2038-03-01T00:00:00"/>
    <s v="Ilmu Syari'ah (S3)"/>
    <s v="Ilmu Hukum"/>
    <m/>
    <m/>
    <m/>
  </r>
  <r>
    <n v="6"/>
    <s v="Prof. Dr. H.Kamsi, MA"/>
    <x v="1"/>
    <s v="E.323823"/>
    <s v="Temanggung"/>
    <d v="1957-02-07T00:00:00"/>
    <s v="195702071987031003"/>
    <s v="5471130702570001"/>
    <s v="IV/e"/>
    <d v="2019-04-01T00:00:00"/>
    <n v="32"/>
    <n v="1"/>
    <s v="Guru Besar"/>
    <d v="2016-10-01T00:00:00"/>
    <x v="1"/>
    <s v="Peradilan Agama IAIN Sunan Kalijaga Tahun  1983"/>
    <s v="Aqidah Filsafat IAIN Sunan Kalijaga Tahun 1991"/>
    <s v="Politik Islam UMY Tahun 2012"/>
    <s v="092100500195"/>
    <n v="2007025701"/>
    <d v="2027-03-01T00:00:00"/>
    <s v="Ilmu Syari'ah (S2)"/>
    <s v="Sejarah Peradilan Agama"/>
    <m/>
    <m/>
    <m/>
  </r>
  <r>
    <n v="7"/>
    <s v="Prof. Dr. Euis Nurlaelawati, M.A. "/>
    <x v="2"/>
    <s v="M 236790"/>
    <s v="Karawang"/>
    <d v="1970-07-04T00:00:00"/>
    <s v="197007041996032002"/>
    <s v="3674064407700003"/>
    <s v="IV/e"/>
    <d v="2024-10-01T00:00:00"/>
    <n v="28"/>
    <n v="7"/>
    <s v="Guru Besar"/>
    <d v="2018-02-01T00:00:00"/>
    <x v="1"/>
    <s v="Perbandingan Madzhab dan Hukum IAIN Syarif Hidayatullah Tahun 1995"/>
    <s v=" "/>
    <s v="Islamic Studies Universiteit Leiden Tahun 2006 "/>
    <s v="092100611240"/>
    <s v="2004077001"/>
    <d v="2040-08-01T00:00:00"/>
    <s v="Ilmu Hukum (S1)"/>
    <s v="Ilmu Hukum Keluarga Islam"/>
    <m/>
    <m/>
    <m/>
  </r>
  <r>
    <n v="8"/>
    <s v="Prof. Dr. Agus Moh. Najib, S.Ag., M.Ag."/>
    <x v="1"/>
    <s v="G.293143"/>
    <s v="Cirebon"/>
    <d v="1971-04-30T00:00:00"/>
    <s v="197104301995031001"/>
    <s v="3404123004710004"/>
    <s v="IV/d"/>
    <d v="2021-10-01T00:00:00"/>
    <n v="27"/>
    <n v="7"/>
    <s v="Guru Besar"/>
    <d v="2021-07-01T00:00:00"/>
    <x v="1"/>
    <s v="Tafsir Hadits IAIN Sunan Kalijaga Tahun 1989"/>
    <s v="Aqidah dan Filsafat IAIN Sunan Kalijaga Tahun 2003"/>
    <s v="Studi Islam, UIN Sunan Kalijaga 2011"/>
    <s v="092100500253"/>
    <n v="2030047102"/>
    <d v="2041-05-01T00:00:00"/>
    <s v="Ilmu Syari'ah (S2)"/>
    <s v="Ushul Fiqh"/>
    <m/>
    <m/>
    <s v="Direktur Analisis dan Penyelarasan pada BPIP TMT 15 Februari 2022"/>
  </r>
  <r>
    <n v="9"/>
    <s v="Prof. Dr. Hj. Siti Ruhaini Dzuhayatin, MA"/>
    <x v="2"/>
    <s v="E.944911"/>
    <s v="Blora"/>
    <d v="1963-05-17T00:00:00"/>
    <s v="196305171990032002"/>
    <s v="3471135705630001"/>
    <s v="IV/b"/>
    <d v="2015-10-01T00:00:00"/>
    <n v="25"/>
    <n v="7"/>
    <s v="Guru Besar"/>
    <d v="2021-09-01T00:00:00"/>
    <x v="1"/>
    <s v="Perdata dan Pidana Islam IAIN Sunan Kalijaga Tahun  1988"/>
    <s v="Sosiologi Monash University 1992"/>
    <s v="Sosiologi UGM Tahun 2012"/>
    <s v="092100500209"/>
    <n v="2017056301"/>
    <d v="2033-06-01T00:00:00"/>
    <s v="Hukum Tata Negara (Siyasah) (S1)"/>
    <s v="Ham dan Gender"/>
    <m/>
    <m/>
    <s v="menjabat Tenaga Profesional Kantor Staf Presiden TMT 1 Jan 20"/>
  </r>
  <r>
    <n v="10"/>
    <s v="Dr. Ahmad Patiroy, M.Ag."/>
    <x v="1"/>
    <s v="F.108912"/>
    <s v="Bone"/>
    <d v="1960-03-27T00:00:00"/>
    <s v="196003271992031003"/>
    <s v="3404102703600001"/>
    <s v="IV/c"/>
    <d v="2013-10-01T00:00:00"/>
    <n v="21"/>
    <n v="7"/>
    <s v="Lektor Kepala"/>
    <d v="2001-01-01T00:00:00"/>
    <x v="1"/>
    <s v="Sastra Arab IAIN Sunan Kalijaga Tahun 1988"/>
    <s v="Aqidah dan Filsafat IAIN Sunan Kalijaga Tahun 1998"/>
    <s v="Studi Islam UIN Sunan Kalijaga Tahun ..."/>
    <s v="092100500225"/>
    <n v="2027036001"/>
    <d v="2025-04-01T00:00:00"/>
    <s v="Hukum Tata Negara (Siyasah) (S1)"/>
    <s v="Sejarah Peradaban Islam"/>
    <m/>
    <m/>
    <m/>
  </r>
  <r>
    <n v="11"/>
    <s v="Dr. H. M. Nur, S.Ag., M.Ag."/>
    <x v="1"/>
    <s v="G. 294463"/>
    <s v="Pekanbaru"/>
    <d v="1970-08-16T00:00:00"/>
    <s v="197008161997031002"/>
    <s v="3404111608700001"/>
    <s v="IV/c"/>
    <s v="01-04-2014"/>
    <n v="17"/>
    <n v="1"/>
    <s v="Lektor Kepala"/>
    <s v="01-05-2007"/>
    <x v="1"/>
    <s v="Peradilan Agama IAIN Sunan Kalijaga Tahun 1994"/>
    <s v="Aqidah dan Filsafat IAIN Sunan Kalijaga Tahun 1997 "/>
    <s v="Studi Islam, UIN Sunan Kalijaga 2010"/>
    <s v="092100500291"/>
    <n v="2016087001"/>
    <d v="2035-09-01T00:00:00"/>
    <s v="Hukum Tata Negara (Siyasah) (S1)"/>
    <s v="Filsafat Hukum Islam"/>
    <m/>
    <m/>
    <m/>
  </r>
  <r>
    <n v="12"/>
    <s v="Drs. Abd. Halim, M.Hum."/>
    <x v="1"/>
    <s v="E.934557"/>
    <s v="Sumenep Masalembu"/>
    <d v="1963-01-19T00:00:00"/>
    <s v="196301191990031001"/>
    <s v="3402120105550004"/>
    <s v="IV/c"/>
    <d v="2008-04-01T00:00:00"/>
    <n v="18"/>
    <n v="1"/>
    <s v="Lektor Kepala"/>
    <d v="2008-04-01T00:00:00"/>
    <x v="2"/>
    <s v="Perdata dan Pidana Islam IAIN Sunan Kalijaga Tahun 1987"/>
    <s v="UII Hukum Islam Tahun 1997"/>
    <m/>
    <s v="092100500210"/>
    <n v="2019016301"/>
    <d v="2028-02-01T00:00:00"/>
    <s v="Perbandingan Mazhab (S1)"/>
    <s v="Ilmu Fiqh"/>
    <m/>
    <m/>
    <m/>
  </r>
  <r>
    <n v="13"/>
    <s v="Fatma Amilia, S.Ag., M.Si."/>
    <x v="2"/>
    <s v="G. 289539"/>
    <s v="Bojonegoro"/>
    <d v="1972-05-11T00:00:00"/>
    <s v="197205111996032002"/>
    <s v="3402125105720003"/>
    <s v="IV/c"/>
    <d v="2024-10-01T00:00:00"/>
    <n v="28"/>
    <n v="10"/>
    <s v="Lektor Kepala"/>
    <d v="2008-06-01T00:00:00"/>
    <x v="2"/>
    <s v="Muamalah Jinayat IAIN Sunan Kalijaga Tahun 1994"/>
    <s v="Sosiologi UGM Tahun 2003"/>
    <m/>
    <s v="092100500258"/>
    <n v="2011057201"/>
    <d v="2037-06-01T00:00:00"/>
    <s v="Hukum Keluarga Islam (Ahwal Syakhsiyyah) (S1)"/>
    <s v="Hukum Islam"/>
    <m/>
    <m/>
    <m/>
  </r>
  <r>
    <n v="14"/>
    <s v="Udiyo Basuki, SH., M.Hum."/>
    <x v="1"/>
    <s v="J.050001"/>
    <s v="Rakit Banjarnegara"/>
    <d v="1973-08-25T00:00:00"/>
    <s v="197308251999031004"/>
    <s v="3404072508730004"/>
    <s v="IV/c"/>
    <d v="2016-04-01T00:00:00"/>
    <n v="17"/>
    <n v="1"/>
    <s v="Lektor Kepala"/>
    <d v="2008-10-01T00:00:00"/>
    <x v="2"/>
    <s v="Ilmu Hukum Univ. Proklamasi 45 Tahun 1997"/>
    <s v="Ilmu Hukum UGM Tahun 2006"/>
    <m/>
    <s v="092100500318"/>
    <n v="2025087301"/>
    <d v="2038-09-01T00:00:00"/>
    <s v="Ilmu Hukum (S1)"/>
    <s v="Ilmu Hukum"/>
    <m/>
    <m/>
    <m/>
  </r>
  <r>
    <n v="15"/>
    <s v="Dr. Hj. Siti Fatimah, SH, M.Hum."/>
    <x v="2"/>
    <s v="F 113274"/>
    <s v="Yogyakarta"/>
    <d v="1965-02-10T00:00:00"/>
    <s v="196502101993032001"/>
    <s v="3404085002650003"/>
    <s v="IV/b"/>
    <d v="2024-04-01T00:00:00"/>
    <n v="31"/>
    <n v="1"/>
    <s v="Lektor Kepala"/>
    <d v="2008-10-01T00:00:00"/>
    <x v="1"/>
    <s v="Hukum Tata Negara UII Tahun 1991"/>
    <s v="Ilmu Hukum UII Tahun 2000"/>
    <s v="Ilmu Hukum UII Tahun 2014"/>
    <s v="092100500236"/>
    <n v="2010026501"/>
    <d v="2030-03-01T00:00:00"/>
    <s v="Ilmu Hukum (S1)"/>
    <s v="Hukum Tata Negara"/>
    <m/>
    <m/>
    <m/>
  </r>
  <r>
    <n v="16"/>
    <s v="Dr. Drs. Malik Ibrahim, M.Ag."/>
    <x v="1"/>
    <s v="F. 111338"/>
    <s v="Yogyakarta"/>
    <d v="1966-08-01T00:00:00"/>
    <s v="196608011993031002"/>
    <s v="3404100108660001"/>
    <s v="IV/c"/>
    <d v="2024-06-01T00:00:00"/>
    <n v="31"/>
    <n v="3"/>
    <s v="Lektor Kepala"/>
    <d v="2009-06-01T00:00:00"/>
    <x v="1"/>
    <s v="Peradilan Agama IAIN Sunan Kalijaga Tahun 1992"/>
    <s v="Agama dan Filsafat Konsentrasi Filsafat Islam IAIN Sunan Kalijaga Tahun  2004"/>
    <s v="Politik Islam UIN Sunan Kalijaga Tahun 2018"/>
    <s v="092100500308"/>
    <n v="2001086601"/>
    <d v="2031-09-01T00:00:00"/>
    <s v="Hukum Keluarga Islam (Ahwal Syakhsiyyah) (S1)"/>
    <s v="Ilmu Peradilan Agama di Indonesia"/>
    <m/>
    <m/>
    <m/>
  </r>
  <r>
    <n v="17"/>
    <s v="H. Wawan Gunawan, S.Ag, M.Ag"/>
    <x v="1"/>
    <s v="G.313918"/>
    <s v="Garut"/>
    <d v="1965-12-08T00:00:00"/>
    <s v="196512081997031003"/>
    <s v="3404100812650001"/>
    <s v="IV/b"/>
    <d v="2024-04-01T00:00:00"/>
    <n v="27"/>
    <n v="1"/>
    <s v="Lektor Kepala"/>
    <d v="2009-10-01T00:00:00"/>
    <x v="2"/>
    <s v="Perbandingan Madzhab IAIN Sunan Kalijaga Tahun 1995"/>
    <s v="Hukum Islam Kons. Muamalah UIN Sunan Kalijaga Tahun 2005"/>
    <m/>
    <s v="092100500266"/>
    <n v="2008126501"/>
    <d v="2031-01-01T00:00:00"/>
    <s v="Perbandingan Mazhab (S1)"/>
    <s v="Ushul Fiqh "/>
    <m/>
    <m/>
    <m/>
  </r>
  <r>
    <n v="18"/>
    <s v="Prof. Dr. H. Riyanta, M.Hum."/>
    <x v="1"/>
    <s v="F.111336"/>
    <s v="Bantul"/>
    <d v="1966-04-15T00:00:00"/>
    <s v="196604151993031002"/>
    <s v="3402041504660001"/>
    <s v="IV/d"/>
    <d v="2024-04-01T00:00:00"/>
    <n v="31"/>
    <n v="1"/>
    <s v="Guru Besar"/>
    <d v="2023-10-01T00:00:00"/>
    <x v="1"/>
    <s v="Peradilan Agama IAIN Sunan Kalijaga Tahun 1992"/>
    <s v="Ilmu Hukum UII Tahun 1999"/>
    <s v="Ilmu Hukum UII Tahun 2014"/>
    <s v="092100500306"/>
    <n v="2015046601"/>
    <d v="2031-05-01T00:00:00"/>
    <s v="Ilmu Syari'ah (S2)"/>
    <s v="Ilmu Fiqh"/>
    <m/>
    <m/>
    <m/>
  </r>
  <r>
    <n v="19"/>
    <s v="Prof. Dr. Ali Sodiqin, M.Ag."/>
    <x v="1"/>
    <s v="H. 068474"/>
    <s v="Jepara"/>
    <d v="1970-09-12T00:00:00"/>
    <s v="197009121998031003"/>
    <s v="3404101209700001"/>
    <s v="IV/d"/>
    <d v="2024-04-01T00:00:00"/>
    <n v="26"/>
    <n v="1"/>
    <s v="Guru Besar"/>
    <d v="2023-08-01T00:00:00"/>
    <x v="1"/>
    <s v="Peradilan Agama IAIN Walisongo Tahun 1996"/>
    <s v="Ilmu Agama Islam IAIN Ar-Raniry Tahun 1998"/>
    <s v="Studi Islam UIN Sunan Kalijaga Tahun 2008"/>
    <s v="092100500275"/>
    <n v="2012097001"/>
    <d v="2035-10-01T00:00:00"/>
    <s v="Ilmu Syari'ah (S3)"/>
    <s v="Ushul Fiqh"/>
    <s v="Dekan Fak.Syari'ah dan Hukum Masa Jabatan 2024 - 2028"/>
    <d v="2024-09-18T00:00:00"/>
    <m/>
  </r>
  <r>
    <n v="20"/>
    <s v="Dr. Ahmad Bahiej, SH, M.Hum."/>
    <x v="1"/>
    <s v="J. 090947"/>
    <s v="Gunung Kidul"/>
    <d v="1975-06-15T00:00:00"/>
    <s v="197506152000031001"/>
    <s v="3402121506750004"/>
    <s v="IV/c"/>
    <d v="2023-10-01T00:00:00"/>
    <n v="23"/>
    <n v="7"/>
    <s v="Lektor Kepala"/>
    <d v="2010-05-01T00:00:00"/>
    <x v="1"/>
    <s v="Ilmu Hukum Univ. Diponegoro Tahun 1998"/>
    <s v="Ilmu Hukum Univ. Diponegoro Tahun 2002"/>
    <s v="Ilmu Hukum UGM Tahun 2015"/>
    <s v="092100500284"/>
    <n v="2015067501"/>
    <d v="2040-07-01T00:00:00"/>
    <s v="Ilmu Syari'ah (S2)"/>
    <s v="Hukum Pidana"/>
    <m/>
    <m/>
    <s v="Kakanwil Kementerian Agama Propinsi DIY"/>
  </r>
  <r>
    <n v="21"/>
    <s v="Drs. H.Syafaul Mudawam, MA,MM"/>
    <x v="1"/>
    <s v="E.509357"/>
    <s v="Gresik"/>
    <d v="1962-10-04T00:00:00"/>
    <s v="196210041989031003"/>
    <s v="3471030410620001"/>
    <s v="IV/b"/>
    <d v="2024-04-01T00:00:00"/>
    <n v="34"/>
    <n v="7"/>
    <s v="Lektor Kepala"/>
    <d v="2010-05-01T00:00:00"/>
    <x v="2"/>
    <s v="Tafsir dan Hadits IAIN Sunan Kalijaga Tahun 1988"/>
    <s v="Aqidah dan Filsafat IAIN Sunan Kalijaga Tahun 1995 /_x000a_Managemen Keuangan UII Tahun  2000_x000a_"/>
    <m/>
    <s v="092100500203"/>
    <n v="2004106201"/>
    <d v="2027-11-01T00:00:00"/>
    <s v="Hukum Ekonomi Syari'ah (Muamalah) (S1)"/>
    <s v="Hadist Ahkam"/>
    <m/>
    <m/>
    <m/>
  </r>
  <r>
    <n v="22"/>
    <s v="Dr. Hj. Widyarini, MM"/>
    <x v="2"/>
    <s v="E. 066725"/>
    <s v="Yogyakarta"/>
    <d v="1960-04-07T00:00:00"/>
    <s v="196004071986012002"/>
    <s v="3404124704600004"/>
    <s v="IV/c"/>
    <d v="2024-04-01T00:00:00"/>
    <n v="38"/>
    <n v="3"/>
    <s v="Lektor Kepala"/>
    <d v="2010-06-01T00:00:00"/>
    <x v="1"/>
    <s v="Ekonomi Perusahaan UII Tahun 1984"/>
    <s v="Magister Manajemen UGM Tahun 1994"/>
    <s v="Studi Islam UIN Sunan Kalijaga Tahun  2020"/>
    <n v="102100504772"/>
    <n v="2007046002"/>
    <d v="2025-05-01T00:00:00"/>
    <s v="Hukum Ekonomi Syari'ah (Muamalah) (S1)"/>
    <s v="Manajemen"/>
    <m/>
    <m/>
    <m/>
  </r>
  <r>
    <n v="23"/>
    <s v="Dr. Kholid Zulfa, M.Si."/>
    <x v="1"/>
    <s v="G. 142959"/>
    <s v="Kudus"/>
    <d v="1966-07-04T00:00:00"/>
    <s v="196607041994031002"/>
    <s v="3402120407660005"/>
    <s v="IV/c"/>
    <d v="2024-04-01T00:00:00"/>
    <n v="30"/>
    <n v="1"/>
    <s v="Lektor Kepala"/>
    <d v="2010-09-01T00:00:00"/>
    <x v="1"/>
    <s v="Perdata Pidana Islam IAIN Sunan Kalijaga Tahun 1993"/>
    <s v="Sosiologi UGM Tahun 1999"/>
    <s v="Politik Islam UMY Tahun 2021"/>
    <s v="092100500311"/>
    <n v="2004076602"/>
    <d v="2031-08-01T00:00:00"/>
    <s v="Hukum Ekonomi Syari'ah (Muamalah) (S1)"/>
    <s v="Fiqh Muamalah"/>
    <s v="Ketua Program Studi Doktor Ilmu Syari'ah "/>
    <d v="2024-10-23T00:00:00"/>
    <m/>
  </r>
  <r>
    <n v="24"/>
    <s v="Dr. Mochamad Sodik,S.Sos.,M.Si."/>
    <x v="1"/>
    <s v="G. 278176"/>
    <s v="Kediri"/>
    <d v="1968-04-16T00:00:00"/>
    <s v="196804161995031004"/>
    <s v="3404101604680001"/>
    <s v="IV/c"/>
    <d v="2014-10-01T00:00:00"/>
    <n v="19"/>
    <n v="7"/>
    <s v="Lektor Kepala"/>
    <d v="2010-09-01T00:00:00"/>
    <x v="1"/>
    <s v="Peradilan Agama IAIN Sunan Kalijaga Tahun 1993 / Sosiologi UGM Tahun 1996"/>
    <s v="Sosiologi UGM Tahun 1999"/>
    <s v="Sosiologi UGM Tahun 2015"/>
    <s v="092100500251"/>
    <n v="2016046801"/>
    <d v="2033-05-01T00:00:00"/>
    <s v="Hukum Ekonomi Syari'ah (Muamalah) (S1)"/>
    <s v="Sosiologi Agama"/>
    <s v="Wakil Rektor Bidang Administrasi Umum, Perencanaan dan Keuangan Periode 2024-2028"/>
    <d v="2024-09-18T00:00:00"/>
    <m/>
  </r>
  <r>
    <n v="25"/>
    <s v="Drs. M. Rizal Qosim, M.Si."/>
    <x v="1"/>
    <s v="F.106447"/>
    <s v="Lampung Selatan"/>
    <d v="1963-01-31T00:00:00"/>
    <s v="196301311992031004"/>
    <s v="3402123101630002"/>
    <s v="IV/b"/>
    <d v="2024-04-01T00:00:00"/>
    <n v="32"/>
    <n v="1"/>
    <s v="Lektor Kepala"/>
    <d v="2011-07-01T00:00:00"/>
    <x v="2"/>
    <s v="Perdata Pidana Islam IAIN Sunan Kalijaga Tahun  1990"/>
    <s v="Sosiologi UGM Tahun 1999"/>
    <m/>
    <n v="102100504682"/>
    <n v="2031016301"/>
    <d v="2028-02-01T00:00:00"/>
    <s v="Hukum Tata Negara (Siyasah) (S1)"/>
    <s v="Fiqh Siyasah"/>
    <m/>
    <m/>
    <m/>
  </r>
  <r>
    <n v="26"/>
    <s v="Dr. Hamim Ilyas, M.Ag."/>
    <x v="1"/>
    <s v="E.938108"/>
    <s v="Klaten"/>
    <d v="1961-04-01T00:00:00"/>
    <s v="196104011988031002"/>
    <s v="3402120104610003"/>
    <s v="IV/c"/>
    <d v="2024-04-01T00:00:00"/>
    <n v="36"/>
    <n v="7"/>
    <s v="Lektor Kepala"/>
    <d v="2012-06-01T00:00:00"/>
    <x v="1"/>
    <s v="Tafsir Hadits IAIN Sunan Kalijaga Tahun 1987"/>
    <s v="Aqidah Filsafat IAIN Sunan Kalijaga Tahun 1996"/>
    <s v="Program Doktor IAIN Sunan Kalijaga Tahun 2002"/>
    <s v="092100500200"/>
    <n v="2001046101"/>
    <d v="2026-05-01T00:00:00"/>
    <s v="Hukum Ekonomi Syari'ah (Muamalah) (S1)"/>
    <s v="Ilmu Tafsir"/>
    <m/>
    <m/>
    <m/>
  </r>
  <r>
    <n v="27"/>
    <s v="Dr. H. Fathorrahman, S. Ag., M.Si."/>
    <x v="1"/>
    <s v="M 069687"/>
    <s v="Sumenep Madura"/>
    <d v="1976-08-20T00:00:00"/>
    <s v="197608202005011005"/>
    <s v="3402152008760004"/>
    <s v="IV/c"/>
    <d v="2022-04-01T00:00:00"/>
    <n v="17"/>
    <n v="3"/>
    <s v="Lektor Kepala"/>
    <d v="2012-06-01T00:00:00"/>
    <x v="1"/>
    <s v="Perbandingan Mazhab dan Hukum IAIN Sunan Kalijaga Tahun 2000"/>
    <s v="Sosiologi UGM Tahun 2003"/>
    <s v="Studi Islam UIN Sunan Kalijaga Tahun 2015"/>
    <n v="102100504660"/>
    <n v="2020087601"/>
    <d v="2041-09-01T00:00:00"/>
    <s v="Ilmu Syari'ah (S2)"/>
    <s v="Sosiologi  Hukum Islam"/>
    <s v="Sekretaris Program Studi Doktor Ilmu Syari'ah "/>
    <d v="2024-10-23T00:00:00"/>
    <m/>
  </r>
  <r>
    <n v="28"/>
    <s v="Dr.Ahmad Yani Anshori, S.Ag., M.Ag."/>
    <x v="1"/>
    <s v="H.068457"/>
    <s v="Rembang"/>
    <d v="1973-11-05T00:00:00"/>
    <s v="197311051996031002"/>
    <s v="3402120511730004"/>
    <s v="IV/b"/>
    <d v="2024-04-01T00:00:00"/>
    <n v="28"/>
    <n v="1"/>
    <s v="Lektor Kepala"/>
    <d v="2013-07-01T00:00:00"/>
    <x v="1"/>
    <s v="Peradilan Agama IAIN Sunan Kalijaga Tahun 1995"/>
    <s v="Magister Agama IAIN Syarif Hidayatullah Tahun 1999"/>
    <s v="Pengkajian Islam UIN Syarif Hidayatullah Tahun 2006"/>
    <s v="092100500149"/>
    <n v="2005117302"/>
    <d v="2038-12-01T00:00:00"/>
    <s v="Hukum Tata Negara (Siyasah) (S1)"/>
    <s v="Fiqh Siyasah"/>
    <m/>
    <m/>
    <m/>
  </r>
  <r>
    <n v="29"/>
    <s v="Iswantoro, S.H., MH."/>
    <x v="1"/>
    <s v="F.110298"/>
    <s v="Sleman"/>
    <d v="1966-10-10T00:00:00"/>
    <s v="196610101992021001"/>
    <s v="3404121010660005"/>
    <s v="IV/b"/>
    <d v="2024-04-01T00:00:00"/>
    <n v="32"/>
    <n v="2"/>
    <s v="Lektor Kepala"/>
    <d v="2014-03-01T00:00:00"/>
    <x v="2"/>
    <s v="Hukum Perdata Universitas Janabadra Tahun 1991"/>
    <s v="Ilmu Hukum UII Tahun 2003"/>
    <m/>
    <n v="102100504671"/>
    <n v="2010106602"/>
    <d v="2031-11-01T00:00:00"/>
    <s v="Ilmu Hukum (S1)"/>
    <s v="Hukum Agraria"/>
    <m/>
    <m/>
    <m/>
  </r>
  <r>
    <n v="30"/>
    <s v="Yasin Baidi, S.Ag, M.Ag"/>
    <x v="1"/>
    <s v="H. 068465"/>
    <s v="Ciamis"/>
    <d v="1970-03-02T00:00:00"/>
    <s v="197003021998031003"/>
    <s v="3404080203700007"/>
    <s v="IV/b"/>
    <d v="2024-04-01T00:00:00"/>
    <n v="26"/>
    <n v="1"/>
    <s v="Lektor Kepala"/>
    <d v="2014-04-01T00:00:00"/>
    <x v="2"/>
    <s v="Peradilan Agama IAIN Sunan Kalijaga Tahun  1996"/>
    <s v="Hukum Islam Kons. Muammalah UIN Sunan Kalijaga Tahun 2005"/>
    <m/>
    <s v="092100500270"/>
    <n v="2002037001"/>
    <d v="2035-04-01T00:00:00"/>
    <s v="Hukum Keluarga Islam (Ahwal Syakhsiyyah) (S1)"/>
    <s v="Fiqh Munakahat"/>
    <s v="Ketua Program Studi Hukum Keluarga Islam"/>
    <d v="2024-10-23T00:00:00"/>
    <m/>
  </r>
  <r>
    <n v="31"/>
    <s v="Dr. Sri Wahyuni, S.Ag, M.Ag, M.Hum"/>
    <x v="2"/>
    <s v="N 046751"/>
    <s v="Ngawi"/>
    <d v="1977-01-07T00:00:00"/>
    <s v="197701072006042002"/>
    <s v="3521134701770001"/>
    <s v="IV/b"/>
    <d v="2024-04-01T00:00:00"/>
    <n v="18"/>
    <n v="0"/>
    <s v="Lektor Kepala"/>
    <s v="01-05-2017"/>
    <x v="1"/>
    <s v="Jinayah Siyasah IAIN Sunan Kalijaga Tahun 2000 / Ilmu Hukum UCY Tahun 2014"/>
    <s v="Hukum Islam Kons. Hukum Keluarga IAIN Sunan Kalijaga Tahun 2003 / Ilmu  Hukum UGM Tahun 2004"/>
    <s v="Ilmu Hukum UII Tahun 2014"/>
    <n v="102100504755"/>
    <n v="2007017701"/>
    <d v="2042-02-01T00:00:00"/>
    <s v="Ilmu Syari'ah (S2)"/>
    <s v="Perbandingan Madzhab"/>
    <m/>
    <m/>
    <m/>
  </r>
  <r>
    <n v="32"/>
    <s v="Dr. Lindra Darnela, S. Ag., M.Hum."/>
    <x v="2"/>
    <s v="M.069685"/>
    <s v="Majalengka"/>
    <d v="1979-01-05T00:00:00"/>
    <s v="197901052005012003"/>
    <s v="3402154501790002"/>
    <s v="IV/c"/>
    <d v="2024-10-01T00:00:00"/>
    <n v="19"/>
    <n v="9"/>
    <s v="Lektor Kepala"/>
    <d v="2020-05-01T00:00:00"/>
    <x v="1"/>
    <s v="Aqidah dan Filsafat IAIN Sunan Kalijaga Tahun 2000"/>
    <s v="Ilmu Hukum UGM Tahun 2004"/>
    <s v="Hukum UII Tahun 2017"/>
    <n v="112100514310029"/>
    <n v="2005017901"/>
    <d v="2044-02-01T00:00:00"/>
    <s v="Ilmu Hukum (S1)"/>
    <s v="Hukum Internasional"/>
    <m/>
    <s v=" "/>
    <m/>
  </r>
  <r>
    <n v="33"/>
    <s v="Dr. Abdul Mujib, M.Ag."/>
    <x v="1"/>
    <s v="M. 048362"/>
    <s v="Bima"/>
    <d v="1970-12-09T00:00:00"/>
    <s v="197012092003121002"/>
    <s v="3402161202780002"/>
    <s v="IV/a"/>
    <d v="2023-04-01T00:00:00"/>
    <n v="19"/>
    <n v="4"/>
    <s v="Lektor Kepala"/>
    <d v="2020-07-01T00:00:00"/>
    <x v="1"/>
    <s v="Muamalat Jinayat IAIN Sunan Kalijaga Tahun 1996"/>
    <s v="Hukum Islam Kons. Mu'alamat IAIN Sunan Kalijaga Tahun 2000"/>
    <s v="Studi Islam UIN Sunan Kalijaga Tahun 2015"/>
    <n v="102100504629"/>
    <n v="2012097002"/>
    <d v="2035-10-01T00:00:00"/>
    <s v="Hukum Ekonomi Syari'ah (Muamalah) (S1)"/>
    <s v="Fiqh Mu'amalat"/>
    <m/>
    <m/>
    <m/>
  </r>
  <r>
    <n v="34"/>
    <s v="Dr. Ocktoberrinsyah, M.Ag."/>
    <x v="1"/>
    <s v="J. 089429"/>
    <s v="Sungai Liat"/>
    <d v="1968-10-20T00:00:00"/>
    <s v="196810201998031002"/>
    <s v="3310212010680002"/>
    <s v="IV/b"/>
    <d v="2024-04-01T00:00:00"/>
    <n v="26"/>
    <n v="1"/>
    <s v="Lektor Kepala"/>
    <d v="2020-07-01T00:00:00"/>
    <x v="1"/>
    <s v="Perdata Pidana Islam IAIN Sunan Kalijaga Tahun 1993"/>
    <s v="Aqidah dan Filsafat IAIN Sunan Kalijaga Tahun 1997"/>
    <s v="Studi Islam UIN Sunan Kalijaga Tahun 2011"/>
    <s v="092100500324"/>
    <n v="2020106802"/>
    <d v="2033-11-01T00:00:00"/>
    <s v="Hukum Tata Negara (Siyasah) (S1)"/>
    <s v="Fiqh Jinayat"/>
    <s v="Wakil Dekan   Bid. Akademik Fakultas Syari'ah dan Hukum Masa Jabatan 2024-2028"/>
    <d v="2024-10-14T00:00:00"/>
    <m/>
  </r>
  <r>
    <n v="35"/>
    <s v="Siti Djazimah, S.Ag, M.Si"/>
    <x v="2"/>
    <s v="G.289544"/>
    <s v="Bantul"/>
    <d v="1970-01-25T00:00:00"/>
    <s v="197001251997032001"/>
    <s v="3402106501700001"/>
    <s v="III/d"/>
    <d v="2024-04-01T00:00:00"/>
    <n v="27"/>
    <n v="1"/>
    <s v="Lektor"/>
    <d v="2005-07-01T00:00:00"/>
    <x v="2"/>
    <s v="Muamalat Jinayat IAIN Sunan Kalijaga Tahun  1996"/>
    <s v="Studi Islam Kons. Ekonomi Islam UII Tahun  2005"/>
    <m/>
    <n v="102100504740"/>
    <n v="2025017002"/>
    <d v="2035-02-01T00:00:00"/>
    <s v="Hukum Keluarga Islam (Ahwal Syakhsiyyah) (S1)"/>
    <s v="Fiqh Muamalat"/>
    <m/>
    <m/>
    <m/>
  </r>
  <r>
    <n v="36"/>
    <s v="Drs. H. Agus Maftuh, M.Ag."/>
    <x v="1"/>
    <s v="F.109592"/>
    <s v="Semarang"/>
    <d v="1966-06-20T00:00:00"/>
    <s v="196606201992031004"/>
    <s v="3402152006660003"/>
    <s v="III/d"/>
    <d v="2013-10-01T00:00:00"/>
    <n v="21"/>
    <n v="7"/>
    <s v="Lektor"/>
    <d v="2005-11-01T00:00:00"/>
    <x v="2"/>
    <s v="Tafsir Hadits IAIN Sunan Kalijaga Tahun 1989 "/>
    <s v="Aqidah dan Filsafat IAIN Sunan Kalijaga Tahun 2003"/>
    <m/>
    <n v="102100504637"/>
    <n v="2020066602"/>
    <d v="2031-07-01T00:00:00"/>
    <s v="Hukum Tata Negara (Siyasah) (S1)"/>
    <s v="Ilmu Hadist"/>
    <m/>
    <m/>
    <s v=" "/>
  </r>
  <r>
    <n v="37"/>
    <s v="Dra. Hj.Ermi Suhasti Syafe’i, M.Si."/>
    <x v="2"/>
    <s v="E.666149"/>
    <s v="Yogyakarta"/>
    <d v="1962-09-08T00:00:00"/>
    <s v="196209081989032006"/>
    <s v="3404074809620003"/>
    <s v="III/d"/>
    <d v="2011-10-01T00:00:00"/>
    <n v="22"/>
    <n v="7"/>
    <s v="Lektor"/>
    <d v="2006-04-01T00:00:00"/>
    <x v="2"/>
    <s v="Filsafat UGM Tahun 1987"/>
    <s v="Studi Islam Kons. Ekonomi Islam UII Tahun  2003"/>
    <m/>
    <n v="102100504655"/>
    <n v="2009096203"/>
    <d v="2027-10-01T00:00:00"/>
    <s v="Hukum Keluarga Islam (Ahwal Syakhsiyyah) (S1)"/>
    <s v="Filsafat Hukum Islam"/>
    <m/>
    <m/>
    <m/>
  </r>
  <r>
    <n v="38"/>
    <s v="Dr. Gusnam Haris, S.Ag.,M.Ag."/>
    <x v="1"/>
    <s v="H.068472"/>
    <s v="Solok"/>
    <d v="1972-08-12T00:00:00"/>
    <s v="197208121998031004"/>
    <s v="3402121208720010"/>
    <s v="III/d"/>
    <d v="2010-10-01T00:00:00"/>
    <n v="13"/>
    <n v="7"/>
    <s v="Lektor"/>
    <d v="2006-08-01T00:00:00"/>
    <x v="1"/>
    <s v=" Perbandingan Mazdhab dan Hukum IAIN Syarif Hidayatullah Tahun 1995"/>
    <s v="Syari'ah IAIN Syarif Hidayatullah Tahun 1999"/>
    <s v="Studi Islam UIN Sunan Kalijaga Tahun 2019"/>
    <n v="102100504662"/>
    <n v="2012087202"/>
    <d v="2037-09-01T00:00:00"/>
    <s v="Perbandingan Mazhab (S1)"/>
    <s v="Tarikh Tasyri'"/>
    <m/>
    <m/>
    <m/>
  </r>
  <r>
    <n v="39"/>
    <s v="Dr. Samsul Hadi, S.Ag., M.Ag."/>
    <x v="1"/>
    <s v="J 090910"/>
    <s v="Kebumen"/>
    <d v="1973-08-07T00:00:00"/>
    <s v="197307082000031003"/>
    <s v="3308080807730005"/>
    <s v="IV/a"/>
    <d v="2024-04-01T00:00:00"/>
    <n v="24"/>
    <n v="1"/>
    <s v="Lektor Kepala"/>
    <d v="2023-03-01T00:00:00"/>
    <x v="1"/>
    <s v="Peradilan Agama IAIN Sunan Kalijaga Tahun  1997"/>
    <s v="Studi Agama dan Filsafat Kons. Hubungan Antar Agama IAIN Sunan Kalijaga Tahun 1999"/>
    <s v="Studi Islam UIN Sunan Kalijaga Tahun 2012 "/>
    <n v="102100504735"/>
    <n v="2007087301"/>
    <d v="2038-09-01T00:00:00"/>
    <s v="Hukum Keluarga Islam (Ahwal Syakhsiyyah) (S1)"/>
    <s v="Ushul Fiqh/Fiqh"/>
    <m/>
    <m/>
    <m/>
  </r>
  <r>
    <n v="40"/>
    <s v="Dr. Muhrisun, S.Ag., BSW., M.Ag., MSW."/>
    <x v="1"/>
    <s v="H.068473"/>
    <s v="Temanggung"/>
    <d v="1971-05-14T00:00:00"/>
    <s v="197105141998031004"/>
    <s v="3404101405710003"/>
    <s v="III/d"/>
    <d v="2012-04-01T00:00:00"/>
    <n v="14"/>
    <n v="1"/>
    <s v="Lektor"/>
    <d v="2008-09-01T00:00:00"/>
    <x v="1"/>
    <s v="Pendidikan Agama Islam IAIN Walisongo Tahun 1995 / Social Work McGill University Canada Tahun 2003_x000a_"/>
    <s v="Magister Agama IAIN Sumatera Utara Tahun 1999 / Social Work McGill University Canada Tahun 2005_x000a_"/>
    <s v="Social Work, Australia, 2013"/>
    <n v="142100512842"/>
    <n v="2014057101"/>
    <d v="2036-06-01T00:00:00"/>
    <s v="Ilmu Syari'ah (S3)"/>
    <s v="Hukum Perlindungan Anak"/>
    <m/>
    <m/>
    <m/>
  </r>
  <r>
    <n v="41"/>
    <s v="Dr. Abdul Mughits, S. Ag., M.Ag."/>
    <x v="1"/>
    <s v="M 069680"/>
    <s v="Magelang"/>
    <d v="1976-09-20T00:00:00"/>
    <s v="197609202005011002"/>
    <s v="3404072009760007"/>
    <s v="III/d"/>
    <d v="2024-04-01T00:00:00"/>
    <n v="19"/>
    <n v="3"/>
    <s v="Lektor"/>
    <d v="2009-06-01T00:00:00"/>
    <x v="1"/>
    <s v="Muamalat IAIN Sunan Kalijaga Tahun 2000"/>
    <s v="Hukum Islam Kons. Muammalat IAIN Sunan Kalijaga Tahun 2003"/>
    <s v="Studi Islam Kons. Ekonomi Islam UIN Sunan Kalijaga Tahun 2019"/>
    <n v="102100504628"/>
    <n v="2020097601"/>
    <d v="2041-10-01T00:00:00"/>
    <s v="Hukum Ekonomi Syari'ah (Muamalah) (S1)"/>
    <s v="Hukum Islam"/>
    <m/>
    <m/>
    <m/>
  </r>
  <r>
    <n v="42"/>
    <s v="Nurainun Mangunsong, SH., M.Hum."/>
    <x v="2"/>
    <s v="M 069681"/>
    <s v="Jantuhan Golok"/>
    <d v="1975-10-10T00:00:00"/>
    <s v="197510102005012005"/>
    <s v="3402125010750006"/>
    <s v="III/d"/>
    <d v="2012-10-01T00:00:00"/>
    <n v="7"/>
    <n v="9"/>
    <s v="Lektor"/>
    <d v="2009-06-01T00:00:00"/>
    <x v="2"/>
    <s v="Ilmu Hukum UII Tahun 1999"/>
    <s v="Ilmu Hukum UII Tahun 2004"/>
    <m/>
    <n v="102100504722"/>
    <n v="2010107502"/>
    <d v="2040-11-01T00:00:00"/>
    <s v="Ilmu Hukum (S1)"/>
    <s v="Hukum Tata Negara"/>
    <s v="Ketua Program Studi Ilmu Hukum"/>
    <d v="2024-10-23T00:00:00"/>
    <m/>
  </r>
  <r>
    <n v="43"/>
    <s v="Dr. Ahmad Bunyan Wahib, M.Ag., MA."/>
    <x v="1"/>
    <s v="H. 068467"/>
    <s v="Kebumen"/>
    <d v="1975-03-26T00:00:00"/>
    <s v="197503261998031002"/>
    <s v="3402122603750003"/>
    <s v="III/d"/>
    <d v="2012-04-01T00:00:00"/>
    <n v="14"/>
    <n v="1"/>
    <s v="Lektor Kepala"/>
    <d v="2023-08-01T00:00:00"/>
    <x v="1"/>
    <s v="IAIN, F. Syariah, 1997"/>
    <s v="Universitas Leiden, Sosiologi, 2002"/>
    <s v="program the Doctor of Philosophy Programme by Research, UKM, 2007"/>
    <n v="102100504639"/>
    <n v="2026037501"/>
    <d v="2040-04-01T00:00:00"/>
    <s v="Hukum Keluarga Islam (Ahwal Syakhsiyyah) (S1)"/>
    <s v="Antropologi Islam"/>
    <m/>
    <m/>
    <m/>
  </r>
  <r>
    <n v="44"/>
    <s v="Dr. Mansur, S.Ag., M.Ag."/>
    <x v="1"/>
    <s v="N 046753"/>
    <s v="Cirebon"/>
    <s v="30-06-1975"/>
    <s v="197506302006041001"/>
    <s v="3404073006750008"/>
    <s v="III/d"/>
    <d v="2016-10-01T00:00:00"/>
    <n v="10"/>
    <n v="6"/>
    <s v="Lektor"/>
    <s v="01-05-2011"/>
    <x v="1"/>
    <s v="Tafsir Hadis IAIN Sunan Kalijaga Tahun 1999"/>
    <s v="Agama dan Filsafat Kons. Hubungan Antar Agama IAIN Sunan Kalijaga Tahun 2004"/>
    <s v="Studi Islam UIN Sunan Kalijaga Tahun  2019"/>
    <n v="112100511110004"/>
    <n v="2030067502"/>
    <d v="2040-07-01T00:00:00"/>
    <s v="Hukum Keluarga Islam (Ahwal Syakhsiyyah) (S1)"/>
    <s v="Tafsir Ahkam"/>
    <m/>
    <m/>
    <m/>
  </r>
  <r>
    <n v="45"/>
    <s v="Dr. Saifuddin, SHI., MSI."/>
    <x v="1"/>
    <s v="P. 513649"/>
    <s v="Pamekasan"/>
    <d v="1978-07-15T00:00:00"/>
    <s v="197807152009121004"/>
    <s v="3404101507780005"/>
    <s v="III/d"/>
    <d v="2015-10-01T00:00:00"/>
    <n v="5"/>
    <n v="10"/>
    <s v="Lektor"/>
    <d v="2012-01-01T00:00:00"/>
    <x v="1"/>
    <s v="Perbandingan Mazhab dan Hukum IAIN Sunan Kalijaga Tahun 2004"/>
    <s v="Hukum Islam Kons. Studi Politik dan Pemerintahan dalam Islam UIN Sunan Kalijaga Tahun 2007"/>
    <s v="Studi Islam UIN Sunan Kalijaga Tahun  2023"/>
    <n v="122100509791"/>
    <n v="2015077805"/>
    <d v="2043-08-01T00:00:00"/>
    <s v="Hukum Ekonomi Syari'ah (Muamalah) (S1)"/>
    <s v="Zakat dan Wakaf"/>
    <s v="Wakil Dekan  Bid. Kemahasiswaan, dan Kerjasama  Fakultas Syari'ah dan Hukum Masa Jabatan 2024-2028"/>
    <d v="2024-10-14T00:00:00"/>
    <m/>
  </r>
  <r>
    <n v="46"/>
    <s v="Ahmad Anfasul Marom, SHI., MA."/>
    <x v="1"/>
    <s v="P. 513650"/>
    <s v="Bojonegoro"/>
    <d v="1981-11-07T00:00:00"/>
    <s v="198111072009121002"/>
    <s v="3522100711810009"/>
    <s v="III/c"/>
    <d v="2013-04-01T00:00:00"/>
    <n v="3"/>
    <n v="4"/>
    <s v="Lektor"/>
    <d v="2013-01-01T00:00:00"/>
    <x v="2"/>
    <s v="Perbandingan Mazhab dan Hukum IAIN Sunan Kalijaga Tahun 2004"/>
    <s v="Islamic Studies Leiden University Tahun 2009 "/>
    <s v=" "/>
    <n v="122100509811"/>
    <n v="2007118102"/>
    <d v="2046-12-01T00:00:00"/>
    <s v="Hukum Tata Negara (Siyasah) (S1)"/>
    <s v="Ilmu Politik"/>
    <m/>
    <m/>
    <s v="TUGAS BELAJAR"/>
  </r>
  <r>
    <n v="47"/>
    <s v="Ach. Tahir, SHI., LL.M."/>
    <x v="1"/>
    <s v="P. 513651"/>
    <s v="Sumenep"/>
    <d v="1980-06-26T00:00:00"/>
    <s v="198006262009121002"/>
    <s v="3402132606800005"/>
    <s v="III/d"/>
    <d v="2015-04-01T00:00:00"/>
    <n v="5"/>
    <n v="4"/>
    <s v="Lektor"/>
    <d v="2013-03-01T00:00:00"/>
    <x v="2"/>
    <s v="Jinayah Siyasah UIN Sunan Kalijaga Tahun 2005"/>
    <s v="Ilmu Hukum UGM Tahun 2008"/>
    <s v=" "/>
    <n v="122100509812"/>
    <n v="2026068001"/>
    <d v="2045-07-01T00:00:00"/>
    <s v="Ilmu Hukum (S1)"/>
    <s v="Ilmu Hukum  "/>
    <s v="Wakil Dekan  Bid. Administrasi Umum, Perencanaan dan Keuangan Fakultas Syari'ah dan Hukum Masa Jabatan 2024-2028  "/>
    <d v="2024-10-14T00:00:00"/>
    <m/>
  </r>
  <r>
    <n v="48"/>
    <s v="Dr. Zusiana Elly Triantini, S.H.I., M.S.I."/>
    <x v="2"/>
    <s v="P. 513646"/>
    <s v="Blora"/>
    <d v="1982-04-14T00:00:00"/>
    <s v="198203142009122003"/>
    <s v="3316095403820002"/>
    <s v="III/d"/>
    <d v="2016-04-01T00:00:00"/>
    <n v="6"/>
    <n v="4"/>
    <s v="Lektor"/>
    <d v="2013-03-01T00:00:00"/>
    <x v="1"/>
    <s v="Perbandingan Mazhab dan Hukum IAIN Sunan Kalijaga Tahun 2004"/>
    <s v="Hukum Islam Kons. Studi Politik dan Pemerintahan dalam Islam Tahun 2008"/>
    <s v="Ilmu Politik, UGM Tahun 2024"/>
    <n v="12210059792"/>
    <s v="0514038202"/>
    <d v="2047-04-01T00:00:00"/>
    <s v="Hukum Ekonomi Syari'ah (Muamalah) (S1)"/>
    <s v="Zakat dan Wakaf"/>
    <m/>
    <m/>
    <s v=" "/>
  </r>
  <r>
    <n v="49"/>
    <s v="Vita Fitria, S.Ag, M.Ag."/>
    <x v="2"/>
    <s v="N 046755"/>
    <s v="Kendal"/>
    <d v="1971-08-02T00:00:00"/>
    <s v="197108022006042001"/>
    <s v="3402124208710002"/>
    <s v="III/d"/>
    <d v="2023-10-01T00:00:00"/>
    <n v="17"/>
    <n v="6"/>
    <s v="Lektor"/>
    <d v="2013-04-01T00:00:00"/>
    <x v="2"/>
    <s v="Peradilan Agama IAIN Sunan Kalijaga Tahun 1997"/>
    <s v="Hukum Islam Kons. Hukum Keluarga IAIN Sunan Kalijaga Tahun 2004"/>
    <m/>
    <n v="102100504770"/>
    <n v="2002087101"/>
    <d v="2036-09-01T00:00:00"/>
    <s v="Perbandingan Mazhab (S1)"/>
    <s v="Hukum Perkawinan Islam"/>
    <s v="Ketua Program Studi Perbandingan Madzhab "/>
    <d v="2024-10-23T00:00:00"/>
    <m/>
  </r>
  <r>
    <n v="50"/>
    <s v="Faisal Luqman Hakim, SH,M.Hum"/>
    <x v="1"/>
    <s v="P. 171416"/>
    <s v="Yogyakarta"/>
    <s v="19-07-1979"/>
    <s v="197907192008011012"/>
    <s v="3471121907790004"/>
    <s v="III/d"/>
    <s v="01-04-2021"/>
    <n v="13"/>
    <n v="3"/>
    <s v="Lektor"/>
    <d v="2014-04-01T00:00:00"/>
    <x v="2"/>
    <s v="Ilmu Hukum UII Tahun 2002"/>
    <s v="Ilmu Hukum (Hukum Bisnis) UGM Tahun  2007"/>
    <m/>
    <n v="132100511956"/>
    <n v="2019077901"/>
    <s v="01-08-2044"/>
    <s v="Ilmu Hukum (S1)"/>
    <s v="Hukum Perdata"/>
    <m/>
    <m/>
    <m/>
  </r>
  <r>
    <n v="51"/>
    <s v="Siti Jahroh, S.H.I., M.S.I."/>
    <x v="2"/>
    <s v="P. 513645"/>
    <s v="Cirebon"/>
    <d v="1979-04-18T00:00:00"/>
    <s v="197904182009122001"/>
    <s v="3404075804790010"/>
    <s v="III/d"/>
    <d v="2024-04-01T00:00:00"/>
    <n v="14"/>
    <n v="4"/>
    <s v="Lektor"/>
    <d v="2014-08-29T00:00:00"/>
    <x v="2"/>
    <s v="Jinayah Siyasah IAIN Sunan Kalijaga Tahun 2003 "/>
    <s v="Hukum Islam Kons. Hukum Keluarga UIN Sunan Kalijaga Tahun 2007"/>
    <s v=" "/>
    <n v="132100511993"/>
    <n v="2018047901"/>
    <d v="2044-05-01T00:00:00"/>
    <s v="Hukum Tata Negara (Siyasah) (S1)"/>
    <s v="Hukum Keluarga"/>
    <s v="Ketua Program Studi Magister Ilmu Syari'ah "/>
    <d v="2024-10-23T00:00:00"/>
    <m/>
  </r>
  <r>
    <n v="52"/>
    <s v="Dr. Moh. Tamtowi, M.Ag."/>
    <x v="1"/>
    <s v="L. 055064"/>
    <s v="Nganjuk"/>
    <d v="1972-09-03T00:00:00"/>
    <s v="197209031998031001"/>
    <s v="3308210309720002"/>
    <s v="III/c"/>
    <d v="2023-04-01T00:00:00"/>
    <n v="25"/>
    <n v="1"/>
    <s v="Lektor"/>
    <d v="2014-10-01T00:00:00"/>
    <x v="1"/>
    <s v="Peradilan Agama IAIN Sunan Kalijaga Tahun 1996"/>
    <s v="Agama dan Filsafat IAIN Sunan Kalijaga Tahun  1998"/>
    <s v="Studi Islam UIN Sunan Kalijaga Tahun 2009"/>
    <s v="112100911100064"/>
    <s v="2003097203"/>
    <d v="2037-03-01T00:00:00"/>
    <s v="Hukum Tata Negara (Siyasah) (S1)"/>
    <s v="Filsafat Hukum Islam"/>
    <m/>
    <m/>
    <m/>
  </r>
  <r>
    <n v="53"/>
    <s v="M. Misbahul Mujib, S.Ag., M.Hum."/>
    <x v="1"/>
    <s v="P. 684469"/>
    <s v="Semarang"/>
    <d v="1978-02-12T00:00:00"/>
    <s v="197802122011011002"/>
    <s v="3402161202780002"/>
    <s v="III/d"/>
    <d v="2024-04-01T00:00:00"/>
    <n v="13"/>
    <n v="3"/>
    <s v="Lektor"/>
    <d v="2016-02-01T00:00:00"/>
    <x v="2"/>
    <s v="Al-Ahwal Asy-Syakhsiyyah IAIN Sunan Kalijaga Tahun 2001 "/>
    <s v="Ilmu Hukum UGM Tahun 2007"/>
    <s v=" "/>
    <n v="132100511971"/>
    <n v="2012027801"/>
    <d v="2043-03-01T00:00:00"/>
    <s v="Ilmu Hukum (S1)"/>
    <s v="Ilmu Hukum  "/>
    <m/>
    <m/>
    <s v=" "/>
  </r>
  <r>
    <n v="54"/>
    <s v="Dr. Faiq Tobroni, M.H."/>
    <x v="1"/>
    <m/>
    <s v="Bojonegoro"/>
    <d v="1988-04-02T00:00:00"/>
    <s v="198804022018011001"/>
    <s v="3522130204880001"/>
    <s v="III/d"/>
    <d v="2023-10-01T00:00:00"/>
    <n v="5"/>
    <n v="9"/>
    <s v="Lektor"/>
    <d v="2021-06-01T00:00:00"/>
    <x v="1"/>
    <s v=" "/>
    <s v="Ilmu Hukum, Universitas Islam Indonesia Tahun 2011"/>
    <s v="Ilmu Syari'ah Kons. Politik Hukum Islam UIN Sunan Kalijaga Tahun 2024"/>
    <s v="222100517744"/>
    <s v="2002048803"/>
    <d v="2053-05-01T00:00:00"/>
    <s v="Ilmu Hukum (S1)"/>
    <s v="Hukum dan HAM"/>
    <m/>
    <m/>
    <m/>
  </r>
  <r>
    <n v="55"/>
    <s v="A Hashfi Luthfi, M.H."/>
    <x v="1"/>
    <m/>
    <s v="Kendal"/>
    <d v="1991-11-14T00:00:00"/>
    <s v="199111142018011003"/>
    <s v="3324071411910003"/>
    <s v="III/d"/>
    <d v="2024-10-01T00:00:00"/>
    <n v="6"/>
    <n v="9"/>
    <s v="Lektor"/>
    <d v="2022-06-01T00:00:00"/>
    <x v="2"/>
    <s v=" "/>
    <s v="Ilmu Hukum Universitas Diponegoro Semarang Tahun 2017"/>
    <m/>
    <s v="222100517750"/>
    <s v="2014119101"/>
    <d v="2056-12-01T00:00:00"/>
    <s v="Hukum Ekonomi Syari'ah (Muamalah) (S1)"/>
    <s v="Hukum Perikatan Islam"/>
    <s v="Ketua Program Studi Hukum Ekonomi Syari'ah"/>
    <d v="2024-10-23T00:00:00"/>
    <m/>
  </r>
  <r>
    <n v="56"/>
    <s v="Shohibul Adhkar, M.H. "/>
    <x v="1"/>
    <m/>
    <s v="Malang"/>
    <d v="1989-03-18T00:00:00"/>
    <s v="198903182018011001"/>
    <s v="3507091803890001"/>
    <s v="III/c"/>
    <d v="2023-10-01T00:00:00"/>
    <n v="5"/>
    <n v="9"/>
    <s v="Lektor"/>
    <d v="2023-01-01T00:00:00"/>
    <x v="2"/>
    <s v=" "/>
    <s v="Al- Ahwal Al-Syakhshiyyah UIN Maulana Malik Ibrahim Malang Tahun 2017"/>
    <m/>
    <s v="232100519187"/>
    <s v="2018038901"/>
    <d v="2054-04-01T00:00:00"/>
    <s v="Perbandingan Mazhab (S1)"/>
    <s v="Hukum Pidana"/>
    <m/>
    <m/>
    <m/>
  </r>
  <r>
    <n v="57"/>
    <s v="Gugun El Guyanie, LL.M."/>
    <x v="1"/>
    <m/>
    <s v="Pati"/>
    <d v="1985-03-01T00:00:00"/>
    <s v="198503012018011002"/>
    <s v="3402150103850008"/>
    <s v="III/d"/>
    <d v="2024-10-01T00:00:00"/>
    <n v="6"/>
    <n v="6"/>
    <s v="Lektor"/>
    <d v="2022-06-01T00:00:00"/>
    <x v="2"/>
    <s v="Jinayah Siyasah UIN Sunan Kalijaga Tahun 2009"/>
    <s v="Ilmu Hukum UGM Yogyakarta Tahun 2012"/>
    <m/>
    <s v="222100517757"/>
    <s v="2001038505"/>
    <d v="2050-04-01T00:00:00"/>
    <s v="Hukum Tata Negara (Siyasah) (S1)"/>
    <s v="Hukum Tata Negara  "/>
    <s v="Ketua Program Studi Hukum Tata Negara "/>
    <d v="2024-10-23T00:00:00"/>
    <m/>
  </r>
  <r>
    <n v="58"/>
    <s v="Wardatul Fitri, M.H."/>
    <x v="2"/>
    <m/>
    <s v="Jepara"/>
    <d v="1990-05-11T00:00:00"/>
    <s v="199005112019032016 "/>
    <s v="3404075904900001"/>
    <s v="III/c"/>
    <d v="2023-10-01T00:00:00"/>
    <n v="4"/>
    <n v="7"/>
    <s v="Lektor"/>
    <d v="2023-01-01T00:00:00"/>
    <x v="2"/>
    <s v="UGM Tahun 2012"/>
    <s v="Ilmu Hukum UGM Tahun 2014"/>
    <m/>
    <m/>
    <s v="2011059001"/>
    <d v="2055-06-01T00:00:00"/>
    <s v="Hukum Ekonomi Syari'ah (Muamalah) (S1)"/>
    <s v="Hukum Perdata "/>
    <s v=" "/>
    <s v=" "/>
    <m/>
  </r>
  <r>
    <n v="59"/>
    <s v="Proborini Hastuti, M.H."/>
    <x v="2"/>
    <m/>
    <s v="Jakarta"/>
    <d v="1993-03-14T00:00:00"/>
    <s v="199303142019032023 "/>
    <s v="3310085403930001"/>
    <s v="III/c"/>
    <d v="2023-10-01T00:00:00"/>
    <n v="4"/>
    <n v="7"/>
    <s v="Lektor"/>
    <d v="2023-04-01T00:00:00"/>
    <x v="2"/>
    <s v="UIN Sunan Kalijaga Tahun 2014"/>
    <s v="Magister Hukum UGM Tahun 2017"/>
    <m/>
    <m/>
    <s v="0014039301"/>
    <d v="2058-04-01T00:00:00"/>
    <s v="Hukum Tata Negara (Siyasah) (S1)"/>
    <s v="Hukum Tata Negara"/>
    <s v="Sekretaris Program Studi Hukum Tata Negara "/>
    <d v="2024-10-23T00:00:00"/>
    <m/>
  </r>
  <r>
    <n v="60"/>
    <s v="Hijrian Angga Prihantoro, L.L.M."/>
    <x v="1"/>
    <m/>
    <s v="Manokwari"/>
    <d v="1990-06-29T00:00:00"/>
    <s v="199006292019031010 "/>
    <s v="9202052906900001"/>
    <s v="III/c"/>
    <d v="2023-10-01T00:00:00"/>
    <n v="4"/>
    <n v="7"/>
    <s v="Lektor"/>
    <d v="2023-01-01T00:00:00"/>
    <x v="2"/>
    <s v="Al Azhar Kairo Mesir Tahun 2011"/>
    <s v="Private Law The World Islamic Science University Jordan Tahun 2017"/>
    <m/>
    <m/>
    <s v="2029069001"/>
    <d v="2055-07-01T00:00:00"/>
    <s v="Perbandingan Mazhab (S1)"/>
    <s v="Ushul Fiqh"/>
    <s v="Sekretaris Program Studi Magister Ilmu Syari'ah "/>
    <d v="2024-10-23T00:00:00"/>
    <m/>
  </r>
  <r>
    <n v="61"/>
    <s v="Fuad Mustafid, M.Ag."/>
    <x v="1"/>
    <s v="N. 513648"/>
    <s v="Cilacap"/>
    <d v="1977-09-09T00:00:00"/>
    <s v="197709092009121003"/>
    <s v="3301010909770002"/>
    <s v="III/c"/>
    <d v="2023-10-01T00:00:00"/>
    <n v="13"/>
    <n v="10"/>
    <s v="Lektor"/>
    <d v="2023-01-01T00:00:00"/>
    <x v="2"/>
    <s v="Perbandingan Mazhab dan Hukum IAIN Sunan Kalijaga Tahun 2000"/>
    <s v="Hukum Islam Kons. Muamalah UIN Sunan Kalijaga Tahun 2005 "/>
    <s v=" "/>
    <s v="150100513471"/>
    <n v="2009097701"/>
    <d v="2042-04-01T00:00:00"/>
    <s v="Perbandingan Mazhab (S1)"/>
    <s v="Filsafat Hukum Islam"/>
    <m/>
    <m/>
    <m/>
  </r>
  <r>
    <n v="62"/>
    <s v="Ratnasari Fajariya Abidin, SH, MH"/>
    <x v="2"/>
    <s v="P. 171415"/>
    <s v="Temanggung"/>
    <s v="18-10-1976"/>
    <s v="197610182008012009"/>
    <s v="3471035810760001"/>
    <s v="III/c"/>
    <s v="01-04-2024"/>
    <n v="16"/>
    <n v="3"/>
    <s v="Lektor"/>
    <d v="2023-01-01T00:00:00"/>
    <x v="2"/>
    <s v="Ilmu Hukum UNS Tahun 1999"/>
    <s v="Ilmu Hukum UII Tahun 2002"/>
    <m/>
    <s v="182100516045"/>
    <n v="2018107601"/>
    <s v="01-11-2041"/>
    <s v="Hukum Ekonomi Syari'ah (Muamalah) (S1)"/>
    <s v="Hukum Bisnis"/>
    <m/>
    <m/>
    <m/>
  </r>
  <r>
    <n v="63"/>
    <s v="Nurdhin Baroroh, S.H.I., M.S.I."/>
    <x v="1"/>
    <s v="P. 684470"/>
    <s v="Bantul"/>
    <d v="1980-09-06T00:00:00"/>
    <s v="198009082011011005"/>
    <s v="3402140809800002"/>
    <s v="III/c"/>
    <d v="2023-10-01T00:00:00"/>
    <n v="12"/>
    <n v="9"/>
    <s v="Lektor"/>
    <d v="2023-01-01T00:00:00"/>
    <x v="2"/>
    <s v="Perbandingan Mazhab dan Hukum IAIN Sunan Kalijaga Tahun 2004"/>
    <s v="Hukum Islam Kons. Hukum Keluarga UIN Sunan Kalijaga Tahun 2008"/>
    <s v=" "/>
    <n v="132100511983"/>
    <n v="2008098001"/>
    <d v="2045-10-01T00:00:00"/>
    <s v="Perbandingan Mazhab (S1)"/>
    <s v="Perbandingan Madzhab"/>
    <m/>
    <m/>
    <m/>
  </r>
  <r>
    <n v="64"/>
    <s v="Dr. Siti Muna Hayati, M.H.I."/>
    <x v="2"/>
    <m/>
    <s v="Banjarmasin"/>
    <d v="1990-08-20T00:00:00"/>
    <s v="199008202018012001"/>
    <s v="6371016008900009"/>
    <s v="III/c"/>
    <d v="2023-10-01T00:00:00"/>
    <n v="5"/>
    <n v="9"/>
    <s v="Lektor"/>
    <d v="2023-01-01T00:00:00"/>
    <x v="1"/>
    <s v="Ahwal al Syakhsiyah IAIN Sunan Ampel Tahun 2012"/>
    <s v="Hukum Islam Konsentrasi Hukum Keluarga UIN Sunan Kalijaga Yogyakarta Tahun 2014"/>
    <s v="Studi Islam UIN Sunan Kalijaga Yogyakarta Tahun 2022"/>
    <s v="232100519173"/>
    <s v="2120089002"/>
    <d v="2055-09-01T00:00:00"/>
    <s v="Hukum Keluarga Islam (Ahwal Syakhsiyyah) (S1)"/>
    <s v="Hukum Islam di Indonesia "/>
    <s v="Sekretaris Lembaga Penjaminan Mutu (LPM) Masa Jabatan 2024-2028"/>
    <d v="2024-10-14T00:00:00"/>
    <m/>
  </r>
  <r>
    <n v="65"/>
    <s v="Ahmad Syaifudin Anwar, M.H."/>
    <x v="1"/>
    <m/>
    <s v="Tuban"/>
    <d v="1989-12-07T00:00:00"/>
    <s v="198912072019031009 "/>
    <s v="3523020712890004"/>
    <s v="III/c"/>
    <d v="2024-04-01T00:00:00"/>
    <n v="5"/>
    <n v="1"/>
    <s v="Lektor"/>
    <d v="2023-06-01T00:00:00"/>
    <x v="2"/>
    <s v="UII Tahun 2012"/>
    <s v="Ilmu Hukum UII Tahun 2016"/>
    <m/>
    <m/>
    <s v="2007128903"/>
    <d v="2055-01-01T00:00:00"/>
    <s v="Hukum Keluarga Islam (Ahwal Syakhsiyyah) (S1)"/>
    <s v="Ilmu Hukum "/>
    <s v="Anggota Pusat Pengembangan Bisnis"/>
    <d v="2024-12-11T00:00:00"/>
    <m/>
  </r>
  <r>
    <n v="66"/>
    <s v="Bustanul Arifien Rusydi, M.H."/>
    <x v="1"/>
    <m/>
    <s v="Benteng Selayar"/>
    <d v="1990-07-21T00:00:00"/>
    <s v="199007212019031010 "/>
    <s v="7310042107900002"/>
    <s v="III/c"/>
    <d v="2024-04-01T00:00:00"/>
    <n v="5"/>
    <n v="1"/>
    <s v="Lektor"/>
    <d v="2021-06-01T00:00:00"/>
    <x v="2"/>
    <s v="UII Tahun 2012"/>
    <s v="Ilmu Hukum UII Tahun 2015"/>
    <m/>
    <m/>
    <s v="2021079003"/>
    <d v="2055-08-01T00:00:00"/>
    <s v="Hukum Keluarga Islam (Ahwal Syakhsiyyah) (S1)"/>
    <s v="Hukum Acara Perdata"/>
    <s v="Sekretaris  Program Studi  Hukum Keluarga Islam"/>
    <d v="2024-10-23T00:00:00"/>
    <m/>
  </r>
  <r>
    <n v="67"/>
    <s v="Farrah Syamala Rosyda, M.H."/>
    <x v="2"/>
    <m/>
    <s v="Kebumen"/>
    <d v="1991-09-30T00:00:00"/>
    <s v="199109302019032021 "/>
    <s v="3305197009910001"/>
    <s v="III/c"/>
    <d v="2023-10-01T00:00:00"/>
    <n v="4"/>
    <n v="7"/>
    <s v="Lektor"/>
    <d v="2023-01-01T00:00:00"/>
    <x v="2"/>
    <s v="UIN Sunan Kalijaga Tahun 2013"/>
    <s v="Ilmu Hukum UGM Tahun 2017"/>
    <m/>
    <m/>
    <n v="2030099102"/>
    <d v="2056-10-01T00:00:00"/>
    <s v="Ilmu Hukum (S1)"/>
    <s v="Hukum Pidana "/>
    <m/>
    <m/>
    <m/>
  </r>
  <r>
    <n v="68"/>
    <s v="Syaifullahil Maslul, M.H."/>
    <x v="1"/>
    <m/>
    <s v="Tulungagung"/>
    <d v="1990-08-24T00:00:00"/>
    <s v="199008242019031011 "/>
    <s v="3504152408900001"/>
    <s v="III/c"/>
    <d v="2023-10-01T00:00:00"/>
    <n v="4"/>
    <n v="7"/>
    <s v="Lektor"/>
    <d v="2023-01-01T00:00:00"/>
    <x v="2"/>
    <s v="UIN Sunan Kalijaga Tahun 2014"/>
    <s v="Ilmu Hukum UII Tahun 2016"/>
    <m/>
    <m/>
    <s v="0724089004"/>
    <d v="2055-09-01T00:00:00"/>
    <s v="Ilmu Hukum (S1)"/>
    <s v="Hukum Tata Negara"/>
    <s v="Sekretaris Satuan Pengawasan Internal (SPI) UIN Sunan Kalijaga Yogyakarta Masa Jabatan 2024 - 2028"/>
    <d v="2024-12-13T00:00:00"/>
    <m/>
  </r>
  <r>
    <n v="69"/>
    <s v="H. Afif Muhammad, S.Ag., M.A."/>
    <x v="1"/>
    <s v=" "/>
    <s v="Bantul"/>
    <d v="1973-09-23T00:00:00"/>
    <s v="197309232008011004"/>
    <s v="3402152309730002"/>
    <s v="III/b"/>
    <d v="2009-12-01T00:00:00"/>
    <n v="1"/>
    <n v="5"/>
    <s v="Asisten Ahli"/>
    <d v="2010-06-01T00:00:00"/>
    <x v="2"/>
    <s v=" "/>
    <s v=" "/>
    <s v=" "/>
    <s v=" "/>
    <n v="2023097304"/>
    <d v="2038-10-01T00:00:00"/>
    <s v="Hukum Ekonomi Syari'ah (Muamalah) (S1)"/>
    <s v="Ushul Fiqh"/>
    <m/>
    <m/>
    <m/>
  </r>
  <r>
    <n v="70"/>
    <s v="Dr. Muhammad Anis Mashduqi, Lc."/>
    <x v="1"/>
    <m/>
    <s v="Sleman"/>
    <d v="1981-01-22T00:00:00"/>
    <s v="198101222009011005"/>
    <s v="3402152201810002"/>
    <s v="III/b"/>
    <d v="2019-04-01T00:00:00"/>
    <n v="0"/>
    <n v="0"/>
    <s v="Asisten Ahli"/>
    <d v="2020-09-01T00:00:00"/>
    <x v="1"/>
    <s v="Al Azhar Kairo Mesir Tahun 2007"/>
    <s v=" "/>
    <s v="Studi Islam UIN Sunan Kalijaga Yogyakarta Tahun 2018"/>
    <m/>
    <s v="2022018103 "/>
    <d v="2046-02-01T00:00:00"/>
    <s v="Perbandingan Mazhab (S1)"/>
    <s v="Ushul Fiqh"/>
    <m/>
    <m/>
    <m/>
  </r>
  <r>
    <n v="71"/>
    <s v="Annisa Dian Arini, M.H."/>
    <x v="2"/>
    <m/>
    <s v="Bojonegoro"/>
    <d v="1988-01-26T00:00:00"/>
    <s v="198801262019032007 "/>
    <s v="3404066601880005"/>
    <s v="III/b"/>
    <d v="2019-03-01T00:00:00"/>
    <n v="0"/>
    <n v="0"/>
    <s v="Asisten Ahli"/>
    <d v="2021-04-01T00:00:00"/>
    <x v="2"/>
    <s v="Hukum UGM Tahun 2011"/>
    <s v="Magister Hukum UGM Tahun 2015"/>
    <m/>
    <m/>
    <s v="2012018802"/>
    <d v="2053-02-01T00:00:00"/>
    <s v="Perbandingan Mazhab (S1)"/>
    <s v="Hukum Bisnis"/>
    <s v="Plt.  Sekretaris  Program Studi Hukum Ekonomi Syari'ah"/>
    <d v="2024-10-23T00:00:00"/>
    <m/>
  </r>
  <r>
    <n v="72"/>
    <s v="Nilman Ghofur, M.Sos."/>
    <x v="1"/>
    <m/>
    <s v="Tegal"/>
    <d v="1990-01-25T00:00:00"/>
    <s v="199001252019031013 "/>
    <s v="3328132501910006"/>
    <s v="III/b"/>
    <d v="2019-03-01T00:00:00"/>
    <n v="0"/>
    <n v="0"/>
    <s v="Asisten Ahli"/>
    <d v="2021-04-01T00:00:00"/>
    <x v="2"/>
    <s v="Institut Studi Islam Darussalam Gontor Tahun 2015"/>
    <s v="Hukum Islam Kons. Studi Politik dan Pemerintahan dalam Islam UIN Sunan Kalijaga Tahun 2017"/>
    <m/>
    <m/>
    <s v="2025019003"/>
    <d v="2055-02-01T00:00:00"/>
    <s v="Hukum Tata Negara (Siyasah) (S1)"/>
    <s v="Hukum Tata Negara"/>
    <m/>
    <m/>
    <m/>
  </r>
  <r>
    <n v="73"/>
    <s v="Surur Roiqoh, M.H."/>
    <x v="2"/>
    <m/>
    <s v="Kebumen"/>
    <d v="1986-11-13T00:00:00"/>
    <s v="198611132019032012 "/>
    <s v="3305125311860006"/>
    <s v="III/b"/>
    <d v="2019-03-01T00:00:00"/>
    <n v="0"/>
    <n v="0"/>
    <s v="Asisten Ahli"/>
    <d v="2021-01-01T00:00:00"/>
    <x v="2"/>
    <s v="UIN Sunan Kalijaga Tahun 2009"/>
    <s v="Ilmu Hukum UII Tahun 2013"/>
    <m/>
    <m/>
    <s v="2113118602"/>
    <d v="2051-12-01T00:00:00"/>
    <s v="Ilmu Hukum (S1)"/>
    <s v="lmu Hukum Asisten Ahli"/>
    <s v="Plt. Sekretaris Program Studi Perbandingan Madzhab "/>
    <d v="2024-10-23T00:00:00"/>
    <m/>
  </r>
  <r>
    <n v="74"/>
    <s v="Mu'tashim Billah, S.H.I., M.H."/>
    <x v="1"/>
    <m/>
    <s v="Sanggau"/>
    <d v="1992-12-28T00:00:00"/>
    <s v="199212282020121011"/>
    <s v="3301232812920002"/>
    <s v="III/b"/>
    <d v="2020-12-01T00:00:00"/>
    <n v="0"/>
    <n v="0"/>
    <s v="Asisten Ahli"/>
    <d v="2022-11-01T00:00:00"/>
    <x v="2"/>
    <m/>
    <s v="Hukum Islam UIN Sunan Kalijaga Tahun 2019"/>
    <m/>
    <m/>
    <s v="2028129201"/>
    <d v="2058-01-01T00:00:00"/>
    <s v="Perbandingan Mazhab (S1)"/>
    <s v="Dosen Hukum Islam"/>
    <m/>
    <m/>
    <m/>
  </r>
  <r>
    <n v="75"/>
    <s v="Muhamad Ulul Albab Musaffa, Lc., M.H."/>
    <x v="1"/>
    <m/>
    <s v="Magelang"/>
    <d v="1990-11-01T00:00:00"/>
    <s v="199011012020121010"/>
    <s v="3308210111900001"/>
    <s v="III/b"/>
    <d v="2020-12-01T00:00:00"/>
    <n v="0"/>
    <n v="0"/>
    <s v="Asisten Ahli"/>
    <d v="2022-11-01T00:00:00"/>
    <x v="2"/>
    <m/>
    <s v="Hukum Islam UIN Sunan Kalijaga Tahun 2018"/>
    <m/>
    <m/>
    <s v="2001119004"/>
    <d v="2055-12-01T00:00:00"/>
    <s v="Hukum Ekonomi Syari'ah (Muamalah) (S1)"/>
    <s v="Filsafat Hukum Islam"/>
    <m/>
    <m/>
    <m/>
  </r>
  <r>
    <n v="76"/>
    <s v="Taufiqurohman, M.H."/>
    <x v="1"/>
    <m/>
    <s v="Ponorogo"/>
    <d v="1992-04-01T00:00:00"/>
    <s v="199204012020121009"/>
    <s v="3502090104920001"/>
    <s v="III/b"/>
    <d v="2020-12-01T00:00:00"/>
    <n v="0"/>
    <n v="0"/>
    <s v="Asisten Ahli"/>
    <d v="2022-11-01T00:00:00"/>
    <x v="2"/>
    <m/>
    <s v="Hukum Islam UIN Sunan Kalijaga Tahun 2017"/>
    <m/>
    <m/>
    <s v="2001049202"/>
    <d v="2057-05-01T00:00:00"/>
    <s v="Hukum Keluarga Islam (Ahwal Syakhsiyyah) (S1)"/>
    <s v="Hukum Keluarga Islam"/>
    <s v="Anggota ADMISI"/>
    <d v="2024-12-06T00:00:00"/>
    <m/>
  </r>
  <r>
    <n v="77"/>
    <s v="Yulianta Saputra, S.H. M.H."/>
    <x v="1"/>
    <m/>
    <s v="Sleman"/>
    <d v="1989-07-08T00:00:00"/>
    <s v="198907082020121004"/>
    <s v="3404020307890002"/>
    <s v="III/b"/>
    <d v="2020-12-01T00:00:00"/>
    <n v="0"/>
    <n v="0"/>
    <s v="Asisten Ahli"/>
    <d v="2022-12-01T00:00:00"/>
    <x v="2"/>
    <m/>
    <s v="Ilmu Hukum UGM Tahun 2018"/>
    <m/>
    <m/>
    <s v="2008078904"/>
    <d v="2054-08-01T00:00:00"/>
    <s v="Ilmu Hukum (S1)"/>
    <s v="Legal Drafting"/>
    <m/>
    <m/>
    <m/>
  </r>
  <r>
    <n v="78"/>
    <s v="Miski, M.Sos."/>
    <x v="1"/>
    <m/>
    <s v="Sumenep"/>
    <d v="1985-08-09T00:00:00"/>
    <s v="198508092020121003"/>
    <s v="3402150908850002"/>
    <s v="III/b"/>
    <d v="2020-12-01T00:00:00"/>
    <n v="0"/>
    <n v="0"/>
    <s v="Asisten Ahli"/>
    <d v="2022-09-01T00:00:00"/>
    <x v="2"/>
    <m/>
    <s v="Hukum Islam UIN Sunan Kalijaga Tahun 2017"/>
    <m/>
    <m/>
    <s v="2009088502"/>
    <d v="2050-09-01T00:00:00"/>
    <s v="Hukum Tata Negara (Siyasah) (S1)"/>
    <s v="ukum Tata Negara Islam"/>
    <m/>
    <m/>
    <m/>
  </r>
  <r>
    <s v="D. FAKULTAS ILMU TARBIYAH DAN KEGURUAN"/>
    <m/>
    <x v="0"/>
    <m/>
    <m/>
    <m/>
    <m/>
    <m/>
    <m/>
    <m/>
    <m/>
    <m/>
    <m/>
    <m/>
    <x v="0"/>
    <m/>
    <m/>
    <m/>
    <m/>
    <m/>
    <m/>
    <m/>
    <m/>
    <m/>
    <m/>
    <m/>
  </r>
  <r>
    <n v="1"/>
    <s v="Prof. Dr. Sutrisno, M.Ag"/>
    <x v="1"/>
    <s v="E.718423"/>
    <s v="Karanganyar"/>
    <s v="07-11-1963"/>
    <s v="196311071989031003"/>
    <s v="3404100711630001"/>
    <s v="IV/e"/>
    <d v="2021-04-01T00:00:00"/>
    <n v="32"/>
    <n v="1"/>
    <s v="Guru Besar"/>
    <s v="01-08-2006"/>
    <x v="1"/>
    <s v="Bahasa Inggris IAIN Sunan Kalijaga Tahun 1988"/>
    <s v="Pendidikan Islam IAIN Sunan Kalijaga Tahun 1996 _x000a_"/>
    <s v="Program Doktor UIN Sunan Kalijaga Tahun 2005"/>
    <s v="09210050084"/>
    <n v="2007116301"/>
    <d v="2033-12-01T00:00:00"/>
    <s v="Pendidikan Agama Islam (S3)"/>
    <s v="Ilmu Pendidikan Islam"/>
    <m/>
    <m/>
    <m/>
  </r>
  <r>
    <n v="2"/>
    <s v="Prof. Dr. H. Maragustam, M.A"/>
    <x v="1"/>
    <s v="E.211157"/>
    <s v="Tapanuli Selatan"/>
    <s v="01-10-1959"/>
    <s v="195910011987031002"/>
    <s v="3404110110590004"/>
    <s v="IV/e"/>
    <s v="01-04-2011"/>
    <n v="24"/>
    <n v="1"/>
    <s v="Guru Besar"/>
    <s v="01-09-2008"/>
    <x v="1"/>
    <s v="Bahasa Arab IAIN Sunan Kalijaga Tahun 1986"/>
    <s v="Pendidikan IAIN Sunan Kalijaga Tahun 1992"/>
    <s v="Studi Islam UIN Sunan Kalijaga Tahun 2006"/>
    <m/>
    <n v="2001105902"/>
    <d v="2029-11-01T00:00:00"/>
    <s v="Pendidikan Agama Islam (S3)"/>
    <s v="Filsafat Pendidikan Islam"/>
    <m/>
    <m/>
    <m/>
  </r>
  <r>
    <n v="3"/>
    <s v="Prof. Dr. H. Sangkot Sirait, M.Ag"/>
    <x v="1"/>
    <s v="F.101812"/>
    <s v="Sei Pasir Darat"/>
    <d v="1959-12-31T00:00:00"/>
    <s v="195912311992031009"/>
    <s v="3404080112590003"/>
    <s v="IV/e"/>
    <d v="2021-10-01T00:00:00"/>
    <n v="29"/>
    <n v="7"/>
    <s v="Guru Besar"/>
    <d v="2019-02-01T00:00:00"/>
    <x v="1"/>
    <s v="Dakwah IAIN Sunan Kalijaga Tahun  1988"/>
    <s v=" Aqidah Filsafat IAIN Sunan Kalijaga Tahun 1997"/>
    <s v="Studi Islam UIN Sunan Kalijaga Tahun  2006"/>
    <s v="092100500223"/>
    <n v="2001015902"/>
    <d v="2029-07-16T00:00:00"/>
    <s v="Pendidikan Agama Islam (S3)"/>
    <s v="Ilmu Kalam/Tauhid"/>
    <m/>
    <m/>
    <m/>
  </r>
  <r>
    <n v="4"/>
    <s v="Prof. Dr. Hj. Marhumah, M.Pd."/>
    <x v="2"/>
    <s v="E.930682"/>
    <s v="Bangkalan"/>
    <s v="12-03-1962"/>
    <s v="196203121990012001"/>
    <s v="3404115203620002"/>
    <s v="IV/e"/>
    <d v="2024-04-01T00:00:00"/>
    <n v="34"/>
    <n v="3"/>
    <s v="Guru Besar"/>
    <d v="2019-05-01T00:00:00"/>
    <x v="1"/>
    <s v="Pendidikan Agama Islam IAIN Sunan Kalijaga Tahun 1988"/>
    <s v="Pendidikan_x000a_Luar Sekolah UNY Tahun 2001_x000a_"/>
    <s v="Studi Islam UIN Sunan Kalijaga Tahun 2009"/>
    <s v="092100500208"/>
    <n v="2012036201"/>
    <d v="2032-04-01T00:00:00"/>
    <s v="Pendidikan Agama Islam (S3)"/>
    <s v="Hadits"/>
    <m/>
    <m/>
    <m/>
  </r>
  <r>
    <n v="5"/>
    <s v="Prof. Dr. Abdul Munip, S.Ag, M.Ag."/>
    <x v="1"/>
    <s v="G.292208"/>
    <s v="Tegal"/>
    <s v="06-08-1973"/>
    <s v="197308061997031003"/>
    <s v="3402090608730002"/>
    <s v="IV/c"/>
    <d v="2022-10-01T00:00:00"/>
    <n v="25"/>
    <n v="7"/>
    <s v="Guru Besar"/>
    <d v="2020-05-01T00:00:00"/>
    <x v="1"/>
    <s v=" Bahasa Arab IAIN Sunan Kalijaga Tahun 1996"/>
    <s v="Pemikiran Pendidiikan Islam IAIN Walisongo Tahun 1999"/>
    <s v="Studi Islam UIN Sunan Kalijaga Tahun 2008 "/>
    <s v="092100500265"/>
    <n v="2006087301"/>
    <d v="2043-09-01T00:00:00"/>
    <s v="Pendidikan Bahasa Arab (S3)"/>
    <s v="Studi Islam (Tarjamah)"/>
    <m/>
    <m/>
    <m/>
  </r>
  <r>
    <n v="6"/>
    <s v="Prof. Dr. Tasman, M.A"/>
    <x v="1"/>
    <s v="E. 211145"/>
    <s v="Banyumas"/>
    <s v="02-11-1961"/>
    <s v="196111021986031003"/>
    <s v="3402120211610001"/>
    <s v="IV/e"/>
    <d v="2024-04-01T00:00:00"/>
    <n v="38"/>
    <n v="1"/>
    <s v="Guru Besar"/>
    <d v="2021-12-01T00:00:00"/>
    <x v="1"/>
    <s v="Bahasa Arab IAIN Sunan Kalijaga Tahun 1985"/>
    <s v="Pendidikan IAIN Sunan Kalijaga Tahun 1991"/>
    <s v="Studi Islam, UIN Sunan Kalijaga Tahun 2006"/>
    <s v="092100500188"/>
    <n v="2002116101"/>
    <d v="2031-12-01T00:00:00"/>
    <s v="Pendidikan Agama Islam (S2)"/>
    <s v="Ilmu Pendidkan Islam"/>
    <m/>
    <m/>
    <m/>
  </r>
  <r>
    <n v="7"/>
    <s v="Prof. Dr. H. Mahmud Arif, M.Ag."/>
    <x v="1"/>
    <s v="G.289542"/>
    <s v="Kudus"/>
    <s v="19-04-1972"/>
    <s v="197204191997031003"/>
    <s v="3402151904720002"/>
    <s v="IV/e"/>
    <d v="2024-08-01T00:00:00"/>
    <n v="27"/>
    <n v="5"/>
    <s v="Guru Besar"/>
    <d v="2021-10-01T00:00:00"/>
    <x v="1"/>
    <s v="_x000a_Pendidikan Agama Islam IAIN Sunan Kalijaga Tahun 1996_x000a_"/>
    <s v="_x000a_Pendidikan  Islam IAIN Sunan Kalijaga Tahun 1998_x000a_"/>
    <s v="Studi Islam UIN Sunan Kalijaga Tahun 2006"/>
    <s v="092100500263"/>
    <n v="2019047203"/>
    <d v="2042-05-01T00:00:00"/>
    <s v="Pendidikan Agama Islam (S2)"/>
    <s v="Filsafat Pendidikan Islam/Tafsir"/>
    <m/>
    <m/>
    <m/>
  </r>
  <r>
    <n v="8"/>
    <s v="Prof. Dr. Sukiman, S.Ag, M.Pd"/>
    <x v="1"/>
    <s v="G. 289543"/>
    <s v="Magetan"/>
    <s v="15-03-1972"/>
    <s v="197203151997031009"/>
    <s v="3404071503720005"/>
    <s v="IV/d"/>
    <d v="2022-10-01T00:00:00"/>
    <n v="25"/>
    <n v="7"/>
    <s v="Guru Besar"/>
    <d v="2022-06-01T00:00:00"/>
    <x v="1"/>
    <s v="_x000a_Pendidikan Agama Islam IAIN Sunan Kalijaga Tahun 1996_x000a_"/>
    <s v="_x000a_Penelitian dan Evaluasi Pendidikan UNY Tahun 2001_x000a_"/>
    <s v="Studi Islam UIN Sunan Kalijaga Tahun 2010"/>
    <s v="092100500264"/>
    <n v="2015037201"/>
    <d v="2042-04-01T00:00:00"/>
    <s v="Pendidikan Agama Islam (S3)"/>
    <s v="Pengembangan Kurikulum"/>
    <s v="Ketua Program Studi  Doktor (S3) Pendidikan Agama Islam"/>
    <d v="2024-10-21T00:00:00"/>
    <m/>
  </r>
  <r>
    <n v="9"/>
    <s v="Prof. Dr. H. Tulus Musthofa, Lc, MA."/>
    <x v="1"/>
    <s v="N 275336"/>
    <s v="Kebumen"/>
    <s v="07-03-1959"/>
    <s v="195903071995031002"/>
    <s v="3404110703590002"/>
    <s v="IV/a"/>
    <s v="01-10-2009"/>
    <n v="14"/>
    <n v="7"/>
    <s v="Guru Besar"/>
    <d v="2023-01-01T00:00:00"/>
    <x v="1"/>
    <s v="Studi Islam dan Arab Univ. Al Azhar Cairo 1990 "/>
    <s v="Pengajaran Bhs. Arab IBAI Khortoum 1993 "/>
    <s v="Studi Islam UIN Sunan Kalijaga Tahun 2013"/>
    <s v="092100500252"/>
    <n v="2007035901"/>
    <d v="2029-04-01T00:00:00"/>
    <s v="Pendidikan Bahasa Arab (S3)"/>
    <s v="Bahasa Arab"/>
    <m/>
    <m/>
    <m/>
  </r>
  <r>
    <n v="10"/>
    <s v="Prof. Dr. Sri Sumarni, M.Pd."/>
    <x v="2"/>
    <s v="F.111342"/>
    <s v="Klaten"/>
    <s v="05-07-1963"/>
    <s v="196307051993032001"/>
    <s v="3310184507630002"/>
    <s v="IV/d"/>
    <d v="2023-10-01T00:00:00"/>
    <n v="30"/>
    <n v="7"/>
    <s v="Guru Besar"/>
    <d v="2021-01-01T00:00:00"/>
    <x v="1"/>
    <s v="_x000a_Pendidikan Luar Sekolah IKIP Yogyakarta Tahun 1988_x000a_"/>
    <s v="_x000a_Pendidikan Luar Sekolah UNY Tahun 2001_x000a_"/>
    <s v="Ilmu Pendidikan UNY Tahun  2015"/>
    <s v="092100500237"/>
    <n v="2005076301"/>
    <d v="2033-08-01T00:00:00"/>
    <s v="Pendidikan Guru Madrasah Ibtidaiyah (S3)"/>
    <s v="Ilmu Pendidikan"/>
    <m/>
    <m/>
    <m/>
  </r>
  <r>
    <n v="11"/>
    <s v="Prof. Dr. Istiningsih, M.Pd."/>
    <x v="2"/>
    <s v="F. 109414"/>
    <s v="Bantul"/>
    <s v="30-01-1966"/>
    <s v="196601301993032002"/>
    <s v="3402167404610002"/>
    <s v="IV/c"/>
    <d v="2023-04-01T00:00:00"/>
    <n v="32"/>
    <n v="8"/>
    <s v="Guru Besar"/>
    <d v="2022-12-01T00:00:00"/>
    <x v="1"/>
    <s v="Pendidikan Bahasa Inggris Universitas Tidar Magelang Tahun 1990"/>
    <s v="Pendidikan Luar Sekolah UNY Tahun 2004"/>
    <s v="Pendidikan Teknologi dan Kejuruan UNY  2008"/>
    <n v="102100504669"/>
    <n v="2030016601"/>
    <d v="2036-02-01T00:00:00"/>
    <s v="Pendidikan Guru Madrasah Ibtidaiyah (S3)"/>
    <s v="Teknologi Pendidikan"/>
    <s v="Wakil Rektor Bidang Akademik dan Pengembangan Lembaga Periode 2024-2028  "/>
    <d v="2024-09-18T00:00:00"/>
    <m/>
  </r>
  <r>
    <n v="12"/>
    <s v="Prof. Dr. Sigit Purnama, S.Pd.I,M.Pd."/>
    <x v="1"/>
    <s v="N 527128"/>
    <s v="Gunungkidul"/>
    <d v="1980-01-31T00:00:00"/>
    <s v="198001312008011005"/>
    <s v="3471143101800001"/>
    <s v="IV/b"/>
    <s v="01-10-2022"/>
    <n v="14"/>
    <n v="9"/>
    <s v="Guru Besar"/>
    <d v="2022-12-01T00:00:00"/>
    <x v="1"/>
    <s v="Pendidikan Bahasa Arab IAIN Sunan Kalijaga Tahun 2003"/>
    <s v="Teknologi Pembelajaran UNY Tahun 2007"/>
    <s v="Teknologi Pembelajaran Universitas Negeri Malang Tahun 2014"/>
    <n v="112100513240023"/>
    <n v="2031018001"/>
    <s v="01-02-2050"/>
    <s v="Pendidikan Islam Anak Usia Dini (PIAUD) (S2)"/>
    <s v="Teknologi Pendidikan"/>
    <s v="Dekan Fak. Ilmu Tarbiyah dan Keguruan Masa Jabatan 2024 - 2028"/>
    <d v="2024-09-18T00:00:00"/>
    <m/>
  </r>
  <r>
    <n v="13"/>
    <s v="Prof. Dr. Hj. Erni Munastiwi, MM."/>
    <x v="2"/>
    <s v="F. 058725"/>
    <s v="Rembang"/>
    <d v="1957-09-18T00:00:00"/>
    <s v="195709181993032002"/>
    <s v="3464065809570001"/>
    <s v="IV/d"/>
    <d v="2024-10-01T00:00:00"/>
    <n v="31"/>
    <n v="7"/>
    <s v="Guru Besar"/>
    <d v="2022-04-01T00:00:00"/>
    <x v="1"/>
    <s v="Pendidikan IPS IKIP PGRI Bojonegoro Tahun 1990"/>
    <s v="Magister Manajemen UNSOED Tahun 2000"/>
    <s v="Pendidikan Teknologi dan Kejuruan UNS Tahun 2010"/>
    <n v="142100512837"/>
    <n v="2018095701"/>
    <d v="2027-10-01T00:00:00"/>
    <s v="Pendidikan Guru Madrasah Ibtidaiyah (S3)"/>
    <s v="Manajemen Pendidikan"/>
    <m/>
    <m/>
    <m/>
  </r>
  <r>
    <n v="14"/>
    <s v="Prof. Dr. Eva Latipah, S.Ag., S.Psi., M.Si"/>
    <x v="2"/>
    <s v="N 105618"/>
    <s v="Tasikmalaya"/>
    <d v="1978-06-08T00:00:00"/>
    <s v="197806082006042032"/>
    <s v="3404124806780002"/>
    <s v="IV/b"/>
    <d v="2023-04-01T00:00:00"/>
    <n v="19"/>
    <n v="7"/>
    <s v="Guru Besar"/>
    <d v="2022-10-01T00:00:00"/>
    <x v="1"/>
    <s v="Pendidikan Agama Islam IAIN Sunan Kalijaga Tahun 2000"/>
    <s v="Psikologi  UGM Tahun 2002 "/>
    <s v="Ilmu Psikologi UGM Tahun 2014"/>
    <n v="102100504657"/>
    <n v="2008067801"/>
    <d v="2048-07-01T00:00:00"/>
    <s v="Pendidikan Agama Islam (S2)"/>
    <s v="Psikologi Pendidikan"/>
    <s v="Ketua Lembaga Penjaminan Mutu (LPM) Masa Jabatan 2024-2028"/>
    <d v="2024-09-18T00:00:00"/>
    <m/>
  </r>
  <r>
    <n v="15"/>
    <s v="Prof. Dr. Suyadi, S.Ag., M.A."/>
    <x v="1"/>
    <m/>
    <s v="Sleman"/>
    <d v="1977-10-03T00:00:00"/>
    <s v="197710032009121001"/>
    <s v="3404250310770001"/>
    <s v="IV/b"/>
    <d v="2023-04-01T00:00:00"/>
    <n v="13"/>
    <n v="4"/>
    <s v="Guru Besar"/>
    <d v="2023-02-01T00:00:00"/>
    <x v="1"/>
    <s v="Pendidikan Agama Islam UMY Tahun 2001"/>
    <s v="Studi Islam UMY Tahun 2003 "/>
    <s v="Psikologi Pendidikan Univ. Negeri Malang Tahun 2014"/>
    <s v="092100500229"/>
    <n v="2003107701"/>
    <d v="2047-11-01T00:00:00"/>
    <s v="Pendidikan Islam Anak Usia Dini (S2)"/>
    <s v="Psikologi Pendidikan Islam"/>
    <m/>
    <m/>
    <m/>
  </r>
  <r>
    <n v="16"/>
    <s v="Prof. Dr. Maemonah, M.Ag."/>
    <x v="2"/>
    <s v="L. 038437"/>
    <s v="Kudus"/>
    <d v="1973-03-09T00:00:00"/>
    <s v="197303092002122006"/>
    <s v="3404104903730001"/>
    <s v="IV/c"/>
    <d v="2023-10-01T00:00:00"/>
    <n v="20"/>
    <n v="10"/>
    <s v="Guru Besar"/>
    <d v="2023-06-01T00:00:00"/>
    <x v="1"/>
    <s v="Pendidikan Agama Islam IAIN Walisongo Tahun 1997"/>
    <s v="Pendidikan Agama Islam IAIN Walisongo Tahun 2001"/>
    <s v="Studi Islam UIN Sunan Kalijaga Tahun 2011"/>
    <n v="102104006818"/>
    <s v="'2009037301"/>
    <d v="2043-04-01T00:00:00"/>
    <s v="Pendidikan Guru Madrasah Ibtidaiyah (S1)"/>
    <s v="Ilmu Pendidikan Islam"/>
    <s v="Ketua Program Studi Doktor Pendidikan Guru Madrasah Ibtidaiyah  "/>
    <d v="2024-10-21T00:00:00"/>
    <m/>
  </r>
  <r>
    <n v="17"/>
    <s v="Prof. Dr. Subiyantoro, M.Ag."/>
    <x v="1"/>
    <s v="C. 0888324"/>
    <s v="Kulonprogo"/>
    <d v="1959-04-10T00:00:00"/>
    <s v="195904101985031005"/>
    <s v="3404021004590002"/>
    <s v="IV/a"/>
    <s v="01-04-2000"/>
    <n v="13"/>
    <n v="1"/>
    <s v="Guru Besar"/>
    <d v="2023-04-01T00:00:00"/>
    <x v="1"/>
    <s v="Pendidikan Agama Islam IAIN Sunan Kalijaga Tahun 1989"/>
    <s v="Studi Islam UMS Tahun  2001"/>
    <s v="Ilmu Pendidikan UNY Tahun 2010"/>
    <n v="132100511995"/>
    <n v="2010045901"/>
    <d v="2029-05-01T00:00:00"/>
    <s v="Manajemen Pendidikan Islam (S2)"/>
    <s v="Ilmu Pendidikan"/>
    <m/>
    <m/>
    <m/>
  </r>
  <r>
    <n v="18"/>
    <s v="Prof. Dr. Na'imah, M.Hum."/>
    <x v="2"/>
    <s v="E. 899489"/>
    <s v="Ngereden"/>
    <d v="1961-04-24T00:00:00"/>
    <s v="196104241990032002"/>
    <s v="3402166406410002"/>
    <s v="IV/b"/>
    <d v="2024-10-01T00:00:00"/>
    <n v="34"/>
    <n v="7"/>
    <s v="Guru Besar"/>
    <d v="2023-08-01T00:00:00"/>
    <x v="1"/>
    <s v="Pendidikan Bahasa Inggris UNS Tahun 1986"/>
    <s v="Linguistik UNS Tahun 2003"/>
    <s v="Linguistik UNS Tahun 2011"/>
    <n v="112100512260018"/>
    <n v="2024046101"/>
    <d v="2031-05-01T00:00:00"/>
    <s v="Pendidikan Guru Madrasah Ibtidaiyah (S3)"/>
    <s v="Linguistik"/>
    <m/>
    <m/>
    <m/>
  </r>
  <r>
    <n v="19"/>
    <s v="Dr. Ahmad Arifi, M.Ag"/>
    <x v="1"/>
    <s v="F.100217"/>
    <s v="Kudus"/>
    <s v="21-11-1966"/>
    <s v="196611211992031002"/>
    <s v="3404102111660001"/>
    <s v="IV/c"/>
    <d v="2024-08-01T00:00:00"/>
    <n v="32"/>
    <n v="5"/>
    <s v="Lektor Kepala"/>
    <s v="01-01-2001"/>
    <x v="1"/>
    <s v="Peradilan Agama IAIN Sunan Kalijaga Tahun 1990"/>
    <s v="Aqidah dan Filsafat IAIN Sunan Kalijaga Tahun 1995"/>
    <s v="Studi Islam UIN Sunan Kalijaga Tahun  2008"/>
    <s v="092100500303"/>
    <n v="2021116602"/>
    <d v="2031-12-01T00:00:00"/>
    <s v="Pendidikan Agama Islam (S2)"/>
    <s v="Ushul Fiqih"/>
    <m/>
    <m/>
    <m/>
  </r>
  <r>
    <n v="20"/>
    <s v="Prof. Dr. Maksudin, M.Ag."/>
    <x v="1"/>
    <s v="E.944181"/>
    <s v="Kebumen"/>
    <s v="16-07-1960"/>
    <s v="196007161991031001"/>
    <s v="3471031607600001"/>
    <s v="IV/c"/>
    <d v="2024-08-01T00:00:00"/>
    <n v="33"/>
    <n v="5"/>
    <s v="Guru Besar"/>
    <d v="2023-10-01T00:00:00"/>
    <x v="1"/>
    <s v="Bahasa Arab IAIN Sunan Kalijaga Tahun 1989"/>
    <s v="Pendidikan Islam IAIN Sunan Kalijaga Tahun 2003"/>
    <s v="Studi Islam UIN Sunan Kalijaga 2009"/>
    <s v="092100500212"/>
    <n v="2016076001"/>
    <d v="2025-08-01T00:00:00"/>
    <s v="Pendidikan Bahasa Arab (S2)"/>
    <s v="Pendidikan Akhlak"/>
    <m/>
    <m/>
    <m/>
  </r>
  <r>
    <n v="21"/>
    <s v="Dr. Sabarudin, M.Si"/>
    <x v="1"/>
    <s v="G.160964"/>
    <s v="Pemalang"/>
    <s v="05-04-1968"/>
    <s v="196804051994031003"/>
    <s v="3404080504680001"/>
    <s v="IV/c"/>
    <d v="2015-10-01T00:00:00"/>
    <n v="20"/>
    <n v="1"/>
    <s v="Lektor Kepala"/>
    <s v="01-08-2005"/>
    <x v="1"/>
    <s v="_x000a_Pendidikan Agama Islam IAIN Sunan Kalijaga Tahun 1993_x000a_"/>
    <s v="Sosiologi UGM Tahun 1999_x000a_"/>
    <s v="Studi Islam UIN Sunan Kalijaga Tahun 2011"/>
    <s v="092100500246"/>
    <n v="2005046801"/>
    <d v="2033-05-01T00:00:00"/>
    <s v="Pendidikan Agama Islam (S2)"/>
    <s v="Dasar-dasar Kependidikan "/>
    <m/>
    <m/>
    <m/>
  </r>
  <r>
    <n v="22"/>
    <s v="Dr. Usman, SS, M.Ag"/>
    <x v="1"/>
    <s v="F.104293"/>
    <s v="Pekalongan"/>
    <s v="04-03-1961"/>
    <s v="196103041992031001"/>
    <s v="3402150403610002"/>
    <s v="IV/c"/>
    <d v="2015-04-01T00:00:00"/>
    <n v="23"/>
    <n v="1"/>
    <s v="Lektor Kepala"/>
    <s v="01-08-2006"/>
    <x v="1"/>
    <s v="_x000a_Pendidikan Agama Islam IAIN Sunan Kalijaga Tahun 1989_x000a_"/>
    <s v="Aqidah Filsafat IAIN Sunan Kalijaga Tahun 1999"/>
    <s v="Ilmu Filsafat UGM Tahun 2013"/>
    <s v="092100500220"/>
    <n v="2004036102"/>
    <d v="2026-04-01T00:00:00"/>
    <s v="Pendidikan Agama Islam (S3)"/>
    <s v="Filsafat Pendidikan Islam"/>
    <m/>
    <m/>
    <m/>
  </r>
  <r>
    <n v="23"/>
    <s v="Drs. Mujahid, M.Ag."/>
    <x v="1"/>
    <s v="G.141714"/>
    <s v="Boyolali"/>
    <s v="14-04-1967"/>
    <s v="196704141994031002"/>
    <s v="3402131404670001"/>
    <s v="IV/b"/>
    <d v="2024-08-01T00:00:00"/>
    <n v="30"/>
    <n v="5"/>
    <s v="Lektor Kepala"/>
    <s v="01-05-2007"/>
    <x v="2"/>
    <s v="Pendidikan Bahasa Arab IAIN Sunan Kalijaga Tahun 1992"/>
    <s v="Pendidikan Islam IAIN Sunan Kalijaga Tahun 2003"/>
    <m/>
    <s v="092100500238"/>
    <n v="2014046701"/>
    <d v="2032-05-01T00:00:00"/>
    <s v="Pendidikan Agama Islam (S1)"/>
    <s v="Metodologi Pengajaran Bahasa Arab"/>
    <m/>
    <m/>
    <m/>
  </r>
  <r>
    <n v="24"/>
    <s v="Drs. Rofik, M.Ag"/>
    <x v="1"/>
    <s v="F.113272"/>
    <s v="Demak"/>
    <s v="05-04-1965"/>
    <s v="196504051993031002"/>
    <s v="3404070504650003"/>
    <s v="IV/a"/>
    <s v="01-10-2008"/>
    <n v="15"/>
    <n v="7"/>
    <s v="Lektor Kepala"/>
    <s v="01-01-2008"/>
    <x v="2"/>
    <s v="_x000a_Pendidikan Agama Islam IAIN Sunan Kalijaga Tahun 1992_x000a_"/>
    <s v="Pendidikan Islam IAIN Sunan Kalijaga Tahun 1999"/>
    <m/>
    <s v="092100500231"/>
    <n v="2005046501"/>
    <d v="2030-05-01T00:00:00"/>
    <s v="Pendidikan Profesi Guru Keagamaan Profesi"/>
    <s v="Pembelajaran Sejarah Kebudayaan Islam"/>
    <m/>
    <m/>
    <m/>
  </r>
  <r>
    <n v="25"/>
    <s v="Dr. Sedya Santosa,  SS, M.Pd"/>
    <x v="1"/>
    <s v="E.943214"/>
    <s v="Sukoharjo"/>
    <s v="28-07-1963"/>
    <s v="196307281991031002"/>
    <s v="3311032807630001"/>
    <s v="IV/c"/>
    <d v="2024-04-01T00:00:00"/>
    <n v="33"/>
    <n v="1"/>
    <s v="Lektor Kepala"/>
    <s v="01-04-2008"/>
    <x v="1"/>
    <s v="IAIN Suka Fak. Tarbiyah Tahun 1989"/>
    <s v="UNJ Pendidikan Sejarah 1999 "/>
    <s v="Psikologi Pendidikan Islam UMY Tahun 2017"/>
    <s v="092100500214"/>
    <n v="2028076301"/>
    <d v="2028-08-01T00:00:00"/>
    <s v="Manajemen Pendidikan Islam (S2)"/>
    <s v="Perkembangan Kerikulum"/>
    <m/>
    <m/>
    <m/>
  </r>
  <r>
    <n v="26"/>
    <s v="Dr. Suwadi, S.Ag, M.Ag, M.Pd."/>
    <x v="1"/>
    <s v="G.289537"/>
    <s v="Kedungtuban"/>
    <s v="15-10-1970"/>
    <s v="197010151996031001"/>
    <s v="3404071510700005"/>
    <s v="IV/c"/>
    <d v="2024-10-01T00:00:00"/>
    <n v="28"/>
    <n v="7"/>
    <s v="Lektor Kepala"/>
    <s v="01-03-2009"/>
    <x v="1"/>
    <s v="_x000a_Pendidikan Agama Islam IAIN Sunan Kalijaga Tahun 1995_x000a_"/>
    <s v="Pendidikan  Islam Kons. Pendidikan Pemikiran Agama Islam IAIN Sunan Kalijaga Tahun 2001_x000a_"/>
    <s v="Manajemen Pendidikan UNY Tahun  2010"/>
    <s v="092100500256"/>
    <n v="2015107002"/>
    <d v="2035-11-01T00:00:00"/>
    <s v="Manajemen Pendidikan Islam (S2)"/>
    <s v="Ilmu Pendidkan "/>
    <m/>
    <m/>
    <m/>
  </r>
  <r>
    <n v="27"/>
    <s v="Dr. Murtono, M.Si"/>
    <x v="1"/>
    <s v="J. 090945"/>
    <s v="Boyolali"/>
    <s v="12-12-1969"/>
    <s v="196912122000031001"/>
    <s v="3404081212690003"/>
    <s v="IV/b"/>
    <d v="2024-08-01T00:00:00"/>
    <n v="24"/>
    <n v="5"/>
    <s v="Lektor Kepala"/>
    <s v="01-05-2010"/>
    <x v="1"/>
    <s v="UNS Tahun 1993"/>
    <s v="UGM Tahun 1999"/>
    <s v="Pendidikan Ilmu Pengetahuan Alam Universitas Pendidikan Indonesia 2015"/>
    <n v="102100504710"/>
    <s v="0012126912"/>
    <d v="2035-01-01T00:00:00"/>
    <s v="Pendidikan Fisika (S1)"/>
    <s v="Asesmen dan Pengajaran Fisika"/>
    <m/>
    <m/>
    <m/>
  </r>
  <r>
    <n v="28"/>
    <s v="Dr. Ichsan, M.Pd."/>
    <x v="1"/>
    <s v="F.100220"/>
    <s v="Boyolali"/>
    <s v="26-02-1963"/>
    <s v="196302261992031003"/>
    <s v="3309122602630003"/>
    <s v="IV/b"/>
    <d v="2024-06-01T00:00:00"/>
    <n v="32"/>
    <n v="3"/>
    <s v="Lektor Kepala"/>
    <s v="01-06-2012"/>
    <x v="1"/>
    <s v="_x000a_Pendidikan Agama Islam IAIN Sunan Kalijaga Tahun 1989_x000a_"/>
    <s v="Pendidikan Ilmu Pengetahuan Sosial UNY Tahun 2004"/>
    <s v="Psikologi Pendidikan Islam UMY Tahun ...."/>
    <s v="092100500227"/>
    <n v="2026026301"/>
    <d v="2028-03-01T00:00:00"/>
    <s v="Pendidikan Profesi Guru Keagamaan Profesi"/>
    <s v="Psikologi Pendidikan Islam"/>
    <m/>
    <m/>
    <m/>
  </r>
  <r>
    <n v="29"/>
    <s v="Drs. Nur Untoro, M.Si."/>
    <x v="2"/>
    <s v="G.424886"/>
    <s v="Bantul"/>
    <d v="1966-11-26T00:00:00"/>
    <s v="196611261996031001"/>
    <s v="7471102611660001"/>
    <s v="IV/b"/>
    <d v="2024-06-01T00:00:00"/>
    <n v="28"/>
    <n v="3"/>
    <s v="Lektor Kepala"/>
    <d v="2013-01-01T00:00:00"/>
    <x v="2"/>
    <s v="Pendidikan Fisika IKIP Negeri Yogyakarta Tahun 1992"/>
    <s v="Fisika ITB Tahun 1996"/>
    <m/>
    <s v="belum terlampir"/>
    <s v="2026116602"/>
    <d v="2031-12-01T00:00:00"/>
    <s v="Pendidikan Fisika (S1)"/>
    <s v="Fisika"/>
    <m/>
    <m/>
    <m/>
  </r>
  <r>
    <n v="30"/>
    <s v="Dr.Sembodo Ardi Widodo, S.Ag, M.Ag."/>
    <x v="1"/>
    <s v="G.292204"/>
    <s v="Batang"/>
    <s v="15-09-1968"/>
    <s v="196809151998031005"/>
    <s v="3404081509680003"/>
    <s v="IV/c"/>
    <d v="2019-04-01T00:00:00"/>
    <n v="21"/>
    <n v="1"/>
    <s v="Lektor Kepala"/>
    <d v="2013-02-01T00:00:00"/>
    <x v="1"/>
    <s v="Pendidikan Agama Islam STAI Jam'iyah Mahmudiyah Tanjung Pura Langkat Tahun  1995"/>
    <s v="_x000a_Pendidikan  Islam IAIN Sunan Kalijaga Tahun 1998_x000a_"/>
    <s v="Program Doktor UIN Sunan Kalijaga Tahun 2005"/>
    <s v="092100500273"/>
    <n v="2015096801"/>
    <d v="2033-10-01T00:00:00"/>
    <s v="Pendidikan Agama Islam (S3)"/>
    <s v="Filsafat Pendidikan"/>
    <m/>
    <m/>
    <m/>
  </r>
  <r>
    <n v="31"/>
    <s v="Dr. Nur Hidayat, M.Ag"/>
    <x v="1"/>
    <s v="G.141718"/>
    <s v="Kebumen"/>
    <s v="07-04-1962"/>
    <s v="196204071994031002"/>
    <s v="3404080704620001"/>
    <s v="IV/c"/>
    <d v="2024-10-01T00:00:00"/>
    <n v="27"/>
    <n v="1"/>
    <s v="Lektor Kepala"/>
    <d v="2013-04-01T00:00:00"/>
    <x v="1"/>
    <s v="Pendidikan Bahasa Arab IAIN Sunan Kalijaga Tahun  1991"/>
    <s v="Pemikiran Pend Islam IAIN Sunan Kalijaga Tahun 2002"/>
    <s v="Psikologi Pendidikan Islam  UMY Tahun 2017"/>
    <s v="092100500309"/>
    <n v="2007047201"/>
    <d v="2027-05-01T00:00:00"/>
    <s v="Pendidikan Guru Madrasah Ibtidaiyah (S1)"/>
    <s v="Akhlak Tasawuf"/>
    <m/>
    <m/>
    <m/>
  </r>
  <r>
    <n v="32"/>
    <s v="Syarif Hidayatullah, S.Ag, M.Ag., M.A."/>
    <x v="1"/>
    <s v="G.292204"/>
    <s v="Cirebon"/>
    <s v="30-01-1970"/>
    <s v="197001301997031004"/>
    <s v="3402093001700001"/>
    <s v="IV/c"/>
    <d v="2021-10-01T00:00:00"/>
    <n v="24"/>
    <n v="7"/>
    <s v="Lektor Kepala"/>
    <d v="2013-04-01T00:00:00"/>
    <x v="2"/>
    <s v="Bahasa Arab IAIN Sunan Gunung Djati Tahun 1995"/>
    <s v="Ilmu Perbandingan Agama UGM Tahun 2007"/>
    <m/>
    <s v="092100500301"/>
    <n v="2030017002"/>
    <d v="2035-02-01T00:00:00"/>
    <s v="DPK"/>
    <s v="Pendidikan Agama Islam"/>
    <m/>
    <m/>
    <s v="Dpk. Pd. UGM"/>
  </r>
  <r>
    <n v="33"/>
    <s v="Dra. Asnafiyah, M.Pd."/>
    <x v="2"/>
    <s v="E.490591"/>
    <s v="Yogyakarta"/>
    <s v="29-11-1962"/>
    <s v="196211291988032003"/>
    <s v="3404106911620001"/>
    <s v="IV/b"/>
    <d v="2021-10-01T00:00:00"/>
    <n v="33"/>
    <n v="7"/>
    <s v="Lektor Kepala"/>
    <d v="2013-04-01T00:00:00"/>
    <x v="2"/>
    <s v="Kependidikan IKIP Yogyakarta Tahun 1987"/>
    <s v="Pendidikan Ilmu Pengetahuan Sosial UNY Tahun 2002"/>
    <m/>
    <s v="092100500201"/>
    <n v="2029116202"/>
    <d v="2027-12-01T00:00:00"/>
    <s v="Pendidikan Guru Madrasah Ibtidaiyah (S1)"/>
    <s v="Ilmu Pengetahuan Sosil"/>
    <m/>
    <m/>
    <m/>
  </r>
  <r>
    <n v="34"/>
    <s v="Drs. Edy Yusuf Nur Samsu Santosa, M.Si."/>
    <x v="1"/>
    <s v="E.946981"/>
    <s v="Yogyakarta"/>
    <s v="26-12-1967"/>
    <s v="196712261992031001"/>
    <s v="3471032612670002"/>
    <s v="IV/a"/>
    <d v="2013-10-01T00:00:00"/>
    <n v="21"/>
    <n v="7"/>
    <s v="Lektor Kepala"/>
    <d v="2013-06-01T00:00:00"/>
    <x v="2"/>
    <s v="Penerangan dan Penyiaran Agama Islam IAIN Sunan Kalijaga  Tahun 1991"/>
    <s v="Manajemen UII Tahun 2004 / UGM Ketahanan Nasional (Perdamaian dan Resolusi Konflik) Tahun 2004"/>
    <m/>
    <s v="092100500216"/>
    <n v="2026126701"/>
    <d v="2033-01-01T00:00:00"/>
    <s v="Manajemen Pendidikan Islam (S1)"/>
    <s v="Akhlak  dan Tasawuf"/>
    <m/>
    <m/>
    <m/>
  </r>
  <r>
    <n v="35"/>
    <s v="Dra. Wiji Hidayati, M.Ag."/>
    <x v="2"/>
    <s v="E. 946290"/>
    <s v="Pati"/>
    <s v="23-05-1965"/>
    <s v="196505231991032010"/>
    <s v="3404126305650002"/>
    <s v="IV/b"/>
    <d v="2024-12-01T00:00:00"/>
    <n v="33"/>
    <n v="9"/>
    <s v="Lektor Kepala"/>
    <d v="2013-06-01T00:00:00"/>
    <x v="2"/>
    <s v="_x000a_Pendidikan  Agama Islam IAIN Sunan Kalijaga Tahun 1989_x000a_"/>
    <s v="Pendidikan Islam Kons. Pemikiran Pendidikan Islam IAIN Sunan Kalijaga Tahun 2003"/>
    <s v=" "/>
    <s v="092100500302"/>
    <n v="2023056501"/>
    <d v="2030-06-01T00:00:00"/>
    <s v="Manajemen Pendidikan Islam (S1)"/>
    <s v="Ilmu Tauhid"/>
    <m/>
    <m/>
    <m/>
  </r>
  <r>
    <n v="36"/>
    <s v="Dr. Siti Fatonah, S.Pd., M.Pd"/>
    <x v="2"/>
    <s v="J.050007"/>
    <s v="Sirahan Salam Mglg"/>
    <s v="05-02-1971"/>
    <s v="197102051999032008"/>
    <s v="3308094502710002"/>
    <s v="IV/b"/>
    <d v="2024-04-01T00:00:00"/>
    <n v="25"/>
    <n v="1"/>
    <s v="Lektor Kepala"/>
    <d v="2016-04-01T00:00:00"/>
    <x v="1"/>
    <s v="Pendidikan Kimia IKIP Yogyakarta Tahun  1995  "/>
    <s v="Penelitian dan Evaluasi Pendidikan UNY Tahun 2006"/>
    <s v="Penelitian dan Evaluasi Pendidikan UNY Tahun 2013"/>
    <n v="102100504742"/>
    <n v="2005027101"/>
    <d v="2036-03-01T00:00:00"/>
    <s v="Pendidikan Guru Madrasah Ibtidaiyah (S2)"/>
    <s v="Ilmu Pengetahuan Alam"/>
    <m/>
    <m/>
    <m/>
  </r>
  <r>
    <n v="37"/>
    <s v="Prof. Dr. Imam Machali, S.Pd.I., M.Pd."/>
    <x v="1"/>
    <s v="P. 586727"/>
    <s v="Semarang"/>
    <d v="1979-10-11T00:00:00"/>
    <s v="197910112009121005"/>
    <s v="3402120910790002"/>
    <s v="IV/c"/>
    <d v="2024-10-01T00:00:00"/>
    <n v="14"/>
    <n v="10"/>
    <s v="Guru Besar"/>
    <d v="2023-08-01T00:00:00"/>
    <x v="1"/>
    <s v="Pendidikan Agama Islam UIN Sunan Kalijaga Tahun 2004 "/>
    <s v="Manajemen Pendidikan  UNY Tahun 2007  "/>
    <s v="Administrasi Pendidikan UPI Bandung Tahun 2011"/>
    <n v="132100511961"/>
    <n v="2011107901"/>
    <d v="2044-11-01T00:00:00"/>
    <s v="Manajemen Pendidikan Islam (S1)"/>
    <s v="Manajemen Pendidikan Islam"/>
    <m/>
    <m/>
    <m/>
  </r>
  <r>
    <n v="38"/>
    <s v="Dr. Aninditya Sri Nugraheni, S.Pd., M.Pd."/>
    <x v="2"/>
    <s v="P. 586731"/>
    <s v="Surakarta"/>
    <d v="1986-05-05T00:00:00"/>
    <s v="198605052009122006"/>
    <s v="3372024505860001"/>
    <s v="IV/b"/>
    <d v="2023-04-01T00:00:00"/>
    <n v="13"/>
    <n v="4"/>
    <s v="Lektor Kepala"/>
    <d v="2019-11-01T00:00:00"/>
    <x v="1"/>
    <s v="Pendidikan Bahasa, Sastra Indonesia dan Daerah UNS Tahun 2008"/>
    <s v="Pendidikan Bahasa Indonesia UNS Tahun 2009 "/>
    <s v="Pendidikan Bahasa Indonesia UNS Tahun 2013"/>
    <n v="132100511945"/>
    <n v="2005058601"/>
    <d v="2051-06-01T00:00:00"/>
    <s v="Pendidikan Guru Madrasah Ibtidaiyah (S2)"/>
    <s v="Pendidikan Bahasa Indonesia"/>
    <s v="Ketua Program Studi Magister Pendidikan Guru Madrasah Ibtidaiyah "/>
    <d v="2024-10-21T00:00:00"/>
    <m/>
  </r>
  <r>
    <n v="39"/>
    <s v="Dr. Andi Prastowo, S.Pd.I., M.Pd.I."/>
    <x v="1"/>
    <s v="P. 684487"/>
    <s v="Bantul"/>
    <d v="1982-05-05T00:00:00"/>
    <s v="198205052011011008"/>
    <s v="3404250505820003"/>
    <s v="IV/c"/>
    <d v="2024-10-01T00:00:00"/>
    <n v="13"/>
    <n v="9"/>
    <s v="Lektor Kepala"/>
    <d v="2020-03-01T00:00:00"/>
    <x v="1"/>
    <s v="Pendidikan Agama Islam UIN Sunan Kalijaga Tahun 2007"/>
    <s v="Pendidikan Islam Kons. PGMI UIN Sunan Kalijaga Tahun 2010"/>
    <s v="Studi Islam Kons. Kependidikan Islam Tahun 2017"/>
    <n v="132100511944"/>
    <n v="2005058202"/>
    <d v="2047-06-01T00:00:00"/>
    <s v="Pendidikan Guru Madrasah Ibtidaiyah (S2)"/>
    <s v="Ilmu Pendidikan Dasar Islam"/>
    <s v="Wakil Dekan  Bid. Akademik Fakultas Ilmu Tarbiyah dan Keguruan  "/>
    <d v="2024-10-14T00:00:00"/>
    <m/>
  </r>
  <r>
    <n v="40"/>
    <s v="Dr. R. Umi Baroroh, S.Ag, M.Ag."/>
    <x v="2"/>
    <s v="H.068471"/>
    <s v="Sragen"/>
    <s v="05-03-1972"/>
    <s v="197203051996032001"/>
    <s v="3404034503720001"/>
    <s v="IV/b"/>
    <d v="2023-10-01T00:00:00"/>
    <n v="27"/>
    <n v="7"/>
    <s v="Lektor Kepala"/>
    <d v="2021-07-01T00:00:00"/>
    <x v="1"/>
    <s v="Bahasa Arab IAIN Sunan Kalijaga Tahun 1995"/>
    <s v="Pendidikan Islam Kons. Pemikiran Pendidikan Islam  Tahu 2001"/>
    <s v="Kependidikan Islam UIN Sunan Kalijaga Tahun 2018"/>
    <n v="102100504729"/>
    <n v="2005037202"/>
    <d v="2037-04-01T00:00:00"/>
    <s v="Pendidikan Bahasa Arab (S3)"/>
    <s v="Bahasa Arab"/>
    <m/>
    <m/>
    <m/>
  </r>
  <r>
    <n v="41"/>
    <s v="Dr. Karwadi, S.Ag, M.Ag."/>
    <x v="1"/>
    <s v="H.068477"/>
    <s v="Jepara"/>
    <s v="15-03-1971"/>
    <s v="197103151998031004"/>
    <s v="3402121503710002"/>
    <s v="IV/a"/>
    <d v="2022-10-01T00:00:00"/>
    <n v="24"/>
    <n v="7"/>
    <s v="Lektor Kepala"/>
    <d v="2022-03-01T00:00:00"/>
    <x v="1"/>
    <s v="Dakwah IAIN Sultan Thaha Syaifuddin Jambi Tahun 1995"/>
    <s v="Ilmu Agama Islam IAIN Ar Raniry Tahun 1998"/>
    <s v="Studi Islam UIN Sunan Kalijaga Tahun 2009"/>
    <s v="092100500277"/>
    <n v="2015037101"/>
    <d v="2036-04-01T00:00:00"/>
    <s v="Manajemen Pendidikan Islam (S2)"/>
    <s v="Perkembangan Pemikiran dalam Dunia Islam"/>
    <m/>
    <m/>
    <m/>
  </r>
  <r>
    <n v="42"/>
    <s v="Dr. Ibrahim, S.Pd., M.Pd."/>
    <x v="1"/>
    <s v="P. 171432"/>
    <s v="Bandung"/>
    <s v="31-10-1979"/>
    <s v="197910312008011008"/>
    <s v="1050173110793002"/>
    <s v="IV/b"/>
    <s v="01-06-2024"/>
    <n v="16"/>
    <n v="5"/>
    <s v="Lektor Kepala"/>
    <d v="2021-05-01T00:00:00"/>
    <x v="1"/>
    <s v="Universitas Islam Nusantara   Pend. Matematika Tahun 2003"/>
    <s v="Pendidikan Matematika UPI Bandung Tahun 2007"/>
    <s v="Pendidikan Matematika UPI Bandung Tahun 2011"/>
    <n v="132100511958"/>
    <n v="2031107901"/>
    <d v="2044-11-01T00:00:00"/>
    <s v="Pendidikan Matematika (S1)"/>
    <s v="Matematika Diskrit dan Pembelajaran Matematika"/>
    <s v="Wakil Dekan  Bid. Administrasi Umum, Perencanaan dan Keuangan  Fakultas Ilmu Tarbiyah dan Keguruan Masa Jabatan 2024-2028"/>
    <d v="2024-10-14T00:00:00"/>
    <m/>
  </r>
  <r>
    <n v="43"/>
    <s v="Dr. Zainal Arifin, S.Pd.I, M.S.I."/>
    <x v="1"/>
    <s v="P. 586728"/>
    <s v="Klaten"/>
    <d v="1980-03-24T00:00:00"/>
    <s v="198003242009121002"/>
    <s v="3520132403800001"/>
    <s v="IV/b"/>
    <d v="2023-04-01T00:00:00"/>
    <n v="13"/>
    <n v="4"/>
    <s v="Lektor Kepala"/>
    <d v="2020-11-01T00:00:00"/>
    <x v="1"/>
    <s v="Pendidikan Agama Islam UIN Sunan Kalijaga Tahun 2005"/>
    <s v="Pendidikan Islam Kons. Manajemen dan Kebijakan Pendidikan Islam UIN Sunan Kalijaga Tahun 2009"/>
    <s v="Studi Islam UIN Sunan Kalijaga Tahun 2016"/>
    <n v="132100511999"/>
    <n v="2024038001"/>
    <d v="2045-04-01T00:00:00"/>
    <s v="Manajemen Pendidikan Islam (S1)"/>
    <s v="Manajemen Pendidikan Islam"/>
    <s v="Sekretaris  Program Studi  Doktor (S3) Pendidikan Agama Islam"/>
    <d v="2024-10-21T00:00:00"/>
    <m/>
  </r>
  <r>
    <n v="44"/>
    <s v="Dr. Mohamad Agung Rokhimawan, M.Pd."/>
    <x v="1"/>
    <s v="P. 684488"/>
    <s v="Cirebon"/>
    <d v="1978-11-13T00:00:00"/>
    <s v="197811132009121003"/>
    <s v="3209191311780001"/>
    <s v="IV/b"/>
    <d v="2024-06-01T00:00:00"/>
    <n v="14"/>
    <n v="6"/>
    <s v="Lektor Kepala"/>
    <d v="2021-05-01T00:00:00"/>
    <x v="1"/>
    <s v="Pendidikan Kimia Univ. Negeri Semarang Tahun 2002"/>
    <s v="Pendidikan IPA Universitas Negeri Semarang Tahun 2005"/>
    <s v="Studi Islam UIN Sunan Kalijaga Tahun 2019"/>
    <n v="132100511975"/>
    <n v="2013117801"/>
    <d v="2043-12-01T00:00:00"/>
    <s v="Pendidikan Profesi Guru Keagamaan Profesi"/>
    <s v="Sains dan Pembelajarannya"/>
    <s v="Ketua Program Studi Pendidikan Agama Islam (PAI) S1 "/>
    <d v="2024-10-21T00:00:00"/>
    <m/>
  </r>
  <r>
    <n v="45"/>
    <s v="Drs. Radino, M.Ag"/>
    <x v="1"/>
    <s v="G. 218568"/>
    <s v="Cilacap"/>
    <s v="04-09-1966"/>
    <s v="196609041994031001"/>
    <s v="3402130409660001"/>
    <s v="IV/a"/>
    <d v="2024-08-01T00:00:00"/>
    <n v="30"/>
    <n v="5"/>
    <s v="Lektor Kepala"/>
    <s v="01-09-2023"/>
    <x v="2"/>
    <s v="Pendidikan Bahasa Arab IAIN Sunan Kalijaga Tahun 1993"/>
    <s v="Ilmu Agama Islam IAIN Ar Raniri Banda Aceh Tahun 1997"/>
    <m/>
    <s v="092100500312"/>
    <n v="2004096601"/>
    <d v="2031-10-01T00:00:00"/>
    <s v="Pendidikan Agama Islam (S1)"/>
    <s v="Pemikiran Pendidikan Islam"/>
    <m/>
    <m/>
    <m/>
  </r>
  <r>
    <n v="46"/>
    <s v="Dr. Muqowim, S.Ag, M.Ag."/>
    <x v="1"/>
    <s v="H.068462"/>
    <s v="Karanganyar"/>
    <s v="10-03-1973"/>
    <s v="197303101998031002"/>
    <s v="3471141003730001"/>
    <s v="III/d"/>
    <d v="2024-12-01T00:00:00"/>
    <n v="26"/>
    <n v="9"/>
    <s v="Lektor Kepala"/>
    <d v="2023-09-01T00:00:00"/>
    <x v="1"/>
    <s v="Pendidikan Agama Islam IAIN Sunan Kalijaga Tahun 1996"/>
    <s v="Pendidikan  Islam Kons. Pemikiran Pendidikan Islam IAIN Sunan Kalijaga Tahun 1999 "/>
    <s v="Studi Islam UIN Sunan Kalijaga Tahun 2011"/>
    <n v="102100504709"/>
    <n v="2010037301"/>
    <d v="2038-04-01T00:00:00"/>
    <s v="Pendidikan Islam Anak Usia Dini (S2)"/>
    <s v="Sejarah Pendidikan Islam"/>
    <m/>
    <m/>
    <m/>
  </r>
  <r>
    <n v="47"/>
    <s v="Dr. H. Zainal Arifin Ahmad, M.Ag."/>
    <x v="1"/>
    <s v="E.946975"/>
    <s v="Klaten"/>
    <s v="25-10-1962"/>
    <s v="196210251991031005"/>
    <s v="3404102510620001"/>
    <s v="IV/a"/>
    <d v="2024-06-01T00:00:00"/>
    <n v="33"/>
    <n v="3"/>
    <s v="Lektor Kepala"/>
    <d v="2023-09-01T00:00:00"/>
    <x v="1"/>
    <s v="Bahasa Arab IAIN Sunan Kalijaga Tahun 1990"/>
    <s v="Pendidikan Islam IAIN Sunan Kalijaga Tahun 1997"/>
    <s v=" Studi Islam  UIN Sunan Kalijaga Tahun 2016"/>
    <s v="092100500213"/>
    <n v="2025106201"/>
    <d v="2027-11-01T00:00:00"/>
    <s v="Pendidikan Bahasa Arab (S2)"/>
    <s v="Ilmu Pendidikan Islam"/>
    <m/>
    <m/>
    <m/>
  </r>
  <r>
    <n v="48"/>
    <s v="H. Jauhar Hatta, S.Ag, M.Ag"/>
    <x v="1"/>
    <s v="G.293144"/>
    <s v="Nganjuk"/>
    <s v="03-11-1971"/>
    <s v="197111031995031001"/>
    <s v="3304060311710006"/>
    <s v="III/d"/>
    <d v="2013-10-01T00:00:00"/>
    <n v="18"/>
    <n v="7"/>
    <s v="Lektor"/>
    <s v="01-04-2004"/>
    <x v="2"/>
    <s v=" Bahasa Arab IAIN Sunan Kalijaga Tahun 1994"/>
    <s v="Pengkajian Islam IAIN Syarif Hidayatullah Tahun 1999"/>
    <m/>
    <n v="102100504672"/>
    <n v="2003117101"/>
    <d v="2036-12-01T00:00:00"/>
    <s v="Pendidikan Guru Madrasah Ibtidaiyah (S1)"/>
    <s v="Ilmu Tafsir"/>
    <m/>
    <m/>
    <s v=" "/>
  </r>
  <r>
    <n v="49"/>
    <s v="Rinduan Zain, S.Ag, MA."/>
    <x v="1"/>
    <s v="G.289540"/>
    <s v="Pati"/>
    <s v="07-04-1970"/>
    <s v="197004071997031001"/>
    <s v="3404050704700006"/>
    <s v="III/c"/>
    <s v="01-10-2006"/>
    <n v="9"/>
    <n v="7"/>
    <s v="Lektor"/>
    <s v="01-08-2006"/>
    <x v="2"/>
    <s v="Pendidikan Agama Islam IAIN Sunan Kalijaga Tahun 1994"/>
    <s v="Islamic Studies Mc.Gill University Tahun 2003"/>
    <m/>
    <n v="112100513100021"/>
    <n v="2007047002"/>
    <d v="2035-05-01T00:00:00"/>
    <s v="Manajemen Pendidikan Islam (S1)"/>
    <s v="Filsafat Pendidikan"/>
    <m/>
    <m/>
    <m/>
  </r>
  <r>
    <n v="50"/>
    <s v="Dr. H. Sumedi, M.Ag."/>
    <x v="1"/>
    <s v="H. 068475"/>
    <s v="Krandegan"/>
    <s v="17-02-1961"/>
    <s v="196102171998031001"/>
    <s v="3471141702610002"/>
    <s v="III/d"/>
    <d v="2024-08-01T00:00:00"/>
    <n v="26"/>
    <n v="5"/>
    <s v="Lektor Kepala"/>
    <d v="2023-09-01T00:00:00"/>
    <x v="1"/>
    <s v="Bahasa  Inggris IAIN Sunan Kalijaga Tahun 1989"/>
    <s v="Pendidikan Islam IAIN Sunan Kalijaga Tahun 1996"/>
    <s v="Studi Islam UIN Sunan Kalijaga Tahun 2007"/>
    <s v="092100500281"/>
    <n v="2017026101"/>
    <d v="2026-03-01T00:00:00"/>
    <s v="Manajemen Pendidikan Islam (S2)"/>
    <s v="Akhlak       "/>
    <m/>
    <m/>
    <m/>
  </r>
  <r>
    <n v="51"/>
    <s v="Drs. Dudung Hamdun, M.Si."/>
    <x v="1"/>
    <s v="G. 141719"/>
    <s v="Ciamis"/>
    <s v="05-03-1966"/>
    <s v="196603051994031003"/>
    <s v="3404110503660003"/>
    <s v="III/d"/>
    <d v="2024-04-01T00:00:00"/>
    <n v="30"/>
    <n v="1"/>
    <s v="Lektor"/>
    <s v="01-04-2007"/>
    <x v="2"/>
    <s v="Tarbiyah IAIN Sunan Kalijaga Tahun 1993"/>
    <s v="Psikologi UGM Tahun 2004 "/>
    <m/>
    <n v="102100504649"/>
    <n v="2005036601"/>
    <d v="2031-04-01T00:00:00"/>
    <s v="Pendidikan Bahasa Arab (S1)"/>
    <s v="Psikologi Pendidikan  "/>
    <m/>
    <m/>
    <m/>
  </r>
  <r>
    <n v="52"/>
    <s v="Dr. Nurhadi, S.Ag, MA."/>
    <x v="1"/>
    <s v="J.139434"/>
    <s v="Blitar"/>
    <s v="27-07-1968"/>
    <s v="196807271997031001"/>
    <s v="3404082707680001"/>
    <s v="III/c"/>
    <s v="01-04-2010"/>
    <n v="13"/>
    <n v="1"/>
    <s v="Lektor"/>
    <s v="01-04-2008"/>
    <x v="1"/>
    <s v="Bahasa Arab IAIN Sunan Kalijaga Tahun 1995"/>
    <s v="Islamic Studies Leiden University Tahun 1999"/>
    <s v="Studi Islam UIN Sunan Kalijaga Tahun 2019"/>
    <n v="102100504723"/>
    <n v="2027076801"/>
    <d v="2033-08-01T00:00:00"/>
    <s v="Pendidikan Bahasa Arab (S1)"/>
    <s v="Peradaban Islam dan Arab"/>
    <m/>
    <m/>
    <m/>
  </r>
  <r>
    <n v="53"/>
    <s v="Drs. Suismanto, M.Ag"/>
    <x v="1"/>
    <s v="G.289286"/>
    <s v="Bojonegoro"/>
    <s v="25-10-1962"/>
    <s v="196210251996031001"/>
    <s v="3402132510620001"/>
    <s v="III/d"/>
    <s v="01-04-2009"/>
    <n v="13"/>
    <n v="1"/>
    <s v="Lektor"/>
    <s v="01-10-2008"/>
    <x v="2"/>
    <s v=" Pendidikan Agama Islam IAIN Sunan Gunung Djati Tahun 1991_x000a_"/>
    <s v="Pendidikan Islam IAIN Sunan Kalijaga Tahun 1996"/>
    <m/>
    <n v="102100504757"/>
    <n v="2025106202"/>
    <d v="2027-11-01T00:00:00"/>
    <s v="Pendidikan Islam Anak Usia Dini (PIAUD) (S1)"/>
    <s v="Pemikiran Pendidikan Islam"/>
    <m/>
    <m/>
    <m/>
  </r>
  <r>
    <n v="54"/>
    <s v="Sibawaihi, S. Ag., M.Ag., Ph.D."/>
    <x v="1"/>
    <s v="A 01006588"/>
    <s v="Pulau Kecil"/>
    <d v="1975-04-19T00:00:00"/>
    <s v="197504192005011001"/>
    <s v="3404101904750002"/>
    <s v="IV/a"/>
    <d v="2024-08-01T00:00:00"/>
    <n v="19"/>
    <n v="7"/>
    <s v="Lektor Kepala"/>
    <d v="2024-01-01T00:00:00"/>
    <x v="1"/>
    <s v="Tafsir Hadis IAIN Sunan Kalijaga Tahun 1999"/>
    <s v="Studi Agama dan Filsafat Kons. Filsafat Islam IAIN Sunan Kalijaga Tahun 2002"/>
    <s v="Doctor of Philosophy in Education Monash University Australia Tahun 2019"/>
    <n v="102100504739"/>
    <n v="2019047501"/>
    <d v="2040-05-01T00:00:00"/>
    <s v="Pendidikan Agama Islam (S2)"/>
    <s v="Filsafat Pendidikan Islam"/>
    <m/>
    <m/>
    <m/>
  </r>
  <r>
    <n v="55"/>
    <s v="Luluk Mauluah, M.Si."/>
    <x v="2"/>
    <s v="M.264288"/>
    <s v="Magelang"/>
    <d v="1970-08-02T00:00:00"/>
    <s v="197008022003122006"/>
    <s v="3402154208700006"/>
    <s v="III/d"/>
    <d v="2015-10-01T00:00:00"/>
    <n v="11"/>
    <n v="10"/>
    <s v="Lektor"/>
    <s v="01-01-2010"/>
    <x v="2"/>
    <s v="Matematika UGM Tahun 1995"/>
    <s v="Matematika UGM Tahun 1998"/>
    <m/>
    <n v="102100504680"/>
    <n v="2002087003"/>
    <d v="2035-08-01T00:00:00"/>
    <s v="Pendidikan Guru Madrasah Ibtidaiyah (S1)"/>
    <s v="Matematika"/>
    <s v="Ketua Program Studi Pendidikan Guru Madrasah Ibtidaiyah  "/>
    <d v="2024-10-21T00:00:00"/>
    <s v=" "/>
  </r>
  <r>
    <n v="56"/>
    <s v="Dr. Dwi Ratnasari, S. Ag., M. Ag."/>
    <x v="2"/>
    <s v="N 109614"/>
    <s v="Brebes"/>
    <d v="1978-08-23T00:00:00"/>
    <s v="197808232005012003"/>
    <s v="3404076308780005"/>
    <s v="III/d"/>
    <d v="2013-04-01T00:00:00"/>
    <n v="8"/>
    <n v="3"/>
    <s v="Lektor Kepala"/>
    <d v="2023-09-01T00:00:00"/>
    <x v="1"/>
    <s v="Pendidikan Agama Islam IAIN Sunan Kalijaga Tahun 2000"/>
    <s v="Pendidikan Islam Kons. Pemikiran Pendidikan Islam IAIN Sunan Kalijaga Tahun 2003"/>
    <s v="Studi Islam, UIN Sunan Kalijaga Tahun 2019"/>
    <n v="102100504651"/>
    <n v="2023087801"/>
    <d v="2043-09-01T00:00:00"/>
    <s v="Pendidikan Agama Islam (S2)"/>
    <s v="Pendidikan Agama Islam"/>
    <s v="Ketua Program Magister Pendidikan Agama Islam"/>
    <d v="2024-10-21T00:00:00"/>
    <m/>
  </r>
  <r>
    <n v="57"/>
    <s v="Suparni, S.Pd,M.Pd"/>
    <x v="2"/>
    <s v="N 519113"/>
    <s v="Sukoharjo"/>
    <s v="17-04-1971"/>
    <s v="197104172008012007"/>
    <s v="3311085704710004"/>
    <s v="III/d"/>
    <d v="2015-04-01T00:00:00"/>
    <n v="12"/>
    <n v="8"/>
    <s v="Lektor"/>
    <s v="01-11-2012"/>
    <x v="2"/>
    <s v="Pendidikan Matematika UNS Tahun 1995"/>
    <s v="Pendidikan Matematika Univ. Negeri Surabaya Tahun 2001"/>
    <m/>
    <n v="112100513200022"/>
    <n v="2017047101"/>
    <d v="2036-05-01T00:00:00"/>
    <s v="Pendidikan Matematika (S1)"/>
    <s v="Pendidikan Matematika"/>
    <m/>
    <m/>
    <m/>
  </r>
  <r>
    <n v="58"/>
    <s v="Joko Purwanto, S.Si., M.Sc."/>
    <x v="1"/>
    <s v="P.513654"/>
    <s v="Sragen"/>
    <d v="1982-03-06T00:00:00"/>
    <s v="198203062009121002"/>
    <s v="3314110603820008"/>
    <s v="III/d"/>
    <d v="2016-10-01T00:00:00"/>
    <n v="6"/>
    <n v="10"/>
    <s v="Lektor"/>
    <d v="2013-03-01T00:00:00"/>
    <x v="2"/>
    <s v="Fisika UGM Tahun 2007"/>
    <s v="Fisika UGM Tahun 2009"/>
    <s v=" "/>
    <n v="132100511965"/>
    <n v="2006038202"/>
    <d v="2047-04-01T00:00:00"/>
    <s v="Pendidikan Fisika (S1)"/>
    <s v="Fisika Teori"/>
    <m/>
    <m/>
    <m/>
  </r>
  <r>
    <n v="59"/>
    <s v="Dr. Mulin Nu'man, S.Pd., M.Pd."/>
    <x v="1"/>
    <s v="P.513664"/>
    <s v="Lamongan"/>
    <d v="1980-04-17T00:00:00"/>
    <s v="198004172009121002"/>
    <s v="3303181704800001"/>
    <s v="IV/a"/>
    <d v="2024-04-01T00:00:00"/>
    <n v="14"/>
    <n v="4"/>
    <s v="Lektor"/>
    <d v="2013-05-01T00:00:00"/>
    <x v="1"/>
    <s v="Pendidikan Matematika Unisma Tahun 2003 "/>
    <s v="Pendidikan Matematika Universitas Negeri Malang  Tahun 2006  "/>
    <s v="Ilmu Pendidikan UNY Tahun 2023"/>
    <n v="132100511979"/>
    <n v="2017048001"/>
    <d v="2045-10-01T00:00:00"/>
    <s v="Pendidikan Matematika (S1)"/>
    <s v="Pembelajaran Matematika Integratif"/>
    <m/>
    <m/>
    <s v=" "/>
  </r>
  <r>
    <n v="60"/>
    <s v="Sintha Sih Dewanti, S.Pd.Si., M.Pd.Si."/>
    <x v="2"/>
    <s v="P. 513658"/>
    <s v="Yogyakarta"/>
    <d v="1983-12-11T00:00:00"/>
    <s v="198312112009122002"/>
    <s v="3471135112830002"/>
    <s v="IV/a"/>
    <d v="2024-04-01T00:00:00"/>
    <n v="14"/>
    <n v="4"/>
    <s v="Lektor Kepala"/>
    <d v="2023-08-01T00:00:00"/>
    <x v="2"/>
    <s v="Pendidikan Matematika UNY Tahun 2005"/>
    <s v="Pendidikan Matematika UNY Tahun 2008"/>
    <s v=" "/>
    <n v="132100511992"/>
    <s v="2011128301"/>
    <d v="2049-01-01T00:00:00"/>
    <s v="Pendidikan Guru Madrasah Ibtidaiyah (S2)"/>
    <s v="Asesmen Pendidikan Matematika"/>
    <s v="Sekretaris Program Studi Doktor Pendidikan Guru Madrasah Ibtidaiyah  "/>
    <d v="2024-10-21T00:00:00"/>
    <m/>
  </r>
  <r>
    <n v="61"/>
    <s v="Dr. Khamim Zarkasih Putro, M.Si."/>
    <x v="1"/>
    <s v="F. 106088"/>
    <s v="Kebumen"/>
    <d v="1962-02-27T00:00:00"/>
    <s v="196202271992031004"/>
    <s v="3471012702620001"/>
    <s v="IV/b"/>
    <d v="2024-12-01T00:00:00"/>
    <n v="32"/>
    <n v="9"/>
    <s v="Lektor Kepala"/>
    <d v="2024-08-01T00:00:00"/>
    <x v="1"/>
    <s v="Psikologi Pendidikan dan Bimbingan/Bimbingan Konseling IKIP Negeri Yogyakarta Tahun 1987"/>
    <s v="Ketahanan Nasional UGM Tahun 2003"/>
    <s v="Psikologi Pendidikan Islam UMY Tahun 2013"/>
    <n v="142100512838"/>
    <n v="2027026202"/>
    <d v="2027-03-01T00:00:00"/>
    <s v="Pendidikan Islam Anak Usia Dini (S2)"/>
    <s v="Psikologi Pendidikan"/>
    <m/>
    <m/>
    <m/>
  </r>
  <r>
    <n v="62"/>
    <s v="Dr. Winarti, S.Pd.,M.Pd.Si."/>
    <x v="2"/>
    <s v="P. 516614"/>
    <s v="Jambi"/>
    <d v="1983-03-15T00:00:00"/>
    <s v="198303152009012010"/>
    <s v="3402125503830006"/>
    <s v="IV/a"/>
    <d v="2024-06-01T00:00:00"/>
    <n v="15"/>
    <n v="5"/>
    <s v="Lektor Kepala"/>
    <d v="2023-05-01T00:00:00"/>
    <x v="1"/>
    <s v="Pendidikan Fisika UAD Tahun 2005"/>
    <s v="Pendidikan Fisika UAD Tahun 2009"/>
    <s v="Fisika UNS Tahun 2019"/>
    <n v="132100511997"/>
    <n v="2015038301"/>
    <d v="2048-04-01T00:00:00"/>
    <s v="Pendidikan Fisika (S1)"/>
    <s v="Pendidikan Fisika"/>
    <s v="Wakil Dekan  Bid. Kemahasiswaan, dan Kerjasama  Fakultas Ilmu Tarbiyah dan Keguruan Masa Jabatan 2024-2028"/>
    <d v="2024-10-14T00:00:00"/>
    <m/>
  </r>
  <r>
    <n v="63"/>
    <s v="Sigit Prasetyo, S.Pd.I., M.Pd.Si."/>
    <x v="1"/>
    <s v="P. 169771"/>
    <s v="Demak"/>
    <d v="1981-01-04T00:00:00"/>
    <s v="198101042009121004"/>
    <s v="3401070411810003"/>
    <s v="III/d"/>
    <d v="2017-10-01T00:00:00"/>
    <n v="7"/>
    <n v="10"/>
    <s v="Lektor"/>
    <d v="2014-05-01T00:00:00"/>
    <x v="2"/>
    <s v="Pendidikan Fisika Jurusan Tadris IAIN Sunan Kalijaga Tahun 2004"/>
    <s v="Pendidikan Sains UNY Tahun 2009 "/>
    <s v=" "/>
    <n v="132100511991"/>
    <n v="2004018101"/>
    <d v="2046-02-01T00:00:00"/>
    <s v="Pendidikan Guru Madrasah Ibtidaiyah (S3)"/>
    <s v="Pembelajaran Sains"/>
    <m/>
    <m/>
    <m/>
  </r>
  <r>
    <n v="64"/>
    <s v="Ika Kartika, S.Pd., M.Pd.Si."/>
    <x v="2"/>
    <s v="P.513653"/>
    <s v="Tasikmalaya"/>
    <d v="1980-04-15T00:00:00"/>
    <s v="198004152009122001"/>
    <s v="3206285504800003"/>
    <s v="III/d"/>
    <s v="01-10-2021"/>
    <n v="11"/>
    <n v="10"/>
    <s v="Lektor"/>
    <d v="2014-09-01T00:00:00"/>
    <x v="2"/>
    <s v="Pendidikan Fisika UAD Tahun 2003"/>
    <s v="Pendidikan Sains UNY Tahun 2007  "/>
    <s v=" "/>
    <n v="132100511959"/>
    <n v="2015048001"/>
    <d v="2045-05-01T00:00:00"/>
    <s v="Pendidikan Fisika (S1)"/>
    <s v="Pendidikan Fisika "/>
    <m/>
    <m/>
    <m/>
  </r>
  <r>
    <n v="65"/>
    <s v="Dr. Muhammad Ja'far Luthfi, M.Si."/>
    <x v="1"/>
    <s v="P. 171433"/>
    <s v="Jakarta"/>
    <d v="1974-10-26T00:00:00"/>
    <s v="197410262003121001"/>
    <s v="3306062610740001"/>
    <s v="III/c"/>
    <d v="2015-04-01T00:00:00"/>
    <n v="11"/>
    <n v="4"/>
    <s v="Lektor"/>
    <d v="2014-12-01T00:00:00"/>
    <x v="1"/>
    <s v="Zoologi UGM Tahun 1999"/>
    <s v="Biologi UGM Tahun 2002"/>
    <s v="Zoology UKM Tahun 2010"/>
    <n v="112100515110033"/>
    <n v="2026107401"/>
    <d v="2039-11-01T00:00:00"/>
    <s v="Pendidikan Biologi (S1)"/>
    <s v="Zoologi"/>
    <s v="Ketua Program Studi Pendidikan Biologi"/>
    <d v="2024-10-21T00:00:00"/>
    <m/>
  </r>
  <r>
    <n v="66"/>
    <s v="Runtut Prih Utami, S.Pd, M.Pd"/>
    <x v="2"/>
    <s v="N 519114"/>
    <s v="Karanganyar"/>
    <s v="16-01-1983"/>
    <s v="198301162008012013"/>
    <s v="3313115601830003"/>
    <s v="III/d"/>
    <s v="01-04-2017"/>
    <n v="9"/>
    <n v="3"/>
    <s v="Lektor"/>
    <s v="01-01-2015"/>
    <x v="2"/>
    <s v="Pendidikan Biologi UNS 2005"/>
    <s v="Pendidikan Sains UNS 2006"/>
    <m/>
    <n v="112100515110032"/>
    <n v="2016018301"/>
    <d v="2048-02-01T00:00:00"/>
    <s v="Pendidikan Biologi (S1)"/>
    <s v="Biologi Tumbuhan dan Pendidikan Biologi"/>
    <m/>
    <m/>
    <m/>
  </r>
  <r>
    <n v="67"/>
    <s v="Dian Noviar, S.Pd., M.Pd.Si."/>
    <x v="2"/>
    <s v="P.513652"/>
    <s v="Gunung Terang"/>
    <d v="1984-11-17T00:00:00"/>
    <s v="198411172009122002"/>
    <s v="3401075711840001"/>
    <s v="III/d"/>
    <d v="2021-10-01T00:00:00"/>
    <n v="11"/>
    <n v="10"/>
    <s v="Lektor"/>
    <d v="2015-05-01T00:00:00"/>
    <x v="2"/>
    <s v=" Pendidikan Biologi UMS Tahun 2006"/>
    <s v="Pendidikan Sains UNY Tahun 2009 "/>
    <s v=" "/>
    <n v="132100511952"/>
    <n v="2017118401"/>
    <d v="2049-12-01T00:00:00"/>
    <s v="Pendidikan Biologi (S1)"/>
    <s v="Pendidikan Biologi/Mikrobiologi"/>
    <m/>
    <m/>
    <m/>
  </r>
  <r>
    <n v="68"/>
    <s v="Sulistiyawati, S.Pd.I., M.Si."/>
    <x v="2"/>
    <s v="P. 516621"/>
    <s v="Yogyakarta"/>
    <d v="1983-03-08T00:00:00"/>
    <s v="198303082009012014"/>
    <s v="3402154803830003"/>
    <s v="III/d"/>
    <d v="2021-04-01T00:00:00"/>
    <n v="12"/>
    <n v="3"/>
    <s v="Lektor"/>
    <d v="2015-05-01T00:00:00"/>
    <x v="2"/>
    <s v="Pendidikan Biologi UIN Sunan Kalijaga Tahun 2005 "/>
    <s v="Biologi UGM Tahun 2008 "/>
    <m/>
    <s v="132100511996"/>
    <n v="2008038301"/>
    <d v="2048-04-01T00:00:00"/>
    <s v="Pendidikan Biologi (S1)"/>
    <s v="Pendidikan Biologi dan Zoologi"/>
    <m/>
    <m/>
    <m/>
  </r>
  <r>
    <n v="69"/>
    <s v="Dr. Paed. Asih Widi Wisudawati, S.Pd., M.Pd."/>
    <x v="2"/>
    <s v="P.513655"/>
    <s v="Boyolali"/>
    <d v="1984-09-01T00:00:00"/>
    <s v="198409012009122004"/>
    <s v="3305124105840015"/>
    <s v="III/d"/>
    <d v="2018-10-01T00:00:00"/>
    <n v="8"/>
    <n v="10"/>
    <s v="Lektor"/>
    <d v="2015-05-01T00:00:00"/>
    <x v="1"/>
    <s v="Pendidikan Kimia UNS Tahun 2006"/>
    <s v="Pendidikan Sains UNS Tahun 2007"/>
    <s v="Doctor of Educational Science, Institute of Chemistry Didactics at Muenster University Germany Tahun 2022"/>
    <n v="132100511948"/>
    <n v="2001098401"/>
    <d v="2049-10-01T00:00:00"/>
    <s v="Pendidikan Kimia (S1)"/>
    <s v="Pendidikan Kimia"/>
    <s v="Ketua Program Studi Pendidikan Kimia"/>
    <d v="2024-10-21T00:00:00"/>
    <m/>
  </r>
  <r>
    <n v="70"/>
    <s v="Dr. Muhammad Jafar Shodiq, S.Pd.I, M.S.I."/>
    <x v="1"/>
    <s v="P. 684489"/>
    <s v="Kebumen"/>
    <d v="1982-03-15T00:00:00"/>
    <s v="198203152011011011"/>
    <s v="3402141503820003"/>
    <s v="IV/a"/>
    <d v="2024-06-01T00:00:00"/>
    <n v="13"/>
    <n v="5"/>
    <s v="Lektor Kepala"/>
    <d v="2023-03-01T00:00:00"/>
    <x v="1"/>
    <s v="Pendidikan Bahasa Arab UIN Sunan Kalijaga Tahun 2005"/>
    <s v="Pendidikan Islam Kons. Pendidikan Bahasa Arab Tahun 2009"/>
    <s v="Studi Islam Kons. Kependidikan Islam UIN Sunan Kalijaga  Tahun 2019"/>
    <n v="132100511978"/>
    <n v="2015038201"/>
    <d v="2047-04-01T00:00:00"/>
    <s v="Pendidikan Bahasa Arab (S2)"/>
    <s v="Pembelajaran Bahasa Arab"/>
    <m/>
    <m/>
    <m/>
  </r>
  <r>
    <n v="71"/>
    <s v="Jamil Suprihatiningrum, S.Pd.Si., M.Pd.Si., Ph.D."/>
    <x v="2"/>
    <s v="P. 684484"/>
    <s v="Temanggung"/>
    <d v="1984-02-05T00:00:00"/>
    <s v="198402052011012008"/>
    <s v="3471144502840001"/>
    <s v="IV/a"/>
    <d v="2024-04-01T00:00:00"/>
    <n v="13"/>
    <n v="3"/>
    <s v="Lektor Kepala"/>
    <d v="2023-05-01T00:00:00"/>
    <x v="1"/>
    <s v="Pendidikan Kimia UNY Tahun 2006"/>
    <s v="Pendidikan Sains UNY Tahun 2010"/>
    <s v="Education Flinders University Australia Tahun 2021"/>
    <n v="132100511963"/>
    <s v="0005028402"/>
    <d v="2049-03-01T00:00:00"/>
    <s v="Pendidikan Kimia (S1)"/>
    <s v="Pendidikan Kimia"/>
    <m/>
    <m/>
    <s v=" "/>
  </r>
  <r>
    <n v="72"/>
    <s v="Fitri Yuliawati, S.Pd.Si., M.Pd.Si."/>
    <x v="2"/>
    <s v="Q. 149189"/>
    <s v="Klaten"/>
    <d v="1982-07-24T00:00:00"/>
    <s v="198207242011012011"/>
    <s v="3404124612810002"/>
    <s v="III/d"/>
    <d v="2020-10-01T00:00:00"/>
    <n v="9"/>
    <n v="9"/>
    <s v="Lektor"/>
    <d v="2015-11-01T00:00:00"/>
    <x v="2"/>
    <s v="Pendidikan Biologi UNY Tahun 2004"/>
    <s v="Pendidikan Sains UNY Tahun 2010"/>
    <s v=" "/>
    <n v="142100512847"/>
    <n v="2024078201"/>
    <d v="2047-08-01T00:00:00"/>
    <s v="Pendidikan Guru Madrasah Ibtidaiyah (S1)"/>
    <s v="Sains dan Pembelajarannya"/>
    <m/>
    <m/>
    <m/>
  </r>
  <r>
    <n v="73"/>
    <s v="Dr. Endang Sulistyowati, M.Pd.I."/>
    <x v="2"/>
    <s v="J.090942"/>
    <s v="Wonogiri"/>
    <s v="14-04-1967"/>
    <s v="196704141999032001"/>
    <s v="3471045404670001"/>
    <s v="III/d"/>
    <d v="2023-10-01T00:00:00"/>
    <n v="24"/>
    <n v="7"/>
    <s v="Lektor"/>
    <d v="2016-02-01T00:00:00"/>
    <x v="1"/>
    <s v="Matematika UGM Tahun 1992"/>
    <s v="PGMI UIN Sunan Kalijaga Tahun  2013"/>
    <s v="Ilmu Pendidikan - Pendidikan Matematika Tahun 2023"/>
    <n v="142100512852"/>
    <n v="2014046702"/>
    <d v="2032-05-01T00:00:00"/>
    <s v="Pendidikan Profesi Guru Keagamaan Profesi"/>
    <s v="Matematika"/>
    <s v="Sekretaris Program Studi Magister Pendidikan Guru Madrasah Ibtidaiyah "/>
    <d v="2024-10-21T00:00:00"/>
    <m/>
  </r>
  <r>
    <n v="74"/>
    <s v="Dr. Lailatu Rohmah, S.Pd.I., M.S.I."/>
    <x v="2"/>
    <s v="P. 586730"/>
    <s v="Ponorogo"/>
    <d v="1984-05-19T00:00:00"/>
    <s v="198405192009122003"/>
    <s v="3502105905840001"/>
    <s v="III/c"/>
    <d v="2016-04-01T00:00:00"/>
    <n v="6"/>
    <n v="4"/>
    <s v="Lektor"/>
    <d v="2016-02-01T00:00:00"/>
    <x v="1"/>
    <s v="Pendidikan Agama Islam UIN Malang Tahun 2006"/>
    <s v="Pendidikan Islam Kons. Manajemen dan Kebijakan Pendidikan Islam UIN Sunan Kalijaga Tahun 2009"/>
    <s v="Pendidikan Anak Usia Dini, UNY Tahun 2023"/>
    <n v="132100511968"/>
    <n v="2019058401"/>
    <d v="2049-06-01T00:00:00"/>
    <s v="Pendidikan Islam Anak Usia Dini (PIAUD) (S1)"/>
    <s v="Manajemen Pendidikan Dasar"/>
    <m/>
    <m/>
    <s v=" "/>
  </r>
  <r>
    <n v="75"/>
    <s v="Dr. Rohinah, S.Pd.I., M.A."/>
    <x v="2"/>
    <s v="P. 684486"/>
    <s v="Cirebon"/>
    <d v="1980-04-20T00:00:00"/>
    <s v="198004202011012004"/>
    <s v="3402156004800005"/>
    <s v="IV/a"/>
    <d v="2024-06-01T00:00:00"/>
    <n v="13"/>
    <n v="5"/>
    <s v="Lektor Kepala"/>
    <d v="2023-03-01T00:00:00"/>
    <x v="1"/>
    <s v="Pendidikan Agama Islam IAIN Sunan Kalijaga Tahun 2003"/>
    <s v="Pengkajian Islam Kons. Pendidikan Agama Islam UIN Syarif Hidayatullah Tahun 2008"/>
    <s v="Studi Islam Konsentrasi Kependidikan Islam UIN Sunan Kalijaga Tahun 2021"/>
    <n v="142100512845"/>
    <n v="2020048001"/>
    <d v="2045-05-01T00:00:00"/>
    <s v="Pendidikan Islam Anak Usia Dini (PIAUD) (S1)"/>
    <s v="Pendidikan Agama Islam dan Pembelajarannya"/>
    <s v="Ketua Program Studi Pendidikan Anak Usia Dini (PIAUD)"/>
    <d v="2024-10-21T00:00:00"/>
    <m/>
  </r>
  <r>
    <n v="76"/>
    <s v="Dra. Nadlifah, M.Pd."/>
    <x v="2"/>
    <s v="G.118393"/>
    <s v="Gresik"/>
    <s v="07-08-1968"/>
    <s v="196808071994032003"/>
    <s v="3404074708680001"/>
    <s v="III/d"/>
    <d v="2019-04-01T00:00:00"/>
    <n v="25"/>
    <n v="1"/>
    <s v="Lektor"/>
    <s v="01-06-2016"/>
    <x v="2"/>
    <s v="_x000a_Pendidikan Agama Islam IAIN Sunan Kalijaga Tahun 1993_x000a_"/>
    <s v="Pendidikan Ilmu Pengetahuan Sosial UNY Tahun 2005"/>
    <m/>
    <n v="102100504713"/>
    <n v="2007086802"/>
    <d v="2033-09-01T00:00:00"/>
    <s v="Pendidikan Islam Anak Usia Dini (PIAUD) (S1)"/>
    <s v="Dasar-dasar Kependidikan "/>
    <m/>
    <m/>
    <m/>
  </r>
  <r>
    <n v="77"/>
    <s v="Dr. Nur Saidah, S. Ag., M.Ag."/>
    <x v="2"/>
    <s v="N 105616"/>
    <s v="Kediri"/>
    <d v="1975-02-11T00:00:00"/>
    <s v="197502112005012002"/>
    <s v="3402075102750001"/>
    <s v="III/d"/>
    <d v="2024-04-01T00:00:00"/>
    <n v="19"/>
    <n v="3"/>
    <s v="Lektor"/>
    <d v="2016-06-01T00:00:00"/>
    <x v="1"/>
    <s v="Bahasa dan Sastra Arab IAIN Sunan Kalijaga Tahun 1998"/>
    <s v="Pendidikan Islam Kons. Pemikiran Pendidikan Islam IAIN Sunan Kalijaga Tahun 2003"/>
    <s v="Studi Islam Konsentrasi Sejarah Kebudayaan Islam UIN Sunan Kalijaga Yogyakarta Tahun 2019"/>
    <n v="102100504721"/>
    <n v="2011027501"/>
    <d v="2040-03-01T00:00:00"/>
    <s v="Pendidikan Agama Islam (S2)"/>
    <s v="Sejarah Kebudayaan Islam dan Budaya Lokal"/>
    <s v="Ketua  Program Studi  Magister  Manajemen Pendidikan Islam (MPI)"/>
    <d v="2024-10-21T00:00:00"/>
    <m/>
  </r>
  <r>
    <n v="78"/>
    <s v="Dr. Akhmad Sholeh, S.Ag., M.Si."/>
    <x v="1"/>
    <s v="H. 066409"/>
    <s v="Kudus"/>
    <d v="1965-07-16T00:00:00"/>
    <s v="196507161998031002"/>
    <s v="3402121607650002"/>
    <s v="III/d"/>
    <d v="2008-10-01T00:00:00"/>
    <n v="10"/>
    <n v="7"/>
    <s v="Lektor"/>
    <d v="2017-04-01T00:00:00"/>
    <x v="1"/>
    <s v="Pendidikan Agama Islam UII Tahun 1995  "/>
    <s v="UIN Sunan Kalijaga Tahun 2007"/>
    <s v="Studi Islam UIN Sunan Kalijaga Tahun 2014"/>
    <s v=" "/>
    <s v="016076514"/>
    <d v="2030-08-01T00:00:00"/>
    <s v="Pendidikan Agama Islam (S1)"/>
    <s v="Ilmu Pendidikan"/>
    <m/>
    <m/>
    <s v=" "/>
  </r>
  <r>
    <n v="79"/>
    <s v="Drs. H. Abdul Malik Usman, M.Ag."/>
    <x v="1"/>
    <s v="J.048136"/>
    <s v="Lamakera,Flores Tmr"/>
    <s v="01-06-1960"/>
    <s v="196006011999031001"/>
    <s v="3404070106600001"/>
    <s v="III/c"/>
    <d v="2018-10-01T00:00:00"/>
    <n v="24"/>
    <n v="1"/>
    <s v="Lektor"/>
    <d v="2018-04-01T00:00:00"/>
    <x v="2"/>
    <s v="Dakwah IAIN Sunan Kalijaga Tahun 1991"/>
    <s v="Magister Studi Islam Konsentrasi Pendidikan Islam UII Tahun 2009"/>
    <m/>
    <n v="102100504627"/>
    <m/>
    <d v="2025-07-01T00:00:00"/>
    <s v="DPK"/>
    <s v="Ilmu Perkembangan Pemikiran Modern Dunia Islam"/>
    <m/>
    <m/>
    <s v="DPK pada  UGM"/>
  </r>
  <r>
    <n v="80"/>
    <s v="Dr. Hibana, S.Ag., M.Pd."/>
    <x v="2"/>
    <s v="M. 262515"/>
    <s v="Ngawi"/>
    <d v="1970-08-01T00:00:00"/>
    <s v="197008012005012003"/>
    <s v="3402124108700001"/>
    <s v="IV/b"/>
    <d v="2024-04-01T00:00:00"/>
    <n v="19"/>
    <n v="3"/>
    <s v="Lektor Kepala"/>
    <d v="2023-08-01T00:00:00"/>
    <x v="1"/>
    <s v="Pendidikan Agama Islam IAIN Sunan Kalijaga Tahun 1994"/>
    <s v="PLS-PSDM UNY Tahun 2001"/>
    <s v="Ilmu Pendidikan UNY Tahun 2015"/>
    <m/>
    <s v="2001087001"/>
    <d v="2035-09-01T00:00:00"/>
    <s v="Pendidikan Islam Anak Usia Dini (S2)"/>
    <s v="Pendidikan Anak Usia Dini"/>
    <s v="Ketua Program Studi Magister Pendidikan Anak Usia Dini (PIAUD)"/>
    <d v="2024-10-21T00:00:00"/>
    <m/>
  </r>
  <r>
    <n v="81"/>
    <s v="Agus Kamaludin, M.Pd."/>
    <x v="1"/>
    <m/>
    <s v="Tegal"/>
    <d v="1983-01-09T00:00:00"/>
    <s v="198301092015031002"/>
    <s v="3328132301830003"/>
    <s v="III/d"/>
    <d v="2022-10-01T00:00:00"/>
    <n v="7"/>
    <n v="7"/>
    <s v="Lektor"/>
    <d v="2018-11-01T00:00:00"/>
    <x v="2"/>
    <s v="Pendidikan Kimia UNY Tahun 2007"/>
    <s v="Pendidikan Sains UNY Tahun 2011"/>
    <m/>
    <s v="182100516028"/>
    <s v="2009018301"/>
    <d v="2048-02-01T00:00:00"/>
    <s v="Pendidikan Kimia (S1)"/>
    <s v="Pendidikan Kimia"/>
    <m/>
    <m/>
    <s v="TUGAS BELAJAR"/>
  </r>
  <r>
    <n v="82"/>
    <s v="Siti Zubaedah, S.Ag., M.Pd.  "/>
    <x v="2"/>
    <s v="N. 571450"/>
    <s v="Ciwaringin"/>
    <d v="1973-07-09T00:00:00"/>
    <s v="197307092008012011"/>
    <s v="3404074907730002"/>
    <s v="III/d"/>
    <d v="2022-04-01T00:00:00"/>
    <n v="14"/>
    <n v="3"/>
    <s v="Lektor"/>
    <d v="2019-07-01T00:00:00"/>
    <x v="2"/>
    <s v="Sejarah dan Kebudayaan Islam IAIN Sunan Kalijaga Tahun 1998"/>
    <s v="Pendidikan Bahasa Indonesia Universitas Islam Malang Tahun 2003"/>
    <m/>
    <n v="112100513240023"/>
    <s v="2009077303"/>
    <d v="2038-04-01T00:00:00"/>
    <s v="Pendidikan Islam Anak Usia Dini (PIAUD) (S1)"/>
    <s v="Bahasa Indonesia"/>
    <s v="Sekretaris  Program Studi Magister Pendidikan Anak Usia Dini (PIAUD)"/>
    <d v="2024-10-21T00:00:00"/>
    <m/>
  </r>
  <r>
    <n v="83"/>
    <s v="Nurul Huda, S.S., M.Pd.I."/>
    <x v="1"/>
    <m/>
    <s v="Karanganyar"/>
    <d v="1982-10-26T00:00:00"/>
    <s v="198210262015031004"/>
    <s v="3313112610820002"/>
    <s v="III/d"/>
    <d v="2024-04-01T00:00:00"/>
    <n v="9"/>
    <n v="1"/>
    <s v="Lektor"/>
    <d v="2019-08-01T00:00:00"/>
    <x v="2"/>
    <s v="UIN Suka, Bahasa dan Sastra Arab, 2005"/>
    <s v="Pendidikan Bahasa Arab Tahun 2012"/>
    <m/>
    <s v="182100516024"/>
    <s v="2026108201"/>
    <d v="2047-11-01T00:00:00"/>
    <s v="Pendidikan Bahasa Arab (S1)"/>
    <s v="Al-Kalam"/>
    <s v="Ketua Program Studi Pendidikan Bahasa Arab "/>
    <d v="2024-10-21T00:00:00"/>
    <m/>
  </r>
  <r>
    <n v="84"/>
    <s v="Siti Nur Hidayah, S.Th.I., M.Sc."/>
    <x v="2"/>
    <m/>
    <s v="Sragen"/>
    <d v="1980-10-01T00:00:00"/>
    <s v="198010012015032003"/>
    <s v="3314054110800003"/>
    <s v="III/c"/>
    <d v="2019-10-01T00:00:00"/>
    <n v="4"/>
    <n v="7"/>
    <s v="Lektor"/>
    <d v="2019-08-01T00:00:00"/>
    <x v="2"/>
    <s v="Tafsir Hadits STAIN Surakarta Tahun  2003"/>
    <s v="Magister Manajemen Pendidikan Tinggi UGM Tahun 2014"/>
    <m/>
    <s v="182100516020 "/>
    <s v="2001108004"/>
    <d v="2045-11-01T00:00:00"/>
    <s v="Manajemen Pendidikan Islam (S1)"/>
    <s v="Manajemen Pendidikan"/>
    <s v="Ketua Program Studi Manajemen Pendidikan Islam"/>
    <d v="2024-10-21T00:00:00"/>
    <s v=" "/>
  </r>
  <r>
    <n v="85"/>
    <s v="Nurul Arfinanti, S.Pd.Si., M.Pd."/>
    <x v="2"/>
    <m/>
    <s v="Magelang"/>
    <d v="1988-07-07T00:00:00"/>
    <s v="198807072015032005"/>
    <s v="3308084707880003"/>
    <s v="III/d"/>
    <d v="2024-04-01T00:00:00"/>
    <n v="9"/>
    <n v="1"/>
    <s v="Lektor"/>
    <d v="2019-10-01T00:00:00"/>
    <x v="2"/>
    <s v="Pendidikan Matematika UIN Sunan Kalijaga Tahun 2010"/>
    <s v="Pendidikan Matematika Univ. Negeri Malang Tahun  2012"/>
    <m/>
    <n v="112100511320010"/>
    <s v="2007078801"/>
    <d v="2053-08-01T00:00:00"/>
    <s v="Pendidikan Matematika (S1)"/>
    <s v="Pendidikan Matematika"/>
    <m/>
    <m/>
    <m/>
  </r>
  <r>
    <n v="86"/>
    <s v="Dr. Dailatus Syamsiyah, S. Ag., M. Ag."/>
    <x v="2"/>
    <s v="M. 215841"/>
    <s v="Jember"/>
    <d v="1975-05-10T00:00:00"/>
    <s v="197505102005012001"/>
    <s v="3404115005750004"/>
    <s v="III/d"/>
    <d v="2023-04-01T00:00:00"/>
    <n v="18"/>
    <n v="3"/>
    <s v="Lektor"/>
    <d v="2020-07-01T00:00:00"/>
    <x v="1"/>
    <s v=" "/>
    <s v="Pendidikan Islam Kons. Pemikiran Pendidikan Islam IAIN Sunan Kalijaga Tahun 2002"/>
    <s v="Kependidikan Islam UIN Sunan Kalijaga Tahun 2019"/>
    <n v="112100511320010"/>
    <n v="2010057501"/>
    <d v="2040-06-01T00:00:00"/>
    <s v="Pendidikan Bahasa Arab (S2)"/>
    <s v="Bahasa Arab"/>
    <s v="Ketua Program Studi  Magister Pendidikan Bahasa Arab (PBA)"/>
    <d v="2024-10-21T00:00:00"/>
    <m/>
  </r>
  <r>
    <n v="87"/>
    <s v="Nisa Syuhda, S.S., M. Hum."/>
    <x v="2"/>
    <m/>
    <s v="Semarang"/>
    <d v="1975-10-29T00:00:00"/>
    <s v="197510292005012006"/>
    <s v="3471136910750003"/>
    <s v="III/c"/>
    <d v="2021-04-01T00:00:00"/>
    <n v="16"/>
    <n v="3"/>
    <s v="Lektor"/>
    <d v="2020-09-01T00:00:00"/>
    <x v="2"/>
    <s v="Sastra Inggris Univ. Nasional Jakarta Tahun 1998 "/>
    <s v="Pengkajian Amerika UGM  Tahun 2004 "/>
    <m/>
    <n v="132100511981"/>
    <n v="2029107501"/>
    <d v="2040-11-01T00:00:00"/>
    <s v="Pendidikan Guru Madrasah Ibtidaiyah (S1)"/>
    <s v="Bahasa Inggris"/>
    <s v="Koord. Divisi Pembelajan dan Pelatihan"/>
    <d v="2024-10-31T00:00:00"/>
    <m/>
  </r>
  <r>
    <n v="88"/>
    <s v="Drs. Nur Munajat., M.Si"/>
    <x v="1"/>
    <s v="J.139185"/>
    <s v="Bantul"/>
    <s v="10-01-1968"/>
    <s v="196801101999031002"/>
    <s v="3404281001680001"/>
    <s v="III/b"/>
    <d v="2023-10-01T00:00:00"/>
    <n v="24"/>
    <n v="7"/>
    <s v="Lektor"/>
    <d v="2022-11-01T00:00:00"/>
    <x v="2"/>
    <s v="Administrasi Pendidikan IKIP Negeri Yogyakarta Tahun 1993 "/>
    <s v="Psikologi UGM Tahun 2005"/>
    <m/>
    <n v="102100504719"/>
    <n v="2010016801"/>
    <d v="2033-02-01T00:00:00"/>
    <s v="Pendidikan Agama Islam (S1)"/>
    <s v="Administrasi Pendidikan"/>
    <m/>
    <m/>
    <m/>
  </r>
  <r>
    <n v="89"/>
    <s v="Sri Purnami, S.Psi, M.A."/>
    <x v="2"/>
    <s v="J 088813"/>
    <s v="Sleman"/>
    <s v="19-01-1973"/>
    <s v="197301191999032001"/>
    <s v="3404105901730002"/>
    <s v="III/b"/>
    <d v="2023-10-01T00:00:00"/>
    <n v="24"/>
    <n v="7"/>
    <s v="Lektor"/>
    <d v="2022-11-01T00:00:00"/>
    <x v="2"/>
    <s v="Psikologi UGM Tahun 1997"/>
    <s v="Psikologi UGM Tahun 2016"/>
    <s v=" "/>
    <n v="102100504753"/>
    <n v="2019017301"/>
    <d v="2038-02-01T00:00:00"/>
    <s v="Pendidikan Agama Islam (S1)"/>
    <s v="Psikologi "/>
    <m/>
    <m/>
    <m/>
  </r>
  <r>
    <n v="90"/>
    <s v="Muhammad Qowim, S.Ag, M.Ag"/>
    <x v="1"/>
    <s v="N 105615"/>
    <s v="Jepara"/>
    <s v="19-08-1979"/>
    <s v="197908192006041002"/>
    <s v="3310081008790001"/>
    <s v="III/c"/>
    <d v="2022-10-01T00:00:00"/>
    <n v="16"/>
    <n v="6"/>
    <s v="Lektor"/>
    <s v="01-06-2022"/>
    <x v="2"/>
    <s v="Pendidikan Agama IAIN Sunan Kalijaga Tahun 2001"/>
    <s v="Pendidikan Islam Kons. Manajemen dan Kebijakan Pendidikan Islam UIN Sunan Kalijaga Tahun 2005 "/>
    <m/>
    <n v="102100504698"/>
    <n v="2019087901"/>
    <d v="2044-09-01T00:00:00"/>
    <s v="Manajemen Pendidikan Islam (S1)"/>
    <s v="Manajemen Pendidikan"/>
    <m/>
    <m/>
    <m/>
  </r>
  <r>
    <n v="91"/>
    <s v="Dr. H. Muh. Wasith Achadi, S.Ag., M.Ag."/>
    <x v="1"/>
    <s v="L. 045494"/>
    <s v="Purworejo"/>
    <d v="1977-11-26T00:00:00"/>
    <s v="197711262002121002"/>
    <s v="3306062611770001"/>
    <s v="IV/a"/>
    <d v="2012-10-01T00:00:00"/>
    <s v=" "/>
    <s v=" "/>
    <s v="Lektor Kepala"/>
    <d v="2023-04-01T00:00:00"/>
    <x v="1"/>
    <s v="STAIN Salatiga, Fak. Tarbiyah, 1999"/>
    <s v="UIN Suka, 2004"/>
    <s v=" UIN Suka, Studi Islam, 2014"/>
    <s v="172100514767"/>
    <s v="2026117701"/>
    <d v="2038-09-01T00:00:00"/>
    <s v="Pendidikan Agama Islam (S2)"/>
    <s v="Pendidikan Agama Islam"/>
    <m/>
    <m/>
    <m/>
  </r>
  <r>
    <n v="92"/>
    <s v="M. Saidul Muzakki, S.Pd.I., M.Pd."/>
    <x v="1"/>
    <m/>
    <s v="Jepara"/>
    <d v="1984-08-25T00:00:00"/>
    <s v="198408252015031004"/>
    <s v="3320062508840005"/>
    <s v="III/c"/>
    <d v="2023-10-01T00:00:00"/>
    <n v="8"/>
    <n v="7"/>
    <s v="Lektor"/>
    <d v="2023-01-01T00:00:00"/>
    <x v="2"/>
    <s v="Pendidikan Agama Islam UII Tahun 2009"/>
    <s v="Kurikulum dan Teknologi Pembelajaran Univ. Negeri Semarang, Tahun 2012"/>
    <m/>
    <n v="142100512847"/>
    <s v="2025088402"/>
    <d v="2049-09-01T00:00:00"/>
    <s v="Pendidikan Guru Madrasah Ibtidaiyah (S1)"/>
    <s v="Media Pembelajaran"/>
    <m/>
    <m/>
    <s v=" "/>
  </r>
  <r>
    <n v="93"/>
    <s v="Agung Setiyawan, S.Pd.I., M.Pd.I."/>
    <x v="1"/>
    <m/>
    <s v="Rembang"/>
    <d v="1987-11-21T00:00:00"/>
    <s v="198711212015031002"/>
    <s v="3317142111870003"/>
    <s v="III/d"/>
    <d v="2024-10-01T00:00:00"/>
    <n v="9"/>
    <n v="7"/>
    <s v="Lektor"/>
    <d v="2022-04-01T00:00:00"/>
    <x v="2"/>
    <s v="Pendidikan Bahasa Arab UIN Sunan Kalijaga Tahun  2010"/>
    <s v="Pendidikan Bahasa Arab UIN Sunan Kalijaga Tahun  2012"/>
    <m/>
    <s v="182100516022"/>
    <s v="0521118701"/>
    <d v="2052-12-01T00:00:00"/>
    <s v="Pendidikan Bahasa Arab (S1)"/>
    <s v="Al-Kalam"/>
    <s v="Sekretaris Program Studi Doktor (S3)  Pendidikan Bahasa Arab "/>
    <d v="2024-10-21T00:00:00"/>
    <m/>
  </r>
  <r>
    <n v="94"/>
    <s v="Dr. Rohmatun Lukluk Isnaini, S.Pd.I., M.Pd.I."/>
    <x v="2"/>
    <m/>
    <s v="Klaten"/>
    <d v="1988-11-07T00:00:00"/>
    <s v="198811072015032004"/>
    <s v="3310164711880001"/>
    <s v="III/d"/>
    <d v="2024-10-01T00:00:00"/>
    <n v="9"/>
    <n v="7"/>
    <s v="Lektor"/>
    <d v="2022-01-01T00:00:00"/>
    <x v="1"/>
    <s v="Pendidikan Bahasa Arab STAIN Surakarta Tahun  2010"/>
    <s v="Manajemen Pendidikan Islam   STAIN Surakarta Tahun  2012"/>
    <s v="Ilmu Pendidikan UNY Tahun 2021"/>
    <s v="182100516019 "/>
    <n v="2007118801"/>
    <d v="2053-12-01T00:00:00"/>
    <s v="Pendidikan Profesi Guru Keagamaan Profesi"/>
    <s v="Manajemen Pendidikan"/>
    <s v="Ketua Program Studi Pendidikan Profesi Guru"/>
    <d v="2024-10-21T00:00:00"/>
    <s v=" "/>
  </r>
  <r>
    <n v="95"/>
    <s v="Yuli Kuswandari, S.Pd., M.Hum."/>
    <x v="2"/>
    <s v="N 105613"/>
    <s v="Sleman"/>
    <d v="1974-07-25T00:00:00"/>
    <s v="197407252006042008"/>
    <s v="3404036507740001"/>
    <s v="III/c"/>
    <d v="2023-10-01T00:00:00"/>
    <n v="19"/>
    <n v="1"/>
    <s v="Lektor"/>
    <d v="2022-11-01T00:00:00"/>
    <x v="2"/>
    <s v="Pendidikan Bahasa Inggris UNY Tahun 2000"/>
    <s v="Linguistik Terapan UNY Tahun 2016"/>
    <m/>
    <s v="222100517760"/>
    <n v="2025077403"/>
    <d v="2039-08-01T00:00:00"/>
    <s v="Pendidikan Agama Islam (S1)"/>
    <s v="Bahasa Inggris"/>
    <m/>
    <m/>
    <s v=" "/>
  </r>
  <r>
    <n v="96"/>
    <s v="Nora Saiva Jannana, M.Pd."/>
    <x v="2"/>
    <m/>
    <s v="Magelang"/>
    <d v="1991-08-30T00:00:00"/>
    <s v="199108302018012002"/>
    <s v="3308207008910002"/>
    <s v="III/d"/>
    <d v="2024-04-01T00:00:00"/>
    <n v="6"/>
    <n v="3"/>
    <s v="Lektor"/>
    <d v="2022-01-01T00:00:00"/>
    <x v="2"/>
    <s v="Pendidikan Administrasi Perkantoran UNY Tahun 2013"/>
    <s v="Manajemen Pendidikan UNY Tahun 2016"/>
    <m/>
    <s v="222100517751"/>
    <s v="2030089103"/>
    <d v="2056-09-01T00:00:00"/>
    <s v="Manajemen Pendidikan Islam (S1)"/>
    <s v="Manajemen Pendidikan"/>
    <s v="Sekretaris Program Studi Manajemen Pendidikan Islam"/>
    <d v="2024-10-21T00:00:00"/>
    <s v=" "/>
  </r>
  <r>
    <n v="97"/>
    <s v="Raekha Azka, M.Pd."/>
    <x v="1"/>
    <m/>
    <s v="Kebumen"/>
    <d v="1987-09-19T00:00:00"/>
    <s v="198709192018011001"/>
    <s v="3305071909870003"/>
    <s v="III/c"/>
    <d v="2022-04-01T00:00:00"/>
    <n v="4"/>
    <n v="3"/>
    <s v="Lektor"/>
    <d v="2022-01-01T00:00:00"/>
    <x v="2"/>
    <s v=" "/>
    <s v="Pendidikan Matematika Universitas Negeri Yogyakarta Tahun 2014"/>
    <m/>
    <s v="222100517761"/>
    <s v="0619098703"/>
    <d v="2054-10-01T00:00:00"/>
    <s v="Pendidikan Matematika (S1)"/>
    <s v="Matematika"/>
    <m/>
    <m/>
    <s v=" "/>
  </r>
  <r>
    <n v="98"/>
    <s v="Dian Permatasari, M.Pd."/>
    <x v="2"/>
    <m/>
    <s v="Kulon Progo"/>
    <d v="1992-10-05T00:00:00"/>
    <s v="199210052019032022 "/>
    <s v="3471014510920001"/>
    <s v="III/c"/>
    <d v="2023-10-01T00:00:00"/>
    <n v="4"/>
    <n v="7"/>
    <s v="Lektor"/>
    <d v="2023-01-01T00:00:00"/>
    <x v="2"/>
    <s v="UNY Tahun 2014"/>
    <s v="Magister Pendidikan Matematika UNY Tahun 2018"/>
    <m/>
    <m/>
    <n v="2005109201"/>
    <d v="2057-11-01T00:00:00"/>
    <s v="Pendidikan Matematika (S1)"/>
    <s v="Pendidikan Matematika"/>
    <m/>
    <m/>
    <s v="TUGAS BELAJAR"/>
  </r>
  <r>
    <n v="99"/>
    <s v="Muhammad Zamhari, S.Pd.Si., M.Sc."/>
    <x v="1"/>
    <s v="P. 684472"/>
    <s v="Pekalongan"/>
    <d v="1986-07-02T00:00:00"/>
    <s v="198607022011011014"/>
    <s v="3375020207860003"/>
    <s v="III/c"/>
    <d v="2023-04-01T00:00:00"/>
    <n v="12"/>
    <n v="3"/>
    <s v="Lektor"/>
    <d v="2022-11-01T00:00:00"/>
    <x v="2"/>
    <s v="UIN Sunan Kalijaga, Pendidikan Kimia, Tahun 2009"/>
    <s v="Chemistry  Prince of Songkla University  Thailand Tahun 2017"/>
    <m/>
    <s v="232100519191"/>
    <n v="2002078605"/>
    <d v="2051-08-01T00:00:00"/>
    <s v="Pendidikan Kimia (S1)"/>
    <s v="Pendidikan Kimia"/>
    <m/>
    <m/>
    <m/>
  </r>
  <r>
    <n v="100"/>
    <s v="Dr. Shaleh, S.Ag., M.Pd."/>
    <x v="1"/>
    <m/>
    <s v="Pati"/>
    <d v="1977-02-17T00:00:00"/>
    <s v="197702172011011002"/>
    <s v="3402161702770005"/>
    <s v="III/d"/>
    <d v="2024-10-01T00:00:00"/>
    <n v="13"/>
    <n v="9"/>
    <s v="Lektor"/>
    <d v="2022-08-01T00:00:00"/>
    <x v="1"/>
    <m/>
    <m/>
    <s v="Penelitian dan Evaluasi Pendidikan UNY Tahun 2020"/>
    <m/>
    <s v="2017027703"/>
    <d v="2042-03-01T00:00:00"/>
    <s v="Pendidikan Guru Madrasah Ibtidaiyah (S2)"/>
    <s v="Metodologi Penelitian"/>
    <s v="Ketua Satuan Pengawasan Internal (SPI) UIN Sunan Kalijaga Yogyakarta Masa Jabatan 2024 - 2028"/>
    <d v="2024-12-13T00:00:00"/>
    <m/>
  </r>
  <r>
    <n v="101"/>
    <s v="Dr. Iwan Kuswidi, S.Pd. I., M.Sc."/>
    <x v="1"/>
    <s v="N 044397"/>
    <s v="Sragen"/>
    <d v="1979-07-11T00:00:00"/>
    <s v="197907112006041002"/>
    <s v="3314151107790001"/>
    <s v="III/b"/>
    <d v="2024-06-01T00:00:00"/>
    <n v="18"/>
    <n v="2"/>
    <s v="Lektor"/>
    <s v="01-01-2023"/>
    <x v="1"/>
    <s v="Tadris Matematika IAIN Sunan Kalijaga Tahun 2003"/>
    <s v="Matematika UGM Tahun 2009"/>
    <s v="Pendidikan Matematika UPI Bandung Tahun 2017"/>
    <n v="112100515320039"/>
    <n v="2012077901"/>
    <d v="2044-08-01T00:00:00"/>
    <s v="Pendidikan Matematika (S1)"/>
    <s v="Pendidikan Matematika"/>
    <s v=" "/>
    <s v=" "/>
    <m/>
  </r>
  <r>
    <n v="102"/>
    <s v="Hafidh 'Aziz, S.Pd.I., M.Pd.I."/>
    <x v="1"/>
    <m/>
    <s v="Ponorogo"/>
    <d v="1983-10-24T00:00:00"/>
    <s v="198310242015031002"/>
    <s v="3502082410830001"/>
    <s v="III/c"/>
    <d v="2024-04-01T00:00:00"/>
    <n v="9"/>
    <n v="1"/>
    <s v="Lektor"/>
    <d v="2023-01-01T00:00:00"/>
    <x v="2"/>
    <s v="Pendidikan Agama Islam UIN Malang Tahun 2007"/>
    <s v=" Pendidikan Islam IAIN Sunan Ampel Tahun 2010"/>
    <m/>
    <s v="182100516023"/>
    <n v="2024108302"/>
    <d v="2048-11-01T00:00:00"/>
    <s v="Pendidikan Islam Anak Usia Dini (PIAUD) (S1)"/>
    <s v="Pengajaran Kemahiran"/>
    <s v="Sekretaris Program Studi Pendidikan Anak Usia Dini (PIAUD)"/>
    <d v="2024-10-21T00:00:00"/>
    <s v=" "/>
  </r>
  <r>
    <n v="103"/>
    <s v="Annisa Firanti, S.Pd.Si., M.Pd."/>
    <x v="2"/>
    <m/>
    <s v="Banjarnegara"/>
    <d v="1987-10-31T00:00:00"/>
    <s v="198710312015032006"/>
    <s v="3304067110870001"/>
    <s v="III/b"/>
    <d v="2015-03-01T00:00:00"/>
    <n v="0"/>
    <n v="0"/>
    <s v="Lektor"/>
    <d v="2023-01-01T00:00:00"/>
    <x v="2"/>
    <s v="Pendidikan Biologi UIN Sunan Kalijaga Tahun  2010"/>
    <s v="Pendidikan Sains UNY Tahun 2013"/>
    <m/>
    <n v="192100517415"/>
    <n v="2031108702"/>
    <d v="2052-11-01T00:00:00"/>
    <s v="Pendidikan Biologi (S1)"/>
    <s v="Pendidikan Biologi"/>
    <s v="Sekretaris Program Studi Pendidikan Biologi"/>
    <d v="2024-10-21T00:00:00"/>
    <m/>
  </r>
  <r>
    <n v="104"/>
    <s v="Mike Dewi Kurniasih, M.Pd."/>
    <x v="2"/>
    <m/>
    <s v="Semarang"/>
    <d v="1987-05-23T00:00:00"/>
    <s v="198705232019032011 "/>
    <s v="3322186305870001"/>
    <s v="III/c"/>
    <d v="2024-04-01T00:00:00"/>
    <n v="5"/>
    <n v="1"/>
    <s v="Lektor"/>
    <d v="2023-01-01T00:00:00"/>
    <x v="2"/>
    <s v="Universitas Negeri Semarang Tahun 2009"/>
    <s v="Pendidikan Ilmu Pengetahuan Alam UNES Tahun 2013"/>
    <m/>
    <m/>
    <s v="0623058701"/>
    <d v="2052-06-01T00:00:00"/>
    <s v="Pendidikan Biologi (S1)"/>
    <s v="Dosen Pendidikan Biologi "/>
    <m/>
    <m/>
    <m/>
  </r>
  <r>
    <n v="105"/>
    <s v="Laili Nailul Muna, M.Sc."/>
    <x v="2"/>
    <m/>
    <s v="Bantul"/>
    <d v="1991-08-20T00:00:00"/>
    <s v="199108202019032018 "/>
    <s v="3402156008910002"/>
    <s v="III/c"/>
    <d v="2024-04-01T00:00:00"/>
    <n v="5"/>
    <n v="1"/>
    <s v="Lektor"/>
    <d v="2023-01-01T00:00:00"/>
    <x v="2"/>
    <s v="UAD Tahun 2013"/>
    <s v="Ilmu Farmasi UGM Tahun 2015"/>
    <m/>
    <m/>
    <s v="0520089101"/>
    <d v="2056-09-01T00:00:00"/>
    <s v="Pendidikan Kimia (S1)"/>
    <s v="Farmasi"/>
    <s v="Sekretaris Program Studi Sains Biomedis"/>
    <d v="2024-10-23T00:00:00"/>
    <m/>
  </r>
  <r>
    <n v="106"/>
    <s v="Fina Hanifa Hidayati, M.Pd."/>
    <x v="2"/>
    <m/>
    <s v="Pekalongan"/>
    <d v="1989-07-14T00:00:00"/>
    <s v="198907142019032007 "/>
    <s v="3375035407890005"/>
    <s v="III/c"/>
    <d v="2024-04-01T00:00:00"/>
    <n v="5"/>
    <n v="1"/>
    <s v="Lektor"/>
    <d v="2023-01-01T00:00:00"/>
    <x v="2"/>
    <m/>
    <s v="Pendidikan Matematika UNS Tahun 2014"/>
    <m/>
    <m/>
    <n v="2014078902"/>
    <d v="2054-08-01T00:00:00"/>
    <s v="Pendidikan Matematika (S1)"/>
    <s v="Pendidikan Matematika "/>
    <m/>
    <m/>
    <m/>
  </r>
  <r>
    <n v="107"/>
    <s v="Burhanuddin Latif, M.Si."/>
    <x v="1"/>
    <m/>
    <s v="Purbalingga"/>
    <d v="1992-04-04T00:00:00"/>
    <s v="199204042019031010 "/>
    <s v="3210180404920001"/>
    <s v="III/c"/>
    <d v="2024-04-01T00:00:00"/>
    <n v="5"/>
    <n v="1"/>
    <s v="Lektor"/>
    <d v="2023-01-01T00:00:00"/>
    <x v="2"/>
    <s v="UPI Bandung Tahun 2014"/>
    <s v="Matematika ITB Tahun 2017"/>
    <m/>
    <m/>
    <n v="2004049203"/>
    <d v="2057-05-01T00:00:00"/>
    <s v="Pendidikan Matematika (S1)"/>
    <s v="Pendidikan Matematika dan Analisis"/>
    <s v="Ketua  Program Studi Pendidikan Matematika"/>
    <d v="2024-10-21T00:00:00"/>
    <m/>
  </r>
  <r>
    <n v="108"/>
    <s v="Anita Ekantini, M.Pd."/>
    <x v="2"/>
    <m/>
    <s v="Kulon Progo"/>
    <d v="1992-10-09T00:00:00"/>
    <s v="199210092019032018 "/>
    <s v="3401044910920001"/>
    <s v="III/c"/>
    <d v="2024-04-01T00:00:00"/>
    <n v="5"/>
    <n v="1"/>
    <s v="Lektor"/>
    <d v="2023-04-01T00:00:00"/>
    <x v="2"/>
    <s v="UNY Tahun 2015"/>
    <s v="Magister Pendidikan Sains UNY Yogyakarta Tahun 2018"/>
    <m/>
    <m/>
    <n v="2009109201"/>
    <d v="2057-11-01T00:00:00"/>
    <s v="Pendidikan Guru Madrasah Ibtidaiyah (S1)"/>
    <s v="Pendidikan Ilmu Pengetahuan Alam"/>
    <s v="Sekretaris Program Studi S1  Pendidikan Guru Madrasah Ibtidaiyah"/>
    <d v="2024-10-21T00:00:00"/>
    <s v=" "/>
  </r>
  <r>
    <n v="109"/>
    <s v="Eko Suhendro, M.Pd."/>
    <x v="1"/>
    <m/>
    <s v="Temanggung"/>
    <d v="1989-10-07T00:00:00"/>
    <s v="198910072019031006 "/>
    <s v="3323090710890002"/>
    <s v="III/c"/>
    <d v="2024-04-01T00:00:00"/>
    <n v="5"/>
    <n v="1"/>
    <s v="Lektor"/>
    <d v="2023-06-01T00:00:00"/>
    <x v="2"/>
    <s v="STAIN Salatiga Tahun 2011"/>
    <s v="Studi Islam UII Tahun 2017"/>
    <m/>
    <m/>
    <n v="2007108901"/>
    <d v="2054-11-01T00:00:00"/>
    <s v="Pendidikan Islam Anak Usia Dini (PIAUD) (S1)"/>
    <s v="Strategi Pembelajaran"/>
    <m/>
    <m/>
    <m/>
  </r>
  <r>
    <n v="110"/>
    <s v="Sumbaji Putranto, M.Pd."/>
    <x v="1"/>
    <m/>
    <s v="Kulon Progo"/>
    <d v="1993-05-27T00:00:00"/>
    <s v="199305272019031006 "/>
    <s v="3401082705930001"/>
    <s v="III/c"/>
    <d v="2024-04-01T00:00:00"/>
    <n v="5"/>
    <n v="1"/>
    <s v="Lektor"/>
    <d v="2023-01-01T00:00:00"/>
    <x v="2"/>
    <s v="UNY Tahun 2015"/>
    <s v="Pendidikan Matematika UNY Tahun 2018"/>
    <m/>
    <m/>
    <n v="2027059302"/>
    <d v="2058-06-01T00:00:00"/>
    <s v="Pendidikan Matematika (S1)"/>
    <s v="Dosen Pendidikan Matematika "/>
    <s v="Sekretaris  Program Studi Pendidikan Matematika"/>
    <d v="2024-10-21T00:00:00"/>
    <m/>
  </r>
  <r>
    <n v="111"/>
    <s v="Syaefudin, M.Pd."/>
    <x v="1"/>
    <m/>
    <s v="Purworejo"/>
    <d v="1989-10-04T00:00:00"/>
    <s v="198910042019031011  "/>
    <s v="3308052211890004"/>
    <s v="III/c"/>
    <d v="2024-04-01T00:00:00"/>
    <n v="5"/>
    <n v="1"/>
    <s v="Lektor"/>
    <d v="2023-04-01T00:00:00"/>
    <x v="2"/>
    <s v="UIN Sunan Kalijaga Tahun 2015"/>
    <s v="Pendidikan Agama Islam Konsentrasi Manajemen dan Kebijaka UIN Sunan Kalijaga Tahun 2018"/>
    <m/>
    <m/>
    <n v="2004108903"/>
    <d v="2054-10-04T00:00:00"/>
    <s v="Manajemen Pendidikan Islam (S1)"/>
    <s v="Filsafat Pendidikan"/>
    <m/>
    <m/>
    <m/>
  </r>
  <r>
    <n v="112"/>
    <s v="Retno Aliyatul Fikroh, M.Sc."/>
    <x v="2"/>
    <m/>
    <s v="Madiun"/>
    <d v="1992-04-27T00:00:00"/>
    <s v="199204272019032018 "/>
    <s v="3519036704920001"/>
    <s v="III/c"/>
    <d v="2024-04-01T00:00:00"/>
    <n v="5"/>
    <n v="1"/>
    <s v="Lektor"/>
    <d v="2023-09-01T00:00:00"/>
    <x v="2"/>
    <s v="UIN SunanKalijaga Tahun 2013"/>
    <s v="Ilmu Kimia UGM Tahun 2017"/>
    <m/>
    <m/>
    <s v="0727049201"/>
    <d v="2057-05-01T00:00:00"/>
    <s v="Pendidikan Kimia (S1)"/>
    <s v="Kimia"/>
    <s v="Sekretaris Program Studi Pendidikan Kimia"/>
    <d v="2024-10-21T00:00:00"/>
    <m/>
  </r>
  <r>
    <n v="113"/>
    <s v="Erna Wulandari, M.Sc."/>
    <x v="2"/>
    <m/>
    <s v="Bantul"/>
    <d v="1986-03-07T00:00:00"/>
    <s v="198603072019032012 "/>
    <s v="3371024703860001"/>
    <s v="III/b"/>
    <d v="2019-03-01T00:00:00"/>
    <n v="0"/>
    <n v="0"/>
    <s v="Asisten Ahli"/>
    <d v="2023-01-01T00:00:00"/>
    <x v="2"/>
    <s v="UNY Tahun 2010"/>
    <s v="Biologi UGM Tahun 2017"/>
    <m/>
    <m/>
    <n v="2007038602"/>
    <d v="2051-04-01T00:00:00"/>
    <s v="Pendidikan Biologi (S1)"/>
    <s v="Mikro Biologi"/>
    <s v="Koordinator Bidang Pendidikan Biologi pada Laboratorium Terpadu"/>
    <d v="2022-09-23T00:00:00"/>
    <m/>
  </r>
  <r>
    <n v="114"/>
    <s v="Dr. H. Zamakhsari, M.Pd"/>
    <x v="1"/>
    <m/>
    <s v="Pati"/>
    <d v="1967-06-12T00:00:00"/>
    <s v="196706121998031002"/>
    <s v="3404071206670004"/>
    <s v="IV/b"/>
    <d v="2016-10-01T00:00:00"/>
    <n v="0"/>
    <n v="0"/>
    <s v="Lektor"/>
    <d v="2023-11-01T00:00:00"/>
    <x v="1"/>
    <s v="Bahasa Arab IAIN Sunan Kalijaga Tahun 1991"/>
    <s v="Penelitian dan Evaluasi Pendidikan  UNY  Tahun 1999"/>
    <s v="Doctor of Philosophy UMY 2016"/>
    <m/>
    <m/>
    <m/>
    <s v="Pendidikan Bahasa Arab (S1)"/>
    <m/>
    <m/>
    <m/>
    <m/>
  </r>
  <r>
    <n v="115"/>
    <s v="Asrofi Hilal, S. Ag., MA."/>
    <x v="1"/>
    <s v="N 527126"/>
    <s v="Lampung Selatan"/>
    <d v="1976-02-12T00:00:00"/>
    <s v="197602122005011003"/>
    <s v="3404121202760001"/>
    <s v="III/b"/>
    <d v="2005-01-01T00:00:00"/>
    <n v="0"/>
    <n v="0"/>
    <s v="Asisten Ahli"/>
    <s v="01-11-2012"/>
    <x v="2"/>
    <s v="IAIN, PMH"/>
    <s v="UGM, 2004, Perbandingan Agama"/>
    <m/>
    <n v="132100511494"/>
    <n v="2012027601"/>
    <d v="2041-03-01T00:00:00"/>
    <s v="DPK"/>
    <s v="Bahasa Inggris"/>
    <m/>
    <m/>
    <s v="DPK STIT Yogyakarta"/>
  </r>
  <r>
    <n v="116"/>
    <s v="Nina Hamidah, S.Si.,MA"/>
    <x v="2"/>
    <s v="N 048210"/>
    <s v="Bandung"/>
    <s v="30-06-1977"/>
    <s v="197706302006042001"/>
    <s v="3217097006770003"/>
    <s v="III/b"/>
    <d v="2016-10-01T00:00:00"/>
    <n v="10"/>
    <n v="6"/>
    <s v="Asisten Ahli"/>
    <d v="2013-06-01T00:00:00"/>
    <x v="2"/>
    <s v="Kimia UGM Tahun 2001"/>
    <s v="Ilmu Kimia UGM Tahun 2012"/>
    <m/>
    <n v="142100512854"/>
    <n v="2030067701"/>
    <d v="2042-07-01T00:00:00"/>
    <s v="Pendidikan Kimia (S1)"/>
    <s v="Kependidikan  Kimia"/>
    <m/>
    <m/>
    <s v=" "/>
  </r>
  <r>
    <n v="117"/>
    <s v="Indra Fajar Nurdin, S.Pd., M.Ag."/>
    <x v="1"/>
    <m/>
    <s v="Bandung"/>
    <d v="1981-04-20T00:00:00"/>
    <s v="198104202015031003"/>
    <s v="3204132004810005"/>
    <s v="III/b"/>
    <d v="2015-03-01T00:00:00"/>
    <n v="0"/>
    <n v="0"/>
    <s v="Asisten Ahli"/>
    <d v="2017-08-01T00:00:00"/>
    <x v="2"/>
    <s v="Pendidikan Bahasa Inggris Univ. Pendidikan Indonesia Tahun  2009"/>
    <s v=" Ilmu Agama Islam UIN Sunan Gunung Djati Tahun 2013 "/>
    <m/>
    <s v="182100516030"/>
    <s v="2020048104"/>
    <d v="2046-05-01T00:00:00"/>
    <s v="Pendidikan Agama Islam (S1)"/>
    <s v="Pengajaran Kemahiran"/>
    <m/>
    <m/>
    <s v="TUGAS BELAJAR"/>
  </r>
  <r>
    <n v="118"/>
    <s v="Miftahus Sa'adah, S.Pd.I., M.Ed."/>
    <x v="2"/>
    <m/>
    <s v="Magelang"/>
    <d v="1982-10-19T00:00:00"/>
    <s v="198210192015032002"/>
    <s v="3308025910820001"/>
    <s v="III/b"/>
    <d v="2015-03-01T00:00:00"/>
    <n v="0"/>
    <n v="0"/>
    <s v="Asisten Ahli"/>
    <d v="2017-08-01T00:00:00"/>
    <x v="2"/>
    <s v="Pendidikan Bahasa Arab UIN Sunan Kalijaga Tahun  2004"/>
    <s v="Master Education Flinders University  Tahun 2008"/>
    <m/>
    <s v="182100516021"/>
    <n v="2019108203"/>
    <d v="2047-11-01T00:00:00"/>
    <s v="Manajemen Pendidikan Islam (S1)"/>
    <s v="Manajemen Pendidikan"/>
    <s v="Sekretaris  UPT Pusat Pengembangan Bahasa Masa Jabatan 2024-2028 "/>
    <d v="2024-10-31T00:00:00"/>
    <m/>
  </r>
  <r>
    <n v="119"/>
    <s v="Nira Nurwulandari, M.Pd."/>
    <x v="2"/>
    <m/>
    <s v="Blitar"/>
    <d v="1990-03-02T00:00:00"/>
    <s v="199003022019032014 "/>
    <s v="3505114203900003"/>
    <s v="III/c"/>
    <d v="2024-12-01T00:00:00"/>
    <n v="5"/>
    <n v="9"/>
    <s v="Lektor"/>
    <d v="2024-09-01T00:00:00"/>
    <x v="2"/>
    <s v="Univ. Muhammadiyah Malang Tahun 2012"/>
    <s v="Pendidikan Fisika Universitas Negeri Malang Tahun 2015"/>
    <m/>
    <m/>
    <s v="0702039001"/>
    <d v="2055-03-01T00:00:00"/>
    <s v="Pendidikan Fisika (S1)"/>
    <s v="Dosen Pendidikan Fisika Asisten Ahli"/>
    <m/>
    <m/>
    <m/>
  </r>
  <r>
    <n v="120"/>
    <s v="Nurhapsari Pradnya Paramita, M.Pd.I."/>
    <x v="2"/>
    <m/>
    <s v="Purworejo"/>
    <d v="1984-02-21T00:00:00"/>
    <s v="198402212019032011 "/>
    <s v="3471046102840001"/>
    <s v="III/b"/>
    <d v="2019-03-01T00:00:00"/>
    <n v="0"/>
    <n v="0"/>
    <s v="Lektor"/>
    <d v="2024-11-01T00:00:00"/>
    <x v="2"/>
    <s v="UIN Sunan Kalijaga Tahun 2009"/>
    <s v="Pendidikan Islam Konsentrasi Pendidikan Bahasa Arab UIN Sunan Kalijaga Tahun 2013"/>
    <m/>
    <m/>
    <n v="2121028402"/>
    <d v="2049-03-01T00:00:00"/>
    <s v="Pendidikan Bahasa Arab (S1)"/>
    <s v="Dosen Kitabah"/>
    <s v="Plt. Sekretaris Program Studi Pendidikan Bahasa Arab S1"/>
    <s v="21./10/2024"/>
    <m/>
  </r>
  <r>
    <n v="121"/>
    <s v="Heru Sulistya, M.Pd."/>
    <x v="1"/>
    <m/>
    <s v="Kulon Progo"/>
    <d v="1994-10-21T00:00:00"/>
    <s v="199410212019031009 "/>
    <s v="3401092110940001"/>
    <s v="III/b"/>
    <d v="2019-03-01T00:00:00"/>
    <n v="0"/>
    <n v="0"/>
    <s v="Asisten Ahli"/>
    <d v="2021-02-01T00:00:00"/>
    <x v="2"/>
    <s v="UIN Sunan Kalijaga Tahun 2016"/>
    <s v="Pendidikan Agama Islam Konsentrasi Manajemen dan Kebijakan Pendidikan Islam UIN Sunan Kalijaga Tahun 2018"/>
    <m/>
    <m/>
    <n v="2021109402"/>
    <d v="2059-11-01T00:00:00"/>
    <s v="Manajemen Pendidikan Islam (S1)"/>
    <s v="Manajemen Pendidikan Islam"/>
    <m/>
    <m/>
    <m/>
  </r>
  <r>
    <n v="122"/>
    <s v="Puspo Rohmi, M.Pd."/>
    <x v="2"/>
    <m/>
    <s v="Kudus"/>
    <d v="1991-03-03T00:00:00"/>
    <s v="199103032019032020 "/>
    <s v="3319044303910003"/>
    <s v="III/c"/>
    <d v="2024-12-01T00:00:00"/>
    <n v="5"/>
    <n v="9"/>
    <s v="Lektor"/>
    <d v="2024-09-01T00:00:00"/>
    <x v="2"/>
    <s v="Universitas Negeri Semarang Tahun 2012"/>
    <s v="Pendidikan Ilmu Pengetahuan Alam UPI Tahun 2015"/>
    <m/>
    <m/>
    <n v="2003039101"/>
    <d v="2056-04-01T00:00:00"/>
    <s v="Pendidikan Fisika (S1)"/>
    <s v="Pendidikan Ilmu Pengetahuan Alam"/>
    <s v="Sekretaris Program Studi Pendidikan Fisika"/>
    <d v="2024-10-21T00:00:00"/>
    <m/>
  </r>
  <r>
    <n v="123"/>
    <s v="Inggit Dyaning Wijayanti, M.Pd."/>
    <x v="2"/>
    <m/>
    <s v="Gunung Kidul"/>
    <d v="1991-12-02T00:00:00"/>
    <s v="199112022019032025 "/>
    <s v="3404074212910003"/>
    <s v="III/c"/>
    <d v="2024-12-01T00:00:00"/>
    <n v="10"/>
    <n v="9"/>
    <s v="Lektor"/>
    <d v="2024-09-01T00:00:00"/>
    <x v="2"/>
    <s v="UIN Sunan Kalijaga Tahun 2014"/>
    <s v="Pendidikan Guru Madrasah Ibtidaiyah Konsentrasi Sains UIN Sunan Kalijaga Tahun 2016"/>
    <m/>
    <m/>
    <n v="2002129102"/>
    <d v="2056-03-01T00:00:00"/>
    <s v="Pendidikan Guru Madrasah Ibtidaiyah (S1)"/>
    <s v="Kurikulum Pendidikan Dasar"/>
    <m/>
    <m/>
    <m/>
  </r>
  <r>
    <n v="124"/>
    <s v="Andhika Yahya Putra, M.Or."/>
    <x v="1"/>
    <m/>
    <s v="Karanganyar"/>
    <d v="1991-11-19T00:00:00"/>
    <s v="199111192019031011 "/>
    <s v="3313041911910002"/>
    <s v="III/b"/>
    <d v="2019-03-01T00:00:00"/>
    <n v="0"/>
    <n v="0"/>
    <s v="Asisten Ahli"/>
    <d v="2021-03-01T00:00:00"/>
    <x v="2"/>
    <s v="UNS Tahun 2013"/>
    <s v="Ilmu Keolahragaan, UNS Tahun 2018"/>
    <m/>
    <m/>
    <n v="2019119103"/>
    <d v="2057-12-01T00:00:00"/>
    <s v="Pendidikan Guru Madrasah Ibtidaiyah (S1)"/>
    <s v="Olahraga"/>
    <m/>
    <m/>
    <m/>
  </r>
  <r>
    <n v="125"/>
    <s v="Asniyah Nailasariy, M.Pd.I."/>
    <x v="2"/>
    <m/>
    <s v="Klaten"/>
    <d v="1988-08-05T00:00:00"/>
    <s v="198808052019032012 "/>
    <s v="3310064508880001"/>
    <s v="III/c"/>
    <d v="2024-12-01T00:00:00"/>
    <n v="5"/>
    <n v="9"/>
    <s v="Lektor"/>
    <d v="2024-09-01T00:00:00"/>
    <x v="2"/>
    <s v="UIN Sunan Kalijaga Tahun 2010"/>
    <s v="Pendidikan Islam Kons. Manajemen dan Kebijakan Pendidikan Islam UIN Sunan Kalijaga Tahun 2013"/>
    <m/>
    <m/>
    <n v="2005088801"/>
    <d v="2053-09-01T00:00:00"/>
    <s v="Pendidikan Agama Islam (S1)"/>
    <s v="Pengembangan Kurikulum"/>
    <s v="Sekretaris Program Studi Pendidikan Agama Islam (PAI) Masa Jabatan 2024-2028"/>
    <d v="2024-10-21T00:00:00"/>
    <m/>
  </r>
  <r>
    <n v="126"/>
    <s v="Indriyani Ma'rifah, M.Pd.I."/>
    <x v="2"/>
    <m/>
    <s v="Cilacap"/>
    <d v="1986-12-09T00:00:00"/>
    <s v="198612092019032018 "/>
    <s v="3404074912860004"/>
    <s v="III/b"/>
    <d v="2019-03-01T00:00:00"/>
    <n v="0"/>
    <n v="0"/>
    <s v="Lektor"/>
    <d v="2024-11-01T00:00:00"/>
    <x v="2"/>
    <m/>
    <s v="Pendidikan Islam Kons. Pemikiran Pendidikan Islam UIN Sunan Kalijaga Tahun 2011"/>
    <m/>
    <m/>
    <n v="2009128603"/>
    <d v="2052-01-01T00:00:00"/>
    <s v="Pendidikan Agama Islam (S1)"/>
    <s v="Ilmu Pendidikan"/>
    <m/>
    <m/>
    <m/>
  </r>
  <r>
    <n v="127"/>
    <s v="Irwanto, M.Pd."/>
    <x v="1"/>
    <m/>
    <s v="Indramayu"/>
    <d v="1990-09-07T00:00:00"/>
    <s v="199009072019031009 "/>
    <s v="3204050709900005"/>
    <s v="III/b"/>
    <d v="2019-03-01T00:00:00"/>
    <n v="0"/>
    <n v="0"/>
    <s v="Asisten Ahli"/>
    <d v="2021-02-01T00:00:00"/>
    <x v="2"/>
    <s v="UIN Sunan Gunung Djati Bandung Tahun 2013"/>
    <s v="Manajemen Pendidikan Islam UIN Sunan Gunung Djati Bandung Tahun 2018"/>
    <m/>
    <m/>
    <n v="2009079003"/>
    <d v="2055-10-01T00:00:00"/>
    <s v="Manajemen Pendidikan Islam (S1)"/>
    <s v="Ekonomi Pendidikan"/>
    <s v="Plt. Sekretaris Program Studi Magister Manajemen Pendidikan Islam "/>
    <d v="2024-10-21T00:00:00"/>
    <m/>
  </r>
  <r>
    <n v="128"/>
    <s v="Muhamad Iskhak, M.Pd."/>
    <x v="1"/>
    <m/>
    <s v="Demak"/>
    <d v="1986-12-02T00:00:00"/>
    <s v="198612022019031008 "/>
    <s v="3321010212860001"/>
    <s v="III/c"/>
    <d v="2024-12-01T00:00:00"/>
    <n v="5"/>
    <n v="9"/>
    <s v="Lektor"/>
    <d v="2024-09-01T00:00:00"/>
    <x v="2"/>
    <s v="STIE Dharma Putra Semarang Tahun 2010"/>
    <s v="Pendidikan Ekonomi Univ. Negeri Surabaya Tahun 2017"/>
    <m/>
    <m/>
    <s v="0602128602"/>
    <d v="2052-01-01T00:00:00"/>
    <s v="Manajemen Pendidikan Islam (S1)"/>
    <s v="Evaluasi Pendidikan"/>
    <s v="Sekretaris Program Studi Pendidikan Profesi Guru"/>
    <d v="2024-10-21T00:00:00"/>
    <s v=" "/>
  </r>
  <r>
    <n v="129"/>
    <s v="Norma Sidik Risdianto, S.Pd., M.Sc."/>
    <x v="1"/>
    <m/>
    <s v="Wonosobo"/>
    <d v="1987-06-30T00:00:00"/>
    <s v="198706302015031003"/>
    <s v="3307093006870004"/>
    <s v="III/c"/>
    <d v="2024-12-01T00:00:00"/>
    <n v="9"/>
    <n v="9"/>
    <s v="Lektor"/>
    <d v="2024-09-01T00:00:00"/>
    <x v="2"/>
    <s v="Pendidikan Fisika Universitas Negeri Semarang Tahun 2010"/>
    <s v="Fisika UGM Tahun 2013"/>
    <m/>
    <m/>
    <n v="2030068702"/>
    <d v="2052-07-01T00:00:00"/>
    <s v="Pendidikan Fisika (S1)"/>
    <s v="Fisika Teori"/>
    <s v="Koordinator Bidang Fisika pada Laboratorium Terpadu"/>
    <d v="2023-06-13T00:00:00"/>
    <s v=" "/>
  </r>
  <r>
    <n v="130"/>
    <s v="Rachmad Resmiyanto, S.Si., M.Sc."/>
    <x v="1"/>
    <m/>
    <s v="Klaten"/>
    <d v="1982-03-22T00:00:00"/>
    <s v="198203222015031002"/>
    <s v="3310232203820001"/>
    <s v="III/b"/>
    <d v="2015-03-01T00:00:00"/>
    <n v="0"/>
    <n v="0"/>
    <s v="Asisten Ahli"/>
    <d v="2020-10-01T00:00:00"/>
    <x v="2"/>
    <s v="Fisika UGM Tahun 2006"/>
    <s v="Fisika UGM Tahun 2014"/>
    <m/>
    <s v="222100517762"/>
    <s v="0522038201"/>
    <d v="2047-04-01T00:00:00"/>
    <s v="Pendidikan Fisika (S1)"/>
    <s v="Kurikulum Fisika Sekolah Menengah"/>
    <m/>
    <m/>
    <m/>
  </r>
  <r>
    <n v="131"/>
    <s v="Muhammad Aufal Minan, M.Pd."/>
    <x v="1"/>
    <m/>
    <s v="Jepara"/>
    <d v="1991-05-05T00:00:00"/>
    <s v="199105052019031025 "/>
    <s v="3320010505910003"/>
    <s v="III/b"/>
    <d v="2019-03-01T00:00:00"/>
    <n v="0"/>
    <n v="0"/>
    <s v="Asisten Ahli"/>
    <d v="2021-10-01T00:00:00"/>
    <x v="2"/>
    <s v="UIN Sunan Kalijaga Tahun 2015"/>
    <s v="Pendidikan Agama Islam Konsentrasi Manajemen dan Kebijaka UIN Sunan Kalijaga Tahun 2018"/>
    <m/>
    <m/>
    <s v="2005059101"/>
    <d v="2056-06-01T00:00:00"/>
    <s v="Pendidikan Agama Islam (S1)"/>
    <s v="Sejarah Kebudayaan Islam"/>
    <m/>
    <m/>
    <s v="TUGAS BELAJAR"/>
  </r>
  <r>
    <n v="132"/>
    <s v="Iva Nandya Atika, S.Pd., M.Ed."/>
    <x v="2"/>
    <m/>
    <s v="Klaten"/>
    <d v="1993-12-04T00:00:00"/>
    <s v="199312042020122011"/>
    <s v="3304064412930007"/>
    <s v="III/c"/>
    <d v="2024-12-01T00:00:00"/>
    <n v="4"/>
    <n v="0"/>
    <s v="Lektor"/>
    <d v="2024-09-01T00:00:00"/>
    <x v="2"/>
    <m/>
    <s v="Pendidikan Ilmu Pengetahuan Alam Hiroshima University Tahun 2019"/>
    <m/>
    <m/>
    <s v="2004129301"/>
    <d v="2059-01-01T00:00:00"/>
    <s v="Pendidikan Fisika (S1)"/>
    <s v="Pendidikan IPA"/>
    <s v="Ketua Program Studi Pendidikan Fisika"/>
    <d v="2024-10-21T00:00:00"/>
    <m/>
  </r>
  <r>
    <n v="133"/>
    <s v="Setia Rahmawan, M.Pd."/>
    <x v="1"/>
    <m/>
    <s v="Subang"/>
    <d v="1993-06-26T00:00:00"/>
    <s v="199306262020121005"/>
    <s v="3213012606930001"/>
    <s v="III/c"/>
    <d v="2024-12-01T00:00:00"/>
    <n v="4"/>
    <n v="0"/>
    <s v="Lektor"/>
    <d v="2022-06-01T00:00:00"/>
    <x v="2"/>
    <m/>
    <s v="Pendidikan Ilmu Pengetahuan Alam Universitas Pendidikan Indonesia Tahun 2019"/>
    <m/>
    <m/>
    <s v="2026069301"/>
    <d v="2058-07-01T00:00:00"/>
    <s v="Pendidikan Kimia (S1)"/>
    <s v="Pendidikan Sains"/>
    <m/>
    <m/>
    <m/>
  </r>
  <r>
    <n v="134"/>
    <s v="Aprillyana Dwi Utami, S.Pd., M.A."/>
    <x v="2"/>
    <m/>
    <s v="Klaten"/>
    <d v="1994-04-26T00:00:00"/>
    <s v="199404262020122014"/>
    <s v="1571076604940061"/>
    <s v="III/b"/>
    <d v="2020-12-01T00:00:00"/>
    <n v="0"/>
    <n v="0"/>
    <s v="Asisten Ahli"/>
    <d v="2022-06-01T00:00:00"/>
    <x v="2"/>
    <m/>
    <s v="Pendidikan Ilmu Pengetahuan Alam University College London Tahun 2017"/>
    <m/>
    <m/>
    <n v="2026049401"/>
    <d v="2059-05-01T00:00:00"/>
    <s v="Pendidikan Biologi (S1)"/>
    <s v="Pendidikan Sains"/>
    <m/>
    <m/>
    <s v="TUGAS BELAJAR"/>
  </r>
  <r>
    <n v="135"/>
    <s v="Devi Nurtiyasari, S.Si., M.Sc."/>
    <x v="2"/>
    <m/>
    <s v="Klaten"/>
    <d v="1991-12-31T00:00:00"/>
    <s v="199112312020122011"/>
    <s v="3310267012910004"/>
    <s v="III/b"/>
    <d v="2020-12-01T00:00:00"/>
    <n v="0"/>
    <n v="0"/>
    <s v="Asisten Ahli"/>
    <d v="2022-06-01T00:00:00"/>
    <x v="2"/>
    <m/>
    <s v="Matematika UGM Tahun 2017"/>
    <m/>
    <m/>
    <s v="2031129103"/>
    <d v="2057-01-01T00:00:00"/>
    <s v="Pendidikan Matematika (S1)"/>
    <s v="Dosen Matematika "/>
    <m/>
    <m/>
    <s v="TUGAS BELAJAR"/>
  </r>
  <r>
    <n v="136"/>
    <s v="Alfian Eko Widodo Adi Prasetyo, M.Pd."/>
    <x v="1"/>
    <m/>
    <s v="Rembang"/>
    <d v="1992-06-03T00:00:00"/>
    <s v="199206032020121010"/>
    <s v="3317010306920003"/>
    <s v="III/c"/>
    <d v="2024-12-01T00:00:00"/>
    <n v="4"/>
    <n v="0"/>
    <s v="Lektor"/>
    <d v="2024-09-01T00:00:00"/>
    <x v="2"/>
    <m/>
    <s v="Pendidikan Seni Universitas Negeri Semarang Tahun 2018"/>
    <m/>
    <m/>
    <s v="2003069203"/>
    <d v="2057-07-01T00:00:00"/>
    <s v="Pendidikan Guru Madrasah Ibtidaiyah (S1)"/>
    <s v="Seni Tari"/>
    <m/>
    <m/>
    <m/>
  </r>
  <r>
    <n v="137"/>
    <s v="Bahtiar Arbi, S.Pd., M.Pd."/>
    <x v="1"/>
    <m/>
    <s v="Magelang"/>
    <d v="1993-05-04T00:00:00"/>
    <s v="199305042020121006"/>
    <s v="3308200405930001"/>
    <s v="III/b"/>
    <d v="2020-12-01T00:00:00"/>
    <n v="0"/>
    <n v="0"/>
    <s v="Asisten Ahli"/>
    <d v="2022-11-01T00:00:00"/>
    <x v="2"/>
    <m/>
    <s v="Pendidikan Seni Universitas Negeri Semarang Tahun 2017"/>
    <m/>
    <m/>
    <s v="2004059301"/>
    <d v="2058-06-01T00:00:00"/>
    <s v="Pendidikan Islam Anak Usia Dini (PIAUD) (S1)"/>
    <s v="Seni Musik"/>
    <m/>
    <m/>
    <m/>
  </r>
  <r>
    <n v="138"/>
    <s v="Nidya Ferry Wulandari, M.Pd."/>
    <x v="2"/>
    <m/>
    <s v="Sleman"/>
    <d v="1991-08-09T00:00:00"/>
    <s v="199108092020122010"/>
    <s v="3404054908910002"/>
    <s v="III/c"/>
    <d v="2024-12-01T00:00:00"/>
    <n v="4"/>
    <n v="0"/>
    <s v="Lektor"/>
    <d v="2024-09-01T00:00:00"/>
    <x v="2"/>
    <m/>
    <s v="Pendidikan Matematika UNY Tahun 2015"/>
    <m/>
    <m/>
    <s v="2009089103"/>
    <d v="2056-09-01T00:00:00"/>
    <s v="Pendidikan Matematika (S1)"/>
    <s v="Pendidikan Matematika"/>
    <m/>
    <m/>
    <m/>
  </r>
  <r>
    <n v="139"/>
    <s v="Wed Giyarti, M.Si."/>
    <x v="2"/>
    <m/>
    <s v="Bantul"/>
    <d v="1985-03-22T00:00:00"/>
    <s v="198503222020122003"/>
    <s v="3402156203850006"/>
    <s v="III/b"/>
    <d v="2020-12-01T00:00:00"/>
    <n v="0"/>
    <n v="0"/>
    <s v="Asisten Ahli"/>
    <d v="2022-06-01T00:00:00"/>
    <x v="2"/>
    <m/>
    <s v="Matematika UI Tahun 2014"/>
    <m/>
    <m/>
    <s v="2022038503"/>
    <d v="2050-04-01T00:00:00"/>
    <s v="Pendidikan Matematika (S1)"/>
    <s v="Dosen Matematika"/>
    <s v="Koordinator Bidang Matematika pada Laboratorium Terpadu "/>
    <d v="2023-06-13T00:00:00"/>
    <m/>
  </r>
  <r>
    <n v="140"/>
    <s v="Iqbal Ramadani, M.Pd."/>
    <x v="1"/>
    <m/>
    <s v="Pekanbaru"/>
    <d v="1994-01-25T00:00:00"/>
    <s v="199401252020121004"/>
    <s v="1471092501940003"/>
    <s v="III/c"/>
    <d v="2024-12-01T00:00:00"/>
    <n v="4"/>
    <n v="0"/>
    <s v="Lektor"/>
    <d v="2024-09-01T00:00:00"/>
    <x v="2"/>
    <m/>
    <s v="Pendidikan Matematika Universitas Pendidikan Indonesia Tahun 2019"/>
    <m/>
    <m/>
    <s v="2025019401"/>
    <d v="2059-02-01T00:00:00"/>
    <s v="Pendidikan Matematika (S1)"/>
    <s v="Pendidikan Matematika"/>
    <m/>
    <m/>
    <m/>
  </r>
  <r>
    <n v="141"/>
    <s v="Ari Cahya Mawardi, M.Pd."/>
    <x v="1"/>
    <m/>
    <s v="Temanggung"/>
    <d v="1988-06-02T00:00:00"/>
    <s v="198806022019031011 "/>
    <s v="3323080206880002"/>
    <s v="III/b"/>
    <d v="2019-03-01T00:00:00"/>
    <n v="0"/>
    <n v="0"/>
    <s v="Asisten Ahli"/>
    <d v="2023-01-01T00:00:00"/>
    <x v="2"/>
    <s v="UIN Sunan Kalijaga Tahun 2011"/>
    <s v="Teknologi Pendidikan Universitas Sebelas Maret Tahun 2016"/>
    <m/>
    <m/>
    <n v="2002068803"/>
    <d v="2053-07-01T00:00:00"/>
    <s v="Pendidikan Fisika (S1)"/>
    <s v="Dosen Media Pembelajaran"/>
    <s v="Anggota ADMISI"/>
    <d v="2024-12-06T00:00:00"/>
    <m/>
  </r>
  <r>
    <n v="142"/>
    <s v="Fahrunnisa, M.Psi."/>
    <x v="2"/>
    <m/>
    <s v="Sleman"/>
    <d v="1985-11-27T00:00:00"/>
    <s v="198511272020122003"/>
    <s v="3404046711850004"/>
    <s v="III/b"/>
    <d v="2020-12-01T00:00:00"/>
    <n v="0"/>
    <n v="0"/>
    <s v="Asisten Ahli"/>
    <d v="2023-01-01T00:00:00"/>
    <x v="2"/>
    <m/>
    <s v="Psikologi UGM Tahun 2014"/>
    <m/>
    <m/>
    <s v="2027118502"/>
    <d v="2050-12-01T00:00:00"/>
    <s v="Pendidikan Islam Anak Usia Dini (PIAUD) (S1)"/>
    <s v="Bimbingan dan Konseling "/>
    <m/>
    <m/>
    <m/>
  </r>
  <r>
    <n v="143"/>
    <s v="Adhi Setiyawan, S.Pd., M.Pd."/>
    <x v="0"/>
    <m/>
    <s v="Tegal"/>
    <s v="01-09-1980"/>
    <s v="198009012008011011"/>
    <s v="3402120109800006"/>
    <s v="III/c"/>
    <d v="2018-04-01T00:00:00"/>
    <n v="10"/>
    <n v="3"/>
    <s v="Lektor"/>
    <d v="2024-09-01T00:00:00"/>
    <x v="1"/>
    <m/>
    <m/>
    <s v="Ilmu Pendidikan - Teknologi Pendidikan UNY, Tahun 2021"/>
    <m/>
    <m/>
    <d v="2045-10-01T00:00:00"/>
    <m/>
    <m/>
    <s v="Sekretaris Program Magister Pendidikan Agama Islam"/>
    <d v="2024-10-21T00:00:00"/>
    <m/>
  </r>
  <r>
    <s v="E. FAKULTAS USHULUDDIN DAN PEMIKIRAN ISLAM"/>
    <m/>
    <x v="0"/>
    <m/>
    <m/>
    <m/>
    <m/>
    <m/>
    <m/>
    <m/>
    <m/>
    <m/>
    <m/>
    <m/>
    <x v="0"/>
    <m/>
    <m/>
    <m/>
    <m/>
    <m/>
    <m/>
    <m/>
    <m/>
    <m/>
    <m/>
    <m/>
  </r>
  <r>
    <n v="1"/>
    <s v="Prof. Dr. H. Muhammad, M.Ag."/>
    <x v="1"/>
    <s v="E.894472"/>
    <s v="Yogyakarta"/>
    <d v="1959-05-15T00:00:00"/>
    <s v="195905151990011002"/>
    <s v="3471131505590003"/>
    <s v="IV/e"/>
    <d v="2024-04-01T00:00:00"/>
    <n v="34"/>
    <n v="3"/>
    <s v="Guru Besar"/>
    <d v="2006-06-01T00:00:00"/>
    <x v="1"/>
    <s v="Perbandingan Agama IAIN Sunan Kalijaga Tahun 1989"/>
    <s v="Aqidah dan Filsafat IAIN Sunan Kalijaga Tahun 1995"/>
    <s v="Program Doktor IAIN Sunan Kalijaga Tahun 2003"/>
    <s v="09210050085"/>
    <n v="2015055901"/>
    <d v="2029-06-01T00:00:00"/>
    <s v="Ilmu Al-Qur`an dan Tafsir (S2)"/>
    <s v="Tafsir"/>
    <m/>
    <m/>
    <m/>
  </r>
  <r>
    <n v="2"/>
    <s v="Prof. Syafa'atun Almirzanah, Ph.D, D.Min."/>
    <x v="2"/>
    <s v="E. 900301"/>
    <s v="Lamongan"/>
    <d v="1963-09-24T00:00:00"/>
    <s v="196309241989032003"/>
    <s v="3471036009630001"/>
    <s v="IV/e"/>
    <d v="2024-04-01T00:00:00"/>
    <n v="35"/>
    <n v="1"/>
    <s v="Guru Besar"/>
    <d v="2014-10-01T00:00:00"/>
    <x v="1"/>
    <s v="Perbandingan Agama IAIN Sunan Kalijaga Tahun 1988"/>
    <s v="Aqidah dan Filsafat IAIN Sunan Kalijaga Tahun 1995"/>
    <s v="Doctor of Philosophy, Lutheran School of Theology at Chicago, 2008"/>
    <s v="092100500206"/>
    <n v="2024096302"/>
    <d v="2033-10-01T00:00:00"/>
    <s v="Studi Agama Agama (S2)"/>
    <s v="Studi Agama "/>
    <m/>
    <m/>
    <m/>
  </r>
  <r>
    <n v="3"/>
    <s v="Prof. Dr.Phil. H.Al Makin, S.Ag, MA "/>
    <x v="1"/>
    <s v="L. 046297"/>
    <s v="Bojonegoro"/>
    <d v="1972-09-12T00:00:00"/>
    <s v="197209122001121002"/>
    <s v="3404011209720001"/>
    <s v="IV/e"/>
    <d v="2024-10-01T00:00:00"/>
    <n v="22"/>
    <n v="10"/>
    <s v="Guru Besar"/>
    <d v="2018-03-01T00:00:00"/>
    <x v="1"/>
    <s v="Tafsir Hadits IAIN Sunan Kalijaga Tahun 1996"/>
    <s v="Univ McGill Canada, Th 2000"/>
    <s v="Philosophy, The University of Heidelberg Germany, Tahun Tahun 2008"/>
    <n v="112100511000001"/>
    <n v="2012097202"/>
    <d v="2042-10-01T00:00:00"/>
    <s v="Aqidah dan Filsafat Islam (S3)"/>
    <s v="Filsafat"/>
    <m/>
    <m/>
    <m/>
  </r>
  <r>
    <n v="4"/>
    <s v="Prof. Dr. H. Abdul Mustaqim, S.Ag., M.Ag."/>
    <x v="1"/>
    <s v="G.292206"/>
    <s v="Purworejo"/>
    <d v="1972-12-04T00:00:00"/>
    <s v="197212041997031003"/>
    <s v="3402120412720003"/>
    <s v="IV/d"/>
    <d v="2020-04-01T00:00:00"/>
    <n v="23"/>
    <n v="1"/>
    <s v="Guru Besar"/>
    <d v="2019-09-01T00:00:00"/>
    <x v="1"/>
    <s v="Tafsir Hadits IAIN Sunan Kalijaga Tahun 1996"/>
    <s v="Agama Filsafat Kons. Filsafat Islam IAIN Sunan Kalijaga Tahun 1999"/>
    <s v="Studi Islam UIN Sunan Kalijaga Tahun 2007"/>
    <s v="092100500260"/>
    <n v="2004127201"/>
    <d v="2042-01-01T00:00:00"/>
    <s v="Ilmu Al-Qur`an dan Tafsir (S2)"/>
    <s v="Ulumul Qur'an"/>
    <m/>
    <m/>
    <m/>
  </r>
  <r>
    <n v="5"/>
    <s v="Prof. Dr. Sekar Ayu Aryani, M.Ag."/>
    <x v="2"/>
    <s v="E.725869"/>
    <s v="Bandung"/>
    <d v="1959-12-18T00:00:00"/>
    <s v="195912181987032001"/>
    <s v="3311125812590003"/>
    <s v="IV/e"/>
    <d v="2024-04-01T00:00:00"/>
    <n v="37"/>
    <n v="1"/>
    <s v="Guru Besar"/>
    <d v="2020-08-01T00:00:00"/>
    <x v="1"/>
    <s v="Perbandingan Agama IAIN Sunan Kalijaga Tahun 1985"/>
    <s v="Aqidah Filsafat IAIN Sunan Kalijaga Tahun 1994"/>
    <s v="Program Doktor IAIN Sunan Kalijaga 2003"/>
    <s v="092100500196"/>
    <n v="2018125901"/>
    <d v="2029-01-01T00:00:00"/>
    <s v="Studi Agama Agama (S2)"/>
    <s v="Psikologi Agama"/>
    <m/>
    <m/>
    <m/>
  </r>
  <r>
    <n v="6"/>
    <s v="Prof. Dr. Ahmad Baidowi, S.Ag,M.Si."/>
    <x v="1"/>
    <s v="G. 292207"/>
    <s v="Sleman"/>
    <d v="1969-01-20T00:00:00"/>
    <s v="196901201997031001"/>
    <s v="3404102001690002"/>
    <s v="IV/e"/>
    <d v="2024-10-01T00:00:00"/>
    <n v="27"/>
    <n v="7"/>
    <s v="Guru Besar"/>
    <d v="2022-04-01T00:00:00"/>
    <x v="1"/>
    <s v="Tafsir Hadits IAIN Sunan Kalijaga Tahun 1995"/>
    <s v="Sosiologi UGM Tahun 1999"/>
    <s v="Studi Islam UIN Sunan Kalijaga Tahun  2009"/>
    <s v="092100500262"/>
    <n v="2020016901"/>
    <d v="2039-02-01T00:00:00"/>
    <s v="Ilmu Al-Qur`an dan Tafsir (S2)"/>
    <s v="Studi Al-Qur'an"/>
    <m/>
    <m/>
    <m/>
  </r>
  <r>
    <n v="7"/>
    <s v="Prof. Fatimah, MA, Ph.D."/>
    <x v="2"/>
    <s v="E. 946983"/>
    <s v="Surakarta"/>
    <d v="1965-11-14T00:00:00"/>
    <s v="196511141992032001"/>
    <s v="3404075411650002"/>
    <s v="IV/d"/>
    <d v="2023-04-01T00:00:00"/>
    <n v="30"/>
    <n v="7"/>
    <s v="Guru Besar"/>
    <d v="2022-08-01T00:00:00"/>
    <x v="1"/>
    <s v="Aqidah Filsafat IAIN Sunan Kalijaga Tahun 1990"/>
    <s v="Islamic Studies  McGill University Tahun 1997"/>
    <s v="Islamic Studies The University Moulbourne Tahun 2004"/>
    <s v="092100500226"/>
    <n v="2014116501"/>
    <d v="2035-12-01T00:00:00"/>
    <s v="Aqidah dan Filsafat Islam (S3)"/>
    <s v="Filsafat Agama"/>
    <m/>
    <m/>
    <m/>
  </r>
  <r>
    <n v="8"/>
    <s v="Prof. Dr. Inayah Rohmaniyah,S.Ag.M.Hum, MA"/>
    <x v="2"/>
    <s v="H.009417"/>
    <s v="Banyumas"/>
    <d v="1971-10-19T00:00:00"/>
    <s v="197110191996032001"/>
    <s v="3404075910710005"/>
    <s v="IV/b"/>
    <d v="2023-10-01T00:00:00"/>
    <n v="27"/>
    <n v="7"/>
    <s v="Guru Besar"/>
    <d v="2022-08-01T00:00:00"/>
    <x v="1"/>
    <s v="Tafsir Hadits IAIN Sunan Kalijaga Tahun 1995"/>
    <s v="Ilmu Filsafat UGM Tahun 2001 / Religious Studies Arizona State University Tahun 2006"/>
    <s v="Ilmu Agama dan Lintas Budaya UGM Tahun 2013"/>
    <s v="092100500257"/>
    <n v="2019107101"/>
    <d v="2041-11-01T00:00:00"/>
    <s v="Ilmu Al-Qur`an dan Tafsir (S2)"/>
    <s v="Sosiologi Agama"/>
    <m/>
    <m/>
    <m/>
  </r>
  <r>
    <n v="9"/>
    <s v="Prof. Dr. Phil. Sahiron, MA."/>
    <x v="1"/>
    <s v="G.294460"/>
    <s v="Cirebon"/>
    <d v="1968-06-05T00:00:00"/>
    <s v="196806051994031003"/>
    <s v="3402150506680008"/>
    <s v="IV/c"/>
    <d v="2024-10-01T00:00:00"/>
    <n v="30"/>
    <n v="7"/>
    <s v="Guru Besar"/>
    <d v="2022-04-01T00:00:00"/>
    <x v="1"/>
    <s v="Tafsir Hadits IAIN Sunan Kalijaga Tahun 1993"/>
    <s v="Islamic Studies McGill University Tahun 1998"/>
    <s v="Otto Friedrich Universitat Bamberg Jerman Tahun 2006  "/>
    <s v="092100500239"/>
    <n v="2005066801"/>
    <d v="2038-07-01T00:00:00"/>
    <s v="Ilmu Al-Qur`an dan Tafsir (S2)"/>
    <s v="Ilmu Tafsir"/>
    <m/>
    <m/>
    <s v="Direktur Pendidikan Tinggi Keagamaan Islam Direktorat Jenderal Pendidikan Islam Kementerian Agama (TMT 24-12-2024)"/>
  </r>
  <r>
    <n v="10"/>
    <s v="Prof. Dr. Nurun Najwah, M.Ag."/>
    <x v="2"/>
    <s v="G. 038152"/>
    <s v="Semarang"/>
    <d v="1969-12-12T00:00:00"/>
    <s v="196912121993032004"/>
    <s v="3404095212690004"/>
    <s v="IV/d"/>
    <d v="2024-04-01T00:00:00"/>
    <n v="31"/>
    <n v="1"/>
    <s v="Guru Besar"/>
    <d v="2023-06-01T00:00:00"/>
    <x v="1"/>
    <s v="Tafsir Hadits IAIN Sunan Kalijaga Tahun 1992"/>
    <s v="Aqidah dan Filsafat IAIN Sunan Kalijaga Tahun 1997"/>
    <s v="Studi Islam UIN Sunan Kalijaga Tahun 2005"/>
    <s v="092100500307"/>
    <n v="2012126902"/>
    <d v="2039-01-01T00:00:00"/>
    <s v="Ilmu Hadis (S1)"/>
    <s v="Ilmu Hadis"/>
    <m/>
    <m/>
    <m/>
  </r>
  <r>
    <n v="11"/>
    <s v="Prof. Dr. H. Zuhri, S.Ag., M.Ag. "/>
    <x v="1"/>
    <s v="L 031074"/>
    <s v="Cirebon"/>
    <d v="1970-07-11T00:00:00"/>
    <s v="197007112001121001"/>
    <s v="3404010110770004"/>
    <s v="IV/c"/>
    <d v="2024-04-01T00:00:00"/>
    <n v="22"/>
    <n v="4"/>
    <s v="Guru Besar"/>
    <d v="2023-06-01T00:00:00"/>
    <x v="1"/>
    <s v="Peradilan Agama IAIN Sunan Kalijaga Tahun 1996"/>
    <s v="Ilmu Agama Islam IAIN Sunan Ampel Tahun 1999"/>
    <s v="Studi Islam UIN Sunan Kalijaga Tahun 2008"/>
    <s v="092100500288"/>
    <n v="2011077001"/>
    <d v="2040-08-01T00:00:00"/>
    <s v="Aqidah dan Filsafat Islam (S2)"/>
    <s v="Sosiologi Pengetahuan Islam"/>
    <s v="Ketua Program Studi Doktor Aqidah dan Filsafat Islam (AFI)"/>
    <d v="2024-10-23T00:00:00"/>
    <m/>
  </r>
  <r>
    <n v="12"/>
    <s v="Prof. Dr. Saifuddin Zuhri, S.Th.I, MA."/>
    <x v="1"/>
    <s v="P. 623365"/>
    <s v="Probolinggo"/>
    <s v="23-01-1980"/>
    <s v="198001232009011004"/>
    <s v="3402122301800004"/>
    <s v="IV/a"/>
    <s v="01-04-2023"/>
    <n v="14"/>
    <n v="3"/>
    <s v="Guru Besar"/>
    <d v="2023-06-01T00:00:00"/>
    <x v="1"/>
    <s v="Tafsir Hadis IAIN Sunan Kalijaga Tahun 2003"/>
    <s v="Perbandingan Agama UGM Tahun 2006"/>
    <s v="Ilmu Agama &amp; Lintas Budaya UGM Tahun 2015"/>
    <n v="132100511989"/>
    <s v="2023018002"/>
    <s v="01-02-2050"/>
    <s v="Ilmu Al-Qur`an dan Tafsir (S2)"/>
    <s v="Agama dan Lintas Budaya"/>
    <s v="Wakil Dekan  Bid. Akademik Fakultas  Ushuluddin dan  Pemikiran Islam Masa Jabatan 2024-2028"/>
    <d v="2024-10-14T00:00:00"/>
    <m/>
  </r>
  <r>
    <n v="13"/>
    <s v="Dr. H. Shofiyullah MZ, S.Ag, M.Ag."/>
    <x v="1"/>
    <s v="J 088814"/>
    <s v="Bangkalan"/>
    <d v="1971-05-28T00:00:00"/>
    <s v="197105282000031001"/>
    <s v="3404072805710005"/>
    <s v="IV/c"/>
    <d v="2024-04-01T00:00:00"/>
    <n v="24"/>
    <n v="1"/>
    <s v="Lektor Kepala"/>
    <d v="2007-07-01T00:00:00"/>
    <x v="1"/>
    <s v="Peradilan Agama Institut Keislaman Hasyim Asy'ari Tebu Ireng Jombang Tahun  1995"/>
    <s v="Agama Filsafat IAIN Sunan Kalijaga Tahun 1998"/>
    <s v="Studi Islam UIN Sunan Kalijaga Tahun 2009"/>
    <s v="092100500282"/>
    <n v="2028057102"/>
    <d v="2036-06-01T00:00:00"/>
    <s v="Aqidah dan Filsafat Islam (S2)"/>
    <s v="Filsafat Hukum Islam"/>
    <m/>
    <m/>
    <m/>
  </r>
  <r>
    <n v="14"/>
    <s v="Drs. Rahmat Fajri, M.Ag. "/>
    <x v="1"/>
    <s v="G. 289531"/>
    <s v="Kebumen"/>
    <d v="1968-02-26T00:00:00"/>
    <s v="196802261995031001"/>
    <s v="3404012602680002"/>
    <s v="IV/b"/>
    <d v="2024-04-01T00:00:00"/>
    <n v="29"/>
    <n v="1"/>
    <s v="Lektor Kepala"/>
    <d v="2007-07-01T00:00:00"/>
    <x v="2"/>
    <s v="Perbandingan Agama IAIN Sunan Kalijaga Tahun 1993"/>
    <s v="Agama dan Filsafat Kons. Hubungan Antar Agama UIN Sunan Kalijaga Tahun 2005"/>
    <m/>
    <s v="092100500314"/>
    <n v="2026026802"/>
    <d v="2033-03-01T00:00:00"/>
    <s v="Studi Agama-Agama (S1)"/>
    <s v="Ilmu Sosiologi Agama"/>
    <m/>
    <m/>
    <m/>
  </r>
  <r>
    <n v="15"/>
    <s v="Drs. H. Mohamad Yusup, M.S.I"/>
    <x v="1"/>
    <s v="G.141822"/>
    <s v="Jati Rogo"/>
    <d v="1960-02-07T00:00:00"/>
    <s v="196002071994031001"/>
    <s v="3471130702600002"/>
    <s v="IV/b"/>
    <d v="2024-04-01T00:00:00"/>
    <n v="30"/>
    <n v="1"/>
    <s v="Lektor Kepala"/>
    <d v="2008-03-01T00:00:00"/>
    <x v="1"/>
    <s v="Tafsir dan Hadits IAIN Sunan Kalijaga Tahun 1988"/>
    <s v="IAIN/Ekonomi Islam, Th 2000"/>
    <s v="IAIN Tahun 2003. "/>
    <s v="092100500243"/>
    <n v="2007026001"/>
    <d v="2025-03-01T00:00:00"/>
    <s v="Ilmu al-Qur'an dan Tafsir (S1)"/>
    <s v="Tafsir Hadist"/>
    <m/>
    <m/>
    <m/>
  </r>
  <r>
    <n v="16"/>
    <s v="Dr. Alim Roswantoro, M.Ag."/>
    <x v="1"/>
    <s v="H. 009420"/>
    <s v="Karanganyar"/>
    <d v="1968-12-08T00:00:00"/>
    <s v="196812081998031002"/>
    <s v="3404100812680001"/>
    <s v="IV/c"/>
    <d v="2024-04-01T00:00:00"/>
    <n v="26"/>
    <n v="1"/>
    <s v="Lektor Kepala"/>
    <d v="2008-03-01T00:00:00"/>
    <x v="1"/>
    <s v="Aqidah Filsafat IAIN Sunan Kalijaga Tahun 1995"/>
    <s v="Agama dan Filsafat Kons. Studi Al-qu'an dan Hadis UIN Sunan Kalijaga Tahun 2009"/>
    <s v="Studi Islam UIN Sunan Kalijaga Tahun 2007"/>
    <s v="092100500274"/>
    <n v="2008126802"/>
    <d v="2034-01-01T00:00:00"/>
    <s v="Aqidah dan Filsafat Islam (S3)"/>
    <s v="Filsafat"/>
    <m/>
    <m/>
    <m/>
  </r>
  <r>
    <n v="17"/>
    <s v="Dr. Moh. Soehadha,S.Sos.M.Hum."/>
    <x v="1"/>
    <s v="J 012482"/>
    <s v="Klaten"/>
    <d v="1972-04-17T00:00:00"/>
    <s v="197204171999031003"/>
    <s v="3404101704720003"/>
    <s v="IV/c"/>
    <d v="2020-04-01T00:00:00"/>
    <n v="21"/>
    <n v="1"/>
    <s v="Lektor Kepala"/>
    <d v="2008-04-01T00:00:00"/>
    <x v="1"/>
    <s v="Antropologi UGM Tahun 1995"/>
    <s v="Antropologi UGM Tahun 2003"/>
    <s v="Ilmu-ilmu Humaniora UGM Tahun 2010"/>
    <s v="092100500279"/>
    <n v="2017047201"/>
    <d v="2037-05-01T00:00:00"/>
    <s v="Sosiologi Agama (S1)"/>
    <s v="Antropologi"/>
    <m/>
    <m/>
    <m/>
  </r>
  <r>
    <n v="18"/>
    <s v="Dr. Fahruddin Faiz, S.Ag ,M.Ag."/>
    <x v="1"/>
    <s v="J. 091915"/>
    <s v="Mojokerto"/>
    <d v="1975-08-16T00:00:00"/>
    <s v="197508162000031001"/>
    <s v="3404071608760008"/>
    <s v="IV/d"/>
    <d v="2024-04-01T00:00:00"/>
    <n v="24"/>
    <n v="1"/>
    <s v="Lektor Kepala"/>
    <d v="2009-06-01T00:00:00"/>
    <x v="1"/>
    <s v="Aqidah Filsafat IAIN Sunan Kalijaga Tahun 1998"/>
    <s v="Agama dan Filsafat Kons. Filsafat Islam IAIN Sunan Kalijaga Tahun 2001"/>
    <s v="Studi Islam UIN Sunan Kalijaga Tahun 2015"/>
    <n v="102100504659"/>
    <n v="2016087501"/>
    <d v="2040-09-01T00:00:00"/>
    <s v="Aqidah dan Filsafat Islam (S3)"/>
    <s v="Hermeneutika"/>
    <m/>
    <m/>
    <m/>
  </r>
  <r>
    <n v="19"/>
    <s v="Prof. Ahmad Muttaqin, S.Ag, M.Ag., MA, Ph.D"/>
    <x v="1"/>
    <s v="J. 050004"/>
    <s v="Gunung Kidul"/>
    <d v="1972-04-14T00:00:00"/>
    <s v="197204141999031002"/>
    <s v="3403101404720002"/>
    <s v="IV/c"/>
    <d v="2024-08-01T00:00:00"/>
    <n v="25"/>
    <n v="5"/>
    <s v="Guru Besar"/>
    <d v="2023-10-01T00:00:00"/>
    <x v="1"/>
    <s v="Perbandingan Agama IAIN Sunan Kalijaga Tahun 1996"/>
    <s v="Religous Studies Florida International University  Tahun 2005"/>
    <s v="Sosiologi Agama University of Western Sydney Tahun 2012"/>
    <n v="122100509790"/>
    <n v="2014047201"/>
    <d v="2042-05-01T00:00:00"/>
    <s v="Studi Agama Agama (S2)"/>
    <s v="Studi Agama Agama"/>
    <m/>
    <m/>
    <m/>
  </r>
  <r>
    <n v="20"/>
    <s v="Dr. Ustadi Hamsah,S.Ag., M.Ag."/>
    <x v="1"/>
    <s v="J. 091916"/>
    <s v="Klaten"/>
    <d v="1974-11-06T00:00:00"/>
    <s v="197411062000031001"/>
    <s v="3404100611740002"/>
    <s v="IV/c"/>
    <d v="2024-04-01T00:00:00"/>
    <n v="24"/>
    <n v="1"/>
    <s v="Lektor Kepala"/>
    <d v="2009-10-01T00:00:00"/>
    <x v="1"/>
    <s v="Perbandingan Agama IAIN Sunan Kalijaga Tahun 1999"/>
    <s v="Agama dan Filsafat Kons. Hubungan Antar Agama IAIN Sunan Kalijaga Tahun 2003"/>
    <s v="Studi Islam UIN Sunan Kalijaga Tahun 2012"/>
    <n v="102100504769"/>
    <n v="2006117402"/>
    <d v="2039-12-01T00:00:00"/>
    <s v="Studi Agama Agama (S2)"/>
    <s v="Ilmu Hubungan Antar Agama"/>
    <m/>
    <m/>
    <m/>
  </r>
  <r>
    <n v="21"/>
    <s v="Dr. Indal Abror, M.Ag"/>
    <x v="1"/>
    <s v="G.013074"/>
    <s v="Cilacap"/>
    <d v="1968-08-05T00:00:00"/>
    <s v="196808051993031007"/>
    <s v="3404100508680006"/>
    <s v="IV/b"/>
    <d v="2011-04-01T00:00:00"/>
    <n v="18"/>
    <n v="1"/>
    <s v="Lektor Kepala"/>
    <d v="2010-05-01T00:00:00"/>
    <x v="1"/>
    <s v="Tafsir Hadits IAIN Sunan Kalijaga Tahun 1992"/>
    <s v="Aqidah Filsafat IAIN Sunan Kalijaga Tahun 1998"/>
    <s v="Studi Islam UIN Sunan Kalijaga Tahun 2004"/>
    <s v="092100500230"/>
    <n v="2005086801"/>
    <d v="2033-09-01T00:00:00"/>
    <s v="Ilmu Hadis (S1)"/>
    <s v="Tafsir Hadist"/>
    <s v="Ketua Program Studi S1 Ilmu Hadis"/>
    <d v="2024-10-23T00:00:00"/>
    <m/>
  </r>
  <r>
    <n v="22"/>
    <s v="Muh  Fatkhan, S.Ag ,M.Hum."/>
    <x v="1"/>
    <s v="J. 012484"/>
    <s v="Magelang"/>
    <d v="1972-03-28T00:00:00"/>
    <s v="197203281999031002"/>
    <s v="3308092803720001"/>
    <s v="IV/c"/>
    <d v="2024-04-01T00:00:00"/>
    <n v="25"/>
    <n v="1"/>
    <s v="Lektor Kepala"/>
    <d v="2010-10-01T00:00:00"/>
    <x v="2"/>
    <s v="Sejarah dan Kebudayaan Islam IAIN Sunan Kalijaga Tahun 1997 "/>
    <s v="Sejarah UGM Tahun 2003"/>
    <s v=" "/>
    <s v="092100500320"/>
    <n v="2028037201"/>
    <d v="2037-04-01T00:00:00"/>
    <s v="Aqidah dan Filsafat Islam (S1)"/>
    <s v="Sejarah Islam Indonesia"/>
    <s v="Ketua Program Studi Magister Aqidah dan Filsafat Islam "/>
    <d v="2024-10-23T00:00:00"/>
    <m/>
  </r>
  <r>
    <n v="23"/>
    <s v="Dr. Afdawaiza, S.Ag ,M.Ag."/>
    <x v="1"/>
    <s v="J. 012483"/>
    <s v="Muara Panas"/>
    <d v="1974-08-18T00:00:00"/>
    <s v="197408181999031002"/>
    <s v="3404101808740004"/>
    <s v="IV/b"/>
    <d v="2024-04-01T00:00:00"/>
    <n v="25"/>
    <n v="1"/>
    <s v="Lektor Kepala"/>
    <d v="2013-05-01T00:00:00"/>
    <x v="1"/>
    <s v="Peradilan Agama IAIN Sunan Kalijaga Tahun 1998"/>
    <s v="Hukum Islam Kons. Muamalat Tahun 2003"/>
    <s v="Studi Islam UIN Sunan Kalijaga Tahun 2017"/>
    <n v="102100504636"/>
    <n v="2018087401"/>
    <d v="2039-09-01T00:00:00"/>
    <s v="Ilmu al-Qur'an dan Tafsir (S1)"/>
    <s v="Ushul Fiqih"/>
    <m/>
    <m/>
    <m/>
  </r>
  <r>
    <n v="24"/>
    <s v="Dr. Muhammad Taufik, S.Ag., M.A."/>
    <x v="1"/>
    <s v="H. 006960"/>
    <s v="Bangkinang"/>
    <d v="1971-06-16T00:00:00"/>
    <s v="197106161997031003"/>
    <s v="3471141606710001"/>
    <s v="IV/a"/>
    <d v="2011-04-01T00:00:00"/>
    <n v="14"/>
    <n v="1"/>
    <s v="Lektor Kepala"/>
    <d v="2019-09-01T00:00:00"/>
    <x v="1"/>
    <s v="Aqidah dan Filsafat IAIN Sunan Kalijaga Tahun 1996"/>
    <s v="Agama dan Filsafat Kons. Filsafat Islam UIN Sunan Kalijaga Tahun 2003"/>
    <s v="Studi Islam UIN Sunan Kalijaga Tahun 2011"/>
    <n v="142100512839"/>
    <n v="2016067102"/>
    <d v="2037-01-01T00:00:00"/>
    <s v="Aqidah dan Filsafat Islam (S3)"/>
    <s v="Filsafat"/>
    <m/>
    <m/>
    <m/>
  </r>
  <r>
    <n v="25"/>
    <s v="Dr. Masroer, S. Ag., M. Si."/>
    <x v="1"/>
    <s v="M 068085"/>
    <s v="Kendal"/>
    <d v="1969-10-29T00:00:00"/>
    <s v="196910292005011001"/>
    <s v="3404102910690002"/>
    <s v="IV/b"/>
    <d v="2024-06-01T00:00:00"/>
    <n v="28"/>
    <n v="0"/>
    <s v="Lektor Kepala"/>
    <d v="2019-09-01T00:00:00"/>
    <x v="1"/>
    <s v="Bahasa dan Sastra Arab IAIN Sunan Kalijaga Tahun 1995"/>
    <s v="Sosiologi Agama Universitas Kristen Satya Wacana Tahun 2000"/>
    <s v="Sosiologi Agama Universitas Kristen Satya Wacana Tahun 2015  "/>
    <n v="102100504687"/>
    <n v="2029106902"/>
    <d v="2034-11-01T00:00:00"/>
    <s v="Sosiologi Agama (S1)"/>
    <s v="Sosiologi Agama"/>
    <m/>
    <m/>
    <m/>
  </r>
  <r>
    <n v="26"/>
    <s v="Dr. Ahmad Salehudin, S.Th.I.,M.A."/>
    <x v="1"/>
    <s v="P 437833"/>
    <s v="Jember"/>
    <s v="05-04-1978"/>
    <s v="197804052009011010"/>
    <s v="3519010504780003"/>
    <s v="IV/b"/>
    <s v="01-10-2024"/>
    <n v="15"/>
    <n v="9"/>
    <s v="Lektor Kepala"/>
    <d v="2019-12-01T00:00:00"/>
    <x v="1"/>
    <s v="Perbandingan Agama IAIN Sunan Kalijaga Tahun 2002"/>
    <s v="Ilmu Perbandingan Agama UGM Tahun 2006"/>
    <s v="Inter-Religious Studies UGM Tahun 2018"/>
    <n v="122100509795"/>
    <n v="2005047802"/>
    <s v="01-05-2043"/>
    <s v="Studi Agama-Agama (S1)"/>
    <s v="Antropologi Agama"/>
    <s v="Wakil Dekan  Bid. Kemahasiswaan dan Kerjasama Fakultas  Ushuluddin dan Pemikiran Islam Masa Jabatan 2024-2028"/>
    <d v="2024-10-14T00:00:00"/>
    <m/>
  </r>
  <r>
    <n v="27"/>
    <s v="Dr. Roma Ulinnuha, S.S., M. Hum"/>
    <x v="1"/>
    <s v="N. 048208"/>
    <s v="Pati"/>
    <d v="1974-09-04T00:00:00"/>
    <s v="197409042006041002"/>
    <s v="3402160409740003"/>
    <s v="IV/a"/>
    <d v="2024-04-01T00:00:00"/>
    <n v="18"/>
    <n v="0"/>
    <s v="Lektor Kepala"/>
    <d v="2022-10-01T00:00:00"/>
    <x v="1"/>
    <s v="Bahasa dan Sastra Inggris UNDIP Tahun 1999"/>
    <s v="Pengkajian Amerika UGM Tahun 2005"/>
    <s v="Ilmu Agama dan Lintas Budaya UGM Tahun 2013"/>
    <n v="102100504733"/>
    <n v="2004097402"/>
    <d v="2039-10-01T00:00:00"/>
    <s v="Studi Islam "/>
    <s v="Perbandingan Agama"/>
    <m/>
    <m/>
    <m/>
  </r>
  <r>
    <n v="28"/>
    <s v="Dr. RR.Siti Kurnia Widiastuti, S.Ag, M.Pd., MA."/>
    <x v="2"/>
    <s v="M 136390"/>
    <s v="Kulon Progo"/>
    <d v="1974-09-19T00:00:00"/>
    <s v="197409192005012001"/>
    <s v="3402125909740002"/>
    <s v="IV/b"/>
    <d v="2023-04-01T00:00:00"/>
    <n v="18"/>
    <n v="3"/>
    <s v="Lektor Kepala"/>
    <d v="2020-12-01T00:00:00"/>
    <x v="1"/>
    <m/>
    <s v="Penelitian dan Evaluasi Pendidikan UNY Tahun 2004 / Social Justice In Intercultural Relations United State of America 2007"/>
    <s v="Agama dan Lintas Budaya UGM Tahun 2017"/>
    <n v="112100511000002"/>
    <n v="2019097402"/>
    <d v="2039-10-01T00:00:00"/>
    <s v="Sosiologi Agama (S1)"/>
    <s v="Metodologi Penelitian"/>
    <m/>
    <m/>
    <m/>
  </r>
  <r>
    <n v="29"/>
    <s v="Dr. Robby Habiba Abror, S.Ag., M.Hum."/>
    <x v="1"/>
    <s v="P. 439499"/>
    <s v="Surabaya"/>
    <s v="23-03-1978"/>
    <s v="197803232007101003"/>
    <s v="3404122303780008"/>
    <s v="IV/b"/>
    <d v="2024-04-01T00:00:00"/>
    <n v="19"/>
    <n v="5"/>
    <s v="Lektor Kepala"/>
    <d v="2021-01-01T00:00:00"/>
    <x v="1"/>
    <s v="Aqidah Filsafat IAIN Sunan Kalijaga Tahun 2001"/>
    <s v="Ilmu Filsafat UGM Tahun 2004"/>
    <s v="Ilmu Kajian Budaya dan Media UGM Tahun 2014"/>
    <n v="112100511180006"/>
    <n v="2023037804"/>
    <s v="01-04-2043"/>
    <s v="Aqidah dan Filsafat Islam (S2)"/>
    <s v="Filsafat "/>
    <s v="Dekan Fak.  Ushuluddin dan Pemikiran Islam Masa Jabatan 2024 - 2028"/>
    <d v="2024-09-18T00:00:00"/>
    <m/>
  </r>
  <r>
    <n v="30"/>
    <s v="Dr. H. Agung Danarta, M.Ag "/>
    <x v="1"/>
    <s v="G.278179"/>
    <s v="Kulon Progo"/>
    <d v="1968-01-24T00:00:00"/>
    <s v="196801241994031001"/>
    <s v="3401052401680002"/>
    <s v="IV/a"/>
    <d v="2024-04-01T00:00:00"/>
    <n v="30"/>
    <n v="1"/>
    <s v="Lektor Kepala"/>
    <d v="2023-08-01T00:00:00"/>
    <x v="1"/>
    <s v="Tafsir Hadits IAIN Sunan Kalijaga Tahun 1993"/>
    <s v="Ilmu Agama Islam IAIN Alauddin Ujung Pandang Tahun 1997"/>
    <s v="Studi Islam UIN Sunan Kalijaga 2008 "/>
    <s v="092100500240"/>
    <n v="2024016801"/>
    <d v="2033-02-01T00:00:00"/>
    <s v="Ilmu Hadis (S1)"/>
    <s v="Tafsir Hadist"/>
    <m/>
    <m/>
    <m/>
  </r>
  <r>
    <n v="31"/>
    <s v="Drs. Muhammad Mansur, M.Ag"/>
    <x v="1"/>
    <s v="G  013073"/>
    <s v="Kebumen"/>
    <d v="1968-01-28T00:00:00"/>
    <s v="196801281993031001"/>
    <s v="3404092801680003"/>
    <s v="III/d"/>
    <d v="2017-10-01T00:00:00"/>
    <n v="24"/>
    <n v="7"/>
    <s v="Lektor"/>
    <d v="2003-10-01T00:00:00"/>
    <x v="2"/>
    <s v="Tafsir Hadits IAIN Sunan Kalijaga Tahun 1992"/>
    <s v="Aqidah Filsafat IAIN Sunan Kalijaga Tahun 2002"/>
    <m/>
    <n v="102100504697"/>
    <n v="2028016801"/>
    <d v="2033-02-01T00:00:00"/>
    <s v="Ilmu al-Qur'an dan Tafsir (S1)"/>
    <s v="Tafsir"/>
    <m/>
    <m/>
    <m/>
  </r>
  <r>
    <n v="32"/>
    <s v="Dadi Nurhaedi,S.Ag.M.Si."/>
    <x v="1"/>
    <s v="G. 313917"/>
    <s v="Kuningan"/>
    <d v="1971-12-12T00:00:00"/>
    <s v="197112121997031002"/>
    <s v="3404081212710006"/>
    <s v="III/d"/>
    <d v="2008-10-01T00:00:00"/>
    <n v="11"/>
    <n v="7"/>
    <s v="Lektor"/>
    <d v="2004-10-01T00:00:00"/>
    <x v="2"/>
    <s v="Tafsir Hadits IAIN Sunan Kalijaga Tahun 1996"/>
    <s v="Sosiologi UGM Tahun 2001"/>
    <m/>
    <s v="092100500261"/>
    <n v="2012127103"/>
    <d v="2037-01-01T00:00:00"/>
    <s v="Ilmu Hadis (S1)"/>
    <s v="Ulumul Hadist"/>
    <m/>
    <m/>
    <m/>
  </r>
  <r>
    <n v="33"/>
    <s v="Muhammad Hidayat Noor, S.Ag, M.Ag. "/>
    <x v="1"/>
    <s v="J 050005"/>
    <s v="Bantul"/>
    <d v="1971-09-01T00:00:00"/>
    <s v="197109011999031002"/>
    <s v="3402120109710007"/>
    <s v="III/c"/>
    <d v="2007-04-01T00:00:00"/>
    <n v="8"/>
    <n v="7"/>
    <s v="Lektor"/>
    <d v="2007-09-01T00:00:00"/>
    <x v="2"/>
    <s v="Tafsir Hadits IAIN Sunan Kalijaga Tahun 1998"/>
    <s v="Agama dan Filsafat Kons. Hubungan Antar Agama UIN Sunan Kalijaga Tahun 2005"/>
    <m/>
    <n v="102100504696"/>
    <n v="2001097101"/>
    <d v="2036-10-01T00:00:00"/>
    <s v="Ilmu al-Qur'an dan Tafsir (S1)"/>
    <s v="Al-Qur'an / Ulumul Qur'an"/>
    <m/>
    <m/>
    <m/>
  </r>
  <r>
    <n v="34"/>
    <s v="Dr. Munawar Ahmad, SS, M.Si."/>
    <x v="1"/>
    <s v="L. 169552"/>
    <s v="Bandung"/>
    <d v="1969-10-17T00:00:00"/>
    <s v="196910172002121001"/>
    <s v="3402091710690001"/>
    <s v="III/d"/>
    <d v="2011-10-01T00:00:00"/>
    <n v="8"/>
    <n v="10"/>
    <s v="Lektor"/>
    <d v="2009-06-01T00:00:00"/>
    <x v="1"/>
    <s v="Filsafat UGM Tahun 1995"/>
    <s v="Ilmu Politik UGM Tahun 2002"/>
    <s v="Ilmu Politik UGM Tahun 2007"/>
    <n v="102100504707"/>
    <n v="2017106902"/>
    <d v="2034-11-01T00:00:00"/>
    <s v="Studi Agama Agama (S2)"/>
    <s v="Ilmu Politik"/>
    <s v="Wakil Dekan  Bid. Administrasi Umum, Perencanaan dan Keuangan Fakultas  Ushuluddin dan  Pemikiran Islam Masa Jabatan 2024-2028"/>
    <d v="2024-10-14T00:00:00"/>
    <m/>
  </r>
  <r>
    <n v="35"/>
    <s v="Dr. Adib Sofia, S.S., M. Hum."/>
    <x v="2"/>
    <s v="N 046757"/>
    <s v="Yogyakarta"/>
    <s v="15-01-1978"/>
    <s v="197801152006042001"/>
    <s v="3404115501780002"/>
    <s v="IV/a"/>
    <d v="2024-06-01T00:00:00"/>
    <n v="18"/>
    <n v="2"/>
    <s v="Lektor Kepala"/>
    <d v="2012-12-01T00:00:00"/>
    <x v="1"/>
    <s v="Sastra Indonesia UGM Tahun 2002"/>
    <s v="Sastra UGM Tahun 2005"/>
    <s v="lmu-Ilmu Humaniora (Sastra) UGM Tahun 2016"/>
    <n v="102100504634"/>
    <n v="2015017802"/>
    <d v="2043-02-01T00:00:00"/>
    <s v="Sosiologi Agama (S1)"/>
    <s v="Filologi"/>
    <m/>
    <m/>
    <m/>
  </r>
  <r>
    <n v="36"/>
    <s v="Dr. Mutiullah, S.Fil.I., M.Hum."/>
    <x v="1"/>
    <s v="N 046756"/>
    <s v="Sumenep"/>
    <s v="13-12-1979"/>
    <s v="197912132006041005"/>
    <s v="1119141312790006"/>
    <s v="III/d"/>
    <d v="2024-04-01T00:00:00"/>
    <n v="18"/>
    <n v="0"/>
    <s v="Lektor"/>
    <d v="2011-12-01T00:00:00"/>
    <x v="1"/>
    <s v="Akidah Filsafat IAIN Sunan Kalijaga Tahun 2002"/>
    <s v="Ilmu Filsafat UGM Tahun 2005"/>
    <s v="Ilmu Filsafat UGM Tahun 2013"/>
    <n v="102100504712"/>
    <n v="2013127902"/>
    <d v="2045-01-01T00:00:00"/>
    <s v="Aqidah dan Filsafat Islam (S2)"/>
    <s v="Filsafat Barat"/>
    <s v="Ketua Program Studi S1 Studi Islam"/>
    <d v="2024-10-23T00:00:00"/>
    <m/>
  </r>
  <r>
    <n v="37"/>
    <s v="Khairullah Zikri.S.Ag.MA.St.Rel"/>
    <x v="1"/>
    <s v="I.O27751"/>
    <s v="Kuala Tungkal"/>
    <d v="1974-05-25T00:00:00"/>
    <s v="197405251998031005"/>
    <s v="3402122505740005"/>
    <s v="III/d"/>
    <d v="2024-10-01T00:00:00"/>
    <n v="26"/>
    <n v="7"/>
    <s v="Lektor"/>
    <d v="2012-07-01T00:00:00"/>
    <x v="2"/>
    <s v="dakwah IAIN Sultan Thaha Saifuddin Jambi Tahun 1996"/>
    <s v="Studies in Religion The University of Queensland Tahun 2000"/>
    <m/>
    <n v="102100504675"/>
    <n v="2025057401"/>
    <d v="2039-06-01T00:00:00"/>
    <s v="Studi Agama-Agama (S1)"/>
    <s v="Ilmu Perbandingan Agama"/>
    <s v="Sekretaris Program Studi S1 Studi Agama-Agama"/>
    <d v="2024-10-23T00:00:00"/>
    <m/>
  </r>
  <r>
    <n v="38"/>
    <s v="Dr. Imam Iqbal, S.Fil.I, M.S.I."/>
    <x v="1"/>
    <s v="P. 167933"/>
    <s v="Bukittinggi"/>
    <s v="29-06-1978"/>
    <s v="197806292008011003"/>
    <s v="3471032906780001"/>
    <s v="III/d"/>
    <d v="2018-10-01T00:00:00"/>
    <n v="10"/>
    <n v="9"/>
    <s v="Lektor"/>
    <d v="2013-03-01T00:00:00"/>
    <x v="1"/>
    <s v="Aqidah Filsafat UIN Sunan Kalijaga Tahun 2005"/>
    <s v="Agama dan Filsafat Kons. Filsafat Islam UIN Sunan Kalijaga Tahun 2007"/>
    <s v="Studi Islam UIN Sunan Kalijaga Tahun 2019"/>
    <n v="112100511180005"/>
    <n v="2029067802"/>
    <s v="01-07-2043"/>
    <s v="Aqidah dan Filsafat Islam (S2)"/>
    <s v="Filsafat Islam"/>
    <m/>
    <m/>
    <m/>
  </r>
  <r>
    <n v="39"/>
    <s v="Dr. Dian Nur Anna, S.Ag, M.A."/>
    <x v="2"/>
    <s v="N 527148"/>
    <s v="Sleman"/>
    <s v="16-03-1976"/>
    <s v="197603162007012023"/>
    <s v="3404145603760001"/>
    <s v="III/d"/>
    <s v="01-04-2024"/>
    <n v="19"/>
    <n v="7"/>
    <s v="Lektor"/>
    <d v="2015-07-01T00:00:00"/>
    <x v="1"/>
    <s v="Aqidah Filsafat IAIN Sunan Kalijaga Tahun 2000"/>
    <s v="Ilmu Perbandingan Agama UGM Tahun 2004"/>
    <s v="Studi Islam UIN Sunan Kalijaga Tahun 2016"/>
    <n v="112100513420026"/>
    <n v="2016037602"/>
    <s v="01-04-2041"/>
    <s v="Studi Agama-Agama (S1)"/>
    <s v="Studi Agama Agama"/>
    <s v="Ketua Program Studi Magister Studi Agama-Agama"/>
    <d v="2024-10-23T00:00:00"/>
    <m/>
  </r>
  <r>
    <n v="40"/>
    <s v="Roni Ismail, S.Th.I., M.S.I."/>
    <x v="1"/>
    <s v="Q. 151241"/>
    <s v="Garut"/>
    <d v="1980-02-28T00:00:00"/>
    <s v="198002282011011003"/>
    <s v="3404072802800015"/>
    <s v="III/d"/>
    <d v="2019-04-01T00:00:00"/>
    <n v="8"/>
    <n v="3"/>
    <s v="Lektor"/>
    <d v="2015-08-01T00:00:00"/>
    <x v="2"/>
    <s v="Perbandingan Agama UIN Sunan Kalijaga Tahun 2005"/>
    <s v="Agama dan Filsafat Kons. Studi Islam UIN Sunan Kalijaga Tahun  2010"/>
    <s v=" "/>
    <n v="132100511988"/>
    <n v="2028028001"/>
    <d v="2045-03-01T00:00:00"/>
    <s v="Studi Agama-Agama (S1)"/>
    <s v="Psikologi Agama"/>
    <s v="Ketua Program Studi S1 Studi Agama-Agama"/>
    <d v="2024-10-23T00:00:00"/>
    <m/>
  </r>
  <r>
    <n v="41"/>
    <s v="Subkhani Kusuma Dewi, M.A."/>
    <x v="2"/>
    <s v="  "/>
    <s v="Blitar"/>
    <d v="1981-01-20T00:00:00"/>
    <s v="198101202015032002"/>
    <s v="3572016001810003"/>
    <s v="III/d"/>
    <d v="2022-10-01T00:00:00"/>
    <n v="7"/>
    <n v="7"/>
    <s v="Lektor"/>
    <d v="2019-03-01T00:00:00"/>
    <x v="2"/>
    <s v="Aqidah Filsafat UIN Sunan Kalijaga Tahun 2005"/>
    <s v="Agama dan Lintas Budaya UGM Tahun 2009"/>
    <m/>
    <s v="172100514769"/>
    <n v="2020018103"/>
    <s v="01-02-2046"/>
    <s v="Ilmu Hadis (S1)"/>
    <s v="Hadits dan Sosial Budaya"/>
    <m/>
    <m/>
    <s v="TUGAS BELAJAR"/>
  </r>
  <r>
    <n v="42"/>
    <s v="Lien Iffah Naf'atu Fina, M.Hum."/>
    <x v="2"/>
    <s v=" "/>
    <s v="Tulungagung"/>
    <d v="1985-06-05T00:00:00"/>
    <s v="198506052015032002"/>
    <s v="3674054506850006"/>
    <s v="III/c"/>
    <d v="2020-10-01T00:00:00"/>
    <n v="5"/>
    <n v="7"/>
    <s v="Lektor"/>
    <d v="2019-03-01T00:00:00"/>
    <x v="2"/>
    <s v="Tafsir dan Hadis UIN Sunan Kalijaga Tahun 2009"/>
    <s v="Agama dan Filsafat Kons. Studi Al-Qur'an dan Hadis UIN Sunan Kalijaga Tahun 2011"/>
    <m/>
    <n v="192100517416"/>
    <s v="2005068501"/>
    <s v="01-07-2050"/>
    <s v="Ilmu al-Qur'an dan Tafsir (S1)"/>
    <s v="Ilmu al-Qur'an dan Tafsir"/>
    <m/>
    <m/>
    <s v="TUGAS BELAJAR"/>
  </r>
  <r>
    <n v="43"/>
    <s v="Dr. Ali Imron, S.Th.I., M.S.I."/>
    <x v="1"/>
    <s v="P. 623367"/>
    <s v="Pati"/>
    <d v="1982-11-05T00:00:00"/>
    <s v="198211052009121002"/>
    <s v="3404010511820006"/>
    <s v="III/d"/>
    <d v="2022-10-01T00:00:00"/>
    <n v="12"/>
    <n v="10"/>
    <s v="Lektor"/>
    <d v="2020-05-01T00:00:00"/>
    <x v="1"/>
    <s v="Tafisr Hadis UIN Sunan Kalijaga Tahun 2006  "/>
    <s v="Agama dan Filsafat Kons. Studi Al-Qur'an dan Hadis UIN Sunan Kalijaga Tahun 2009"/>
    <s v="Agama dan Lintas Budaya UGM Tahun 2016"/>
    <n v="132100511942"/>
    <s v="2005118201"/>
    <d v="2047-12-01T00:00:00"/>
    <s v="Ilmu Hadis (S1)"/>
    <s v="Ulumul Hadis"/>
    <s v="Ketua Program Studi Magister Ilmu Al-Qur'an dan Tafsir"/>
    <d v="2024-10-23T00:00:00"/>
    <m/>
  </r>
  <r>
    <n v="44"/>
    <s v="Dr. Mahbub Ghozali"/>
    <x v="1"/>
    <m/>
    <s v="Sampang"/>
    <d v="1987-04-14T00:00:00"/>
    <s v="198704142019031008 "/>
    <s v="3527031404870005"/>
    <s v="III/d"/>
    <d v="2024-04-01T00:00:00"/>
    <n v="5"/>
    <n v="1"/>
    <s v="Lektor"/>
    <d v="2020-09-01T00:00:00"/>
    <x v="1"/>
    <s v="IAIN Sunan Ampel Tahun 2011"/>
    <s v="IAIN Sunan Ampel Tahun 2013"/>
    <s v="Ilmu Al-Qur'an dan Tafsir UIN Sunan Ampel Surabaya Tahun 2018"/>
    <s v="232100519186"/>
    <s v="2014048702"/>
    <d v="2052-05-01T00:00:00"/>
    <s v="Ilmu al-Qur'an dan Tafsir (S1)"/>
    <s v="Ilmu Al-Qur'an dan Tafsir"/>
    <s v="Ketua Program Studi S1 Ilmu Al Qur'an dan Tafsir"/>
    <d v="2024-10-23T00:00:00"/>
    <m/>
  </r>
  <r>
    <n v="45"/>
    <s v="Dr. Novian Widiadharma, S.Fil,M.Hum"/>
    <x v="1"/>
    <s v="N 519124"/>
    <s v="Semarang"/>
    <s v="14-11-1974"/>
    <s v="197411142008011009"/>
    <s v="3404111411740001"/>
    <s v="III/c"/>
    <s v="01-04-2022"/>
    <n v="14"/>
    <n v="3"/>
    <s v="Lektor"/>
    <d v="2021-09-01T00:00:00"/>
    <x v="1"/>
    <s v="Filsafat UGM Tahun 1999"/>
    <s v="Ilmu Filsafat UGM Tahun 2004"/>
    <s v="Doktor Filsafat, UGM, 2023"/>
    <s v="162100514220"/>
    <n v="2014117401"/>
    <s v="01-12-2039"/>
    <s v="Aqidah dan Filsafat Islam (S1)"/>
    <s v="Filsafat Timur"/>
    <s v="Ketua Program Studi S1 Aqidah dan Filsafat Islam  "/>
    <d v="2024-10-23T00:00:00"/>
    <m/>
  </r>
  <r>
    <n v="46"/>
    <s v="Fitriana Firdausi, S.Th.I., M.Hum."/>
    <x v="2"/>
    <s v=" "/>
    <s v="Bojonegoro"/>
    <d v="1984-02-08T00:00:00"/>
    <s v="198402082015032004"/>
    <s v="3402134802840002"/>
    <s v="III/c"/>
    <d v="2022-04-01T00:00:00"/>
    <n v="7"/>
    <n v="1"/>
    <s v="Lektor"/>
    <d v="2022-02-01T00:00:00"/>
    <x v="2"/>
    <s v="Perbandingan Agama UIN Sunan Kalijaga Tahun 2007"/>
    <s v="Agama dan Filsafat Kons. Studi al-Qur'an dan Hadis Tahun 2011"/>
    <m/>
    <s v="182100516039"/>
    <s v="2008028402"/>
    <s v="01-03-2049"/>
    <s v="Ilmu al-Qur'an dan Tafsir (S1)"/>
    <s v="Psikologi Pendidikan"/>
    <m/>
    <m/>
    <m/>
  </r>
  <r>
    <n v="47"/>
    <s v="Aida Hidayah, S.Th.I., M.Hum."/>
    <x v="2"/>
    <s v=" "/>
    <s v="Demak"/>
    <d v="1988-05-23T00:00:00"/>
    <s v="198805232015032005"/>
    <s v="3321116305880002"/>
    <s v="III/c"/>
    <d v="2022-04-01T00:00:00"/>
    <n v="7"/>
    <n v="1"/>
    <s v="Lektor"/>
    <d v="2021-09-01T00:00:00"/>
    <x v="2"/>
    <s v="Tafsir dan Hadis UIN Sunan Kalijaga Tahun 2011"/>
    <s v="Agama dan Filsafat Kons. Studi al-Qur'an dan Hadis Tahun 2014"/>
    <m/>
    <n v="192100517424"/>
    <s v="2023058802"/>
    <s v="01-06-2053"/>
    <s v="Ilmu al-Qur'an dan Tafsir (S1)"/>
    <s v="Ilmu al-Qur'an dan Tafsir"/>
    <s v="Sekretaris Program Studi S1 Ilmu Al-Qur'an dan Tafsir"/>
    <d v="2024-10-23T00:00:00"/>
    <m/>
  </r>
  <r>
    <n v="48"/>
    <s v="Abd. Aziz Faiz, M.Hum."/>
    <x v="1"/>
    <m/>
    <s v="Sampang"/>
    <d v="1989-09-11T00:00:00"/>
    <s v="198909112018011002"/>
    <s v="3527111109890005"/>
    <s v="III/d"/>
    <d v="2024-10-01T00:00:00"/>
    <n v="6"/>
    <n v="9"/>
    <s v="Lektor"/>
    <d v="2022-03-01T00:00:00"/>
    <x v="2"/>
    <s v="Sosiologi Agama UIN Sunan Kalijaga Tahun 2011"/>
    <s v="Agama dan Filsafat Konsentrasi Studi Agama dan Resolusi Konflik UIN Sunan Kalijaga  Tahun 2014"/>
    <m/>
    <s v="222100517759"/>
    <s v="2011098902"/>
    <d v="2054-10-01T00:00:00"/>
    <s v="Sosiologi Agama (S1)"/>
    <s v="Sosiologi Agama"/>
    <m/>
    <m/>
    <m/>
  </r>
  <r>
    <n v="49"/>
    <s v="Ratna Istriyani, M.A."/>
    <x v="2"/>
    <m/>
    <s v="Sleman"/>
    <d v="1991-03-29T00:00:00"/>
    <s v="199103292018012003"/>
    <s v="3404126903910002"/>
    <s v="III/d"/>
    <d v="2024-04-01T00:00:00"/>
    <n v="6"/>
    <n v="3"/>
    <s v="Lektor"/>
    <d v="2021-10-01T00:00:00"/>
    <x v="2"/>
    <s v=" "/>
    <s v="Sosiologi Universitas Gajah Mada Tahun 2015"/>
    <m/>
    <s v=".222100517746"/>
    <s v="2029039101"/>
    <d v="2056-03-01T00:00:00"/>
    <s v="Sosiologi Agama (S1)"/>
    <s v="Sosiologi Agama"/>
    <m/>
    <m/>
    <m/>
  </r>
  <r>
    <n v="50"/>
    <s v="Achmad Yafik Mursyid, M.A."/>
    <x v="1"/>
    <m/>
    <s v="Gresik"/>
    <d v="1990-03-09T00:00:00"/>
    <s v="199003092019031004 "/>
    <s v=" 3525070903900001"/>
    <s v="III/c"/>
    <d v="2024-04-01T00:00:00"/>
    <n v="5"/>
    <n v="1"/>
    <s v="Lektor"/>
    <d v="2022-12-01T00:00:00"/>
    <x v="2"/>
    <s v="UIN Sunan Kalijaga Tahun 2013"/>
    <s v="Basic Islamic Sciences Istanbul University Tahun 2017"/>
    <m/>
    <m/>
    <s v="0509039001"/>
    <d v="2055-04-01T00:00:00"/>
    <s v="Ilmu Al-Quran dan Tafsir (S1)"/>
    <s v="Al-Qur'an dan Hadis"/>
    <m/>
    <m/>
    <s v="TUGAS BELAJAR"/>
  </r>
  <r>
    <n v="51"/>
    <s v="Rizal Al Hamid, M.S.I."/>
    <x v="1"/>
    <m/>
    <s v="Pacitan"/>
    <d v="1986-10-12T00:00:00"/>
    <s v="198610122019031007 "/>
    <s v="3501041210860007"/>
    <s v="III/c"/>
    <d v="2023-10-01T00:00:00"/>
    <n v="7"/>
    <n v="10"/>
    <s v="Lektor"/>
    <d v="2023-01-01T00:00:00"/>
    <x v="2"/>
    <s v="UIN Sunan Kalijaga Tahun 2008"/>
    <s v="Hukum Islam Kons. Studi Politik dan Pemerintahan dalam Islam UIN Sunan Kalijaga Tahun 2010"/>
    <m/>
    <m/>
    <s v="0512108601"/>
    <d v="2051-11-01T00:00:00"/>
    <s v="Studi Islam "/>
    <s v="Filsafat Politik"/>
    <s v="Sekretaris Program Studi S1 Aqidah dan Filsafat Islam  "/>
    <d v="2024-10-23T00:00:00"/>
    <m/>
  </r>
  <r>
    <n v="52"/>
    <s v="Nur Afni Khafsoh, M.Sos."/>
    <x v="2"/>
    <m/>
    <s v="Wonosobo"/>
    <d v="1991-10-11T00:00:00"/>
    <s v="199110112019032014"/>
    <s v="3307135110910006"/>
    <s v="III/c"/>
    <d v="2024-04-01T00:00:00"/>
    <n v="5"/>
    <n v="1"/>
    <s v="Lektor"/>
    <d v="2023-01-01T00:00:00"/>
    <x v="2"/>
    <s v="UIN Sunan Kalijaga Tahun 2013"/>
    <s v="Ilmu Sosial Univ. Brawijaya Tahun 2016"/>
    <m/>
    <m/>
    <s v="0711109101"/>
    <d v="2056-11-01T00:00:00"/>
    <s v="Sosiologi Agama (S1)"/>
    <s v="Ilmu Sosial"/>
    <m/>
    <m/>
    <m/>
  </r>
  <r>
    <n v="53"/>
    <s v="Dr. Mahatva Yoga Adi Pradana, M.Sos."/>
    <x v="1"/>
    <m/>
    <s v="Malang"/>
    <d v="1990-12-10T00:00:00"/>
    <s v="199012102019031011 "/>
    <s v="3404081302940001"/>
    <s v="III/c"/>
    <d v="2023-04-01T00:00:00"/>
    <n v="4"/>
    <n v="1"/>
    <s v="Lektor"/>
    <d v="2022-09-01T00:00:00"/>
    <x v="1"/>
    <s v="UNBRAW Tahun 2013"/>
    <s v="Ilmu Sosial Univ. Brawijaya Tahun 2016"/>
    <s v="Sosiologi, Universitas Brawijaya Malang Tahun 2024"/>
    <s v="232100519177"/>
    <s v="2010129001"/>
    <d v="2056-01-01T00:00:00"/>
    <s v="Sosiologi Agama (S1)"/>
    <s v="Dosen Ilmu Sosial"/>
    <s v="Ketua Program Studi S1 Sosiologi Agama"/>
    <d v="2024-10-23T00:00:00"/>
    <m/>
  </r>
  <r>
    <n v="54"/>
    <s v="Asrul, M.Hum."/>
    <x v="1"/>
    <m/>
    <s v="Luwu Utara"/>
    <d v="1985-08-09T00:00:00"/>
    <s v="198508092019031007 "/>
    <s v="7322110908850008"/>
    <s v="III/c"/>
    <d v="2023-10-01T00:00:00"/>
    <n v="4"/>
    <n v="7"/>
    <s v="Lektor"/>
    <d v="2023-01-01T00:00:00"/>
    <x v="2"/>
    <s v="UAD Tahun 2011"/>
    <s v="Agama dan Filsafat Kons. Studi Al-qu'an dan Hadis UIN Sunan Kalijaga Tahun 2013"/>
    <m/>
    <m/>
    <s v="0909088503"/>
    <d v="2050-09-01T00:00:00"/>
    <s v="Ilmu Hadis (S1)"/>
    <s v="Tafsir Kesejahteraan Sosial"/>
    <s v="Sekretaris Program Studi S1 Ilmu Hadis"/>
    <d v="2024-10-23T00:00:00"/>
    <m/>
  </r>
  <r>
    <n v="55"/>
    <s v="Derry Ahmad Rizal, M.A."/>
    <x v="1"/>
    <m/>
    <s v="Bandung"/>
    <d v="1992-12-19T00:00:00"/>
    <s v="199212192019031010 "/>
    <s v="3404131912920001"/>
    <s v="III/c"/>
    <d v="2024-04-01T00:00:00"/>
    <n v="5"/>
    <n v="1"/>
    <s v="Lektor"/>
    <d v="2023-01-01T00:00:00"/>
    <x v="2"/>
    <s v="UIN Sunan Kalijaga Tahun 2015"/>
    <s v="Interdisciplinary Islamic Studies Konsentrasi Pekerjaan Sosial UIN Sunan Kalijaga Tahun 2018"/>
    <m/>
    <m/>
    <s v="2019129201"/>
    <d v="2058-01-01T00:00:00"/>
    <s v="Studi Agama Agama (S1)"/>
    <s v="Pengembangan Masyarakat Islam"/>
    <s v="Sekretaris Program Studi Doktor Aqidah dan Filsafat Islam (AFI)"/>
    <d v="2024-10-23T00:00:00"/>
    <m/>
  </r>
  <r>
    <n v="56"/>
    <s v="Dr. Waryani Fajar Riyanto, S.HI., M.Ag."/>
    <x v="1"/>
    <m/>
    <s v="Madiun"/>
    <d v="1976-06-23T00:00:00"/>
    <s v="197906232006041003"/>
    <s v="3402152306790003"/>
    <s v="IV/b"/>
    <d v="2024-08-01T00:00:00"/>
    <n v="18"/>
    <n v="4"/>
    <s v="Lektor Kepala"/>
    <d v="2024-01-01T00:00:00"/>
    <x v="1"/>
    <s v="AKHWAL SYAHSIYAH IAIN Sunan Kalijaga Tahun 2003"/>
    <s v="Hukum Keluarga UIN Sunan Kalijaga Tahun 2005"/>
    <s v="Studi Islam UIN Sunan Kalijaga Tahun 2011"/>
    <m/>
    <s v="2023067902"/>
    <d v="2041-07-01T00:00:00"/>
    <s v="Aqidah dan Filsafat Islam (S1)"/>
    <s v="Studi Islam"/>
    <m/>
    <m/>
    <m/>
  </r>
  <r>
    <n v="57"/>
    <s v="Dr. Bambang Sujiyono, S.PAK, M.Pd"/>
    <x v="1"/>
    <m/>
    <s v="Boyolali"/>
    <d v="1960-12-01T00:00:00"/>
    <s v="196012011982011010"/>
    <s v="3313120112600002"/>
    <s v="IV/a"/>
    <d v="2003-04-01T00:00:00"/>
    <m/>
    <m/>
    <s v="Lektor"/>
    <d v="2018-05-01T00:00:00"/>
    <x v="1"/>
    <m/>
    <s v="Universitas Sebelas Maret Tahun 2006"/>
    <s v="Doktor Teologi Konsentrasi Teologi Sekolah Tinggi Teologi Kadesi Yogyakarta Tahun 2019"/>
    <m/>
    <s v="2001126002"/>
    <d v="2026-01-01T00:00:00"/>
    <s v="Studi Agama Agama (S1)"/>
    <m/>
    <m/>
    <m/>
    <m/>
  </r>
  <r>
    <n v="58"/>
    <s v="Ali Usman, M.S.I."/>
    <x v="1"/>
    <m/>
    <s v="Sumenep"/>
    <d v="1984-04-20T00:00:00"/>
    <s v="198404202019031012 "/>
    <s v="3529062004840002"/>
    <s v="III/c"/>
    <d v="2024-04-01T00:00:00"/>
    <n v="5"/>
    <n v="1"/>
    <s v="Lektor"/>
    <d v="2023-01-01T00:00:00"/>
    <x v="2"/>
    <s v="UIN Sunan Kalijaga Tahun 2007"/>
    <s v="Agama dan Filsafat Konsentrasi Filsafat Islam UIN Sunan Kalijaga Tahun 2010"/>
    <m/>
    <s v="232100519175"/>
    <s v="2120048403"/>
    <d v="2049-05-01T00:00:00"/>
    <s v="Aqidah dan Filsafat Islam (S1)"/>
    <s v="Ilmu Dakwah"/>
    <m/>
    <m/>
    <m/>
  </r>
  <r>
    <n v="59"/>
    <s v="Dr. Siti Khodijah Nurul Aula, M.Ag."/>
    <x v="2"/>
    <m/>
    <s v="Blitar"/>
    <d v="1992-04-17T00:00:00"/>
    <s v="199204172019032022 "/>
    <s v="3572015704920001"/>
    <s v="III/c"/>
    <d v="2024-04-01T00:00:00"/>
    <n v="5"/>
    <n v="1"/>
    <s v="Lektor"/>
    <d v="2023-04-01T00:00:00"/>
    <x v="1"/>
    <s v="UIN Sunan Kalijaga Tahun 2013"/>
    <s v="Aqidah dan Filsafat Islam Kons. Studi Agama dan Resolusi Konflik UIN Sunan Kalijaga Tahun 2016"/>
    <s v="Studi Islam Konsentrasi Studi Antar Iman UIN Sunan Kalijaga Tahun 2023"/>
    <m/>
    <s v="2017049201"/>
    <d v="2057-05-01T00:00:00"/>
    <s v="Studi Islam "/>
    <s v="Studi Agama Agama"/>
    <s v="Sekretaris Program Studi Magister Studi Agama-Agama"/>
    <d v="2024-10-23T00:00:00"/>
    <m/>
  </r>
  <r>
    <n v="60"/>
    <s v="Achmad Dahlan, Lc., MA."/>
    <x v="1"/>
    <s v="Q 250601"/>
    <s v="Kudus"/>
    <d v="1978-03-23T00:00:00"/>
    <s v="197803232011011007"/>
    <s v="3471082303780002"/>
    <s v="III/b"/>
    <d v="2011-01-01T00:00:00"/>
    <n v="0"/>
    <n v="0"/>
    <s v="Asisten Ahli"/>
    <d v="2014-03-01T00:00:00"/>
    <x v="2"/>
    <s v="Hadith Sciences Islamic University of Madinah Munawwarah 2002"/>
    <s v="Qur'an dan Sunnah Studies International Islamic University Malaysia Tahun 2007"/>
    <s v=" "/>
    <s v="172100514772"/>
    <n v="2023037805"/>
    <d v="2043-04-01T00:00:00"/>
    <s v="Ilmu Hadis (S1)"/>
    <s v="Ilmu Hadis"/>
    <m/>
    <m/>
    <m/>
  </r>
  <r>
    <n v="61"/>
    <s v="M. Yaser Arafat, M.A."/>
    <x v="1"/>
    <m/>
    <s v="Medan"/>
    <d v="1983-09-30T00:00:00"/>
    <s v="198309302015031003"/>
    <s v="1271043009830004"/>
    <s v="III/b"/>
    <d v="2015-03-01T00:00:00"/>
    <n v="0"/>
    <n v="0"/>
    <s v="Asisten Ahli"/>
    <d v="2020-09-01T00:00:00"/>
    <x v="2"/>
    <s v=" "/>
    <s v="UIN Sunan Kalijaga Yogyakarta, Ilmu Antropologi Tahun 2013"/>
    <m/>
    <s v="222100517754"/>
    <s v="2030098302"/>
    <d v="2048-10-01T00:00:00"/>
    <s v="Sosiologi Agama (S1)"/>
    <s v=" "/>
    <m/>
    <m/>
    <m/>
  </r>
  <r>
    <n v="62"/>
    <s v="Dr.phil. Fadhli Lukman, M.Hum."/>
    <x v="1"/>
    <m/>
    <s v="Agam"/>
    <d v="1990-06-17T00:00:00"/>
    <s v="199006172020121008"/>
    <s v="1306041706900001"/>
    <s v="III/b"/>
    <d v="2020-12-01T00:00:00"/>
    <n v="0"/>
    <n v="0"/>
    <s v="Asisten Ahli"/>
    <d v="2022-09-01T00:00:00"/>
    <x v="1"/>
    <m/>
    <s v="Studi Qur'an Hadis UIN Sunan Kalijaga Tahun 2015"/>
    <s v="Doctor of Philosophy  Der Albert Ludwigs University Freiburg Im Breisgau  Tahun 2013"/>
    <m/>
    <s v="2017069002"/>
    <d v="2055-07-01T00:00:00"/>
    <s v="Ilmu Al-Quran dan Tafsir (S1)"/>
    <s v="Tafsir Kontemporer"/>
    <m/>
    <m/>
    <s v="Tugas Belajar  (Posdok) 1 Oktober 2023"/>
  </r>
  <r>
    <n v="63"/>
    <s v="Rosi Islamiyati, S.Ag., M.Ag."/>
    <x v="2"/>
    <m/>
    <s v="Klaten"/>
    <d v="1995-09-16T00:00:00"/>
    <s v="199509162020122011"/>
    <s v="3310115609950003"/>
    <s v="III/b"/>
    <d v="2020-12-01T00:00:00"/>
    <n v="0"/>
    <n v="0"/>
    <s v="Asisten Ahli"/>
    <d v="2022-09-01T00:00:00"/>
    <x v="2"/>
    <m/>
    <s v="Filsafat Islam UIN Sunan Kalijaga Tahun 2019"/>
    <m/>
    <m/>
    <s v="2016099501"/>
    <d v="2060-10-01T00:00:00"/>
    <s v="Aqidah dan Filsafat Islam (S1)"/>
    <s v="Ilmu Tasawuf"/>
    <m/>
    <m/>
    <m/>
  </r>
  <r>
    <n v="64"/>
    <s v="Muhammad Arif, S. Fil. I., M. Ag."/>
    <x v="1"/>
    <m/>
    <s v="Banyuwangi"/>
    <d v="1989-08-01T00:00:00"/>
    <s v="198908012020121007"/>
    <s v="3510100108890001"/>
    <s v="III/b"/>
    <d v="2020-12-01T00:00:00"/>
    <n v="0"/>
    <n v="0"/>
    <s v="Asisten Ahli"/>
    <d v="2022-10-01T00:00:00"/>
    <x v="2"/>
    <m/>
    <s v="Filsafat Islam UIN Sunan Kalijaga Tahun 2019"/>
    <m/>
    <m/>
    <n v="2001088902"/>
    <d v="2054-08-01T00:00:00"/>
    <s v="Aqidah dan Filsafat Islam (S1)"/>
    <s v="Filsafat Islam"/>
    <s v="Plt. Sekretaris Program Studi Magister Aqidah dan Filsafat Islam "/>
    <d v="2024-10-23T00:00:00"/>
    <m/>
  </r>
  <r>
    <n v="65"/>
    <s v="Ayub, S.Pd.I., M.A"/>
    <x v="1"/>
    <m/>
    <s v="Kalosi (Kab. Enrekang)"/>
    <d v="1990-06-19T00:00:00"/>
    <s v="199006192020121009"/>
    <s v="7316031906900002"/>
    <s v="III/b"/>
    <d v="2020-12-01T00:00:00"/>
    <n v="0"/>
    <n v="0"/>
    <s v="Asisten Ahli"/>
    <d v="2022-09-01T00:00:00"/>
    <x v="2"/>
    <m/>
    <s v="Studi Islam SOAS University of London Tahun 2018"/>
    <m/>
    <m/>
    <s v="2019069004"/>
    <d v="2055-07-01T00:00:00"/>
    <s v="Studi Islam "/>
    <s v="Ilmu Al Qur`an dan Tafsir"/>
    <m/>
    <m/>
    <s v="TUGAS BELAJAR"/>
  </r>
  <r>
    <n v="66"/>
    <s v="Dr. Muhammad Akmaluddin, M.S.I."/>
    <x v="1"/>
    <m/>
    <s v="Kudus"/>
    <d v="1989-12-11T00:00:00"/>
    <s v="198912112020121007"/>
    <s v="3319031112890003"/>
    <s v="III/b"/>
    <d v="2020-12-01T00:00:00"/>
    <n v="0"/>
    <n v="0"/>
    <s v="Asisten Ahli"/>
    <d v="2022-09-01T00:00:00"/>
    <x v="1"/>
    <m/>
    <s v="Studi Islam Universitas Islam Negeri Walisongo Semarang Tahun 2015"/>
    <s v="Studi Islam Konsentrasi Studi Al-Qur'an dan Hadis UIN Sunan Kalijaga Yogyakarta Tahun 2019"/>
    <m/>
    <s v="2011128904"/>
    <d v="2055-01-01T00:00:00"/>
    <s v="Ilmu Hadis (S1)"/>
    <s v="Ilmu Hadits"/>
    <s v="Plt. Sekretaris Program Studi Magister Ilmu Al-Qur'an dan Tafsir"/>
    <d v="2024-10-23T00:00:00"/>
    <m/>
  </r>
  <r>
    <n v="67"/>
    <s v="Moh. Arif Afandi, S.Fil.I., M.Ag."/>
    <x v="1"/>
    <m/>
    <s v="Kudus"/>
    <d v="1993-07-20T00:00:00"/>
    <s v="199307202020121006"/>
    <s v="3319012007930002"/>
    <s v="III/b"/>
    <d v="2020-12-01T00:00:00"/>
    <n v="0"/>
    <n v="0"/>
    <s v="Asisten Ahli"/>
    <d v="2022-09-01T00:00:00"/>
    <x v="2"/>
    <m/>
    <s v="Filsafat Islam UIN Sunan Kalijaga Tahun 2019"/>
    <m/>
    <m/>
    <s v="2020079301"/>
    <d v="2058-08-01T00:00:00"/>
    <s v="Aqidah dan Filsafat Islam (S1)"/>
    <s v="Tauhid"/>
    <m/>
    <m/>
    <m/>
  </r>
  <r>
    <n v="68"/>
    <s v="Nafisatul Mu'Awwanah, M.A."/>
    <x v="2"/>
    <m/>
    <s v="Ngawi"/>
    <d v="1995-03-24T00:00:00"/>
    <s v="199503242020122014"/>
    <s v="3521046403950001"/>
    <s v="III/b"/>
    <d v="2020-12-01T00:00:00"/>
    <n v="0"/>
    <n v="0"/>
    <s v="Asisten Ahli"/>
    <d v="2022-09-01T00:00:00"/>
    <x v="2"/>
    <m/>
    <s v="Studi Islam UIN Sunan Kalijaga Tahun 2019"/>
    <m/>
    <m/>
    <s v="2024039501"/>
    <d v="2060-04-01T00:00:00"/>
    <s v="Ilmu Al-Quran dan Tafsir (S1)"/>
    <s v="Ilmu Al-Qur'an dan Tafsir"/>
    <m/>
    <m/>
    <m/>
  </r>
  <r>
    <n v="69"/>
    <s v="Hikmalisa, S.Sos., M.A."/>
    <x v="2"/>
    <m/>
    <s v="Kampar"/>
    <d v="1994-11-25T00:00:00"/>
    <s v="‌199411252020122013"/>
    <s v="1401076511940003"/>
    <s v="III/b"/>
    <d v="2020-12-01T00:00:00"/>
    <n v="0"/>
    <n v="0"/>
    <s v="Asisten Ahli"/>
    <d v="2023-01-01T00:00:00"/>
    <x v="2"/>
    <m/>
    <s v="Sosiologi Agama UIN Sunan Kalijaga Tahun 2019"/>
    <m/>
    <m/>
    <n v="2025119401"/>
    <d v="2059-12-01T00:00:00"/>
    <s v="Sosiologi Agama (S1)"/>
    <s v="Sosiologi Agama"/>
    <s v="Sekretaris Program Studi S1 Sosiologi Agama"/>
    <d v="2024-10-23T00:00:00"/>
    <m/>
  </r>
  <r>
    <n v="70"/>
    <s v="Asep Nahrul Musadad, M.Ag."/>
    <x v="1"/>
    <m/>
    <s v="Tasikmalaya"/>
    <d v="1992-05-03T00:00:00"/>
    <s v="199205032022031001"/>
    <s v="3278050305920002"/>
    <s v="III/b"/>
    <d v="2022-03-01T00:00:00"/>
    <n v="0"/>
    <n v="0"/>
    <s v="Asisten Ahli"/>
    <d v="2023-04-01T00:00:00"/>
    <x v="2"/>
    <m/>
    <s v=" Aqidah dan Filsafat Islam Universitas Islam Negeri Sunan Kalijaga Tahun 2016"/>
    <m/>
    <m/>
    <m/>
    <d v="2057-06-01T00:00:00"/>
    <s v="Ilmu Al-Quran dan Tafsir (S1)"/>
    <s v="Asisten Ahli - Dosen Ilmu Qira'at"/>
    <m/>
    <m/>
    <m/>
  </r>
  <r>
    <n v="71"/>
    <s v="Adhika Alvianto, M.Pd."/>
    <x v="1"/>
    <m/>
    <s v="Wonogiri "/>
    <d v="1993-06-02T00:00:00"/>
    <s v="199306022022031001"/>
    <s v="'3312070206930002"/>
    <s v="III/b"/>
    <d v="2022-03-01T00:00:00"/>
    <n v="0"/>
    <n v="0"/>
    <s v="Asisten Ahli"/>
    <d v="2023-04-01T00:00:00"/>
    <x v="2"/>
    <m/>
    <s v="Ilmu Agama Islam UII 2018"/>
    <m/>
    <m/>
    <n v="502069301"/>
    <d v="2058-07-01T00:00:00"/>
    <s v="Aqidah dan Filsafat Islam (S1)"/>
    <s v="Asisten Ahli - Dosen Filsafat Islam"/>
    <s v="Anggota ADMISI"/>
    <d v="2024-12-06T00:00:00"/>
    <m/>
  </r>
  <r>
    <n v="72"/>
    <s v="Hasna Safarina Rasyidah, M.Phil."/>
    <x v="2"/>
    <m/>
    <s v="Temanggung"/>
    <d v="1989-07-10T00:00:00"/>
    <s v="198907102020122009"/>
    <s v="3323035007890003"/>
    <s v="III/b"/>
    <d v="2020-12-01T00:00:00"/>
    <n v="0"/>
    <n v="0"/>
    <s v="Cados"/>
    <d v="2020-12-01T00:00:00"/>
    <x v="2"/>
    <m/>
    <s v="Filsafat UGM Tahun 2019"/>
    <m/>
    <m/>
    <n v="2010078904"/>
    <d v="2054-08-01T00:00:00"/>
    <s v="Studi Agama Agama (S1)"/>
    <s v="Asisten Ahli - Dosen Filsafat Islam"/>
    <m/>
    <m/>
    <m/>
  </r>
  <r>
    <n v="73"/>
    <s v="Lathif Rifa'i, S.Th.I., M.Hum."/>
    <x v="1"/>
    <m/>
    <s v="Magelang"/>
    <d v="1989-09-12T00:00:00"/>
    <s v="198909122020121006"/>
    <s v="3308041209890001"/>
    <s v="III/b"/>
    <d v="2020-12-01T00:00:00"/>
    <n v="0"/>
    <n v="0"/>
    <s v="Asisten Ahli"/>
    <d v="2023-01-01T00:00:00"/>
    <x v="2"/>
    <m/>
    <s v="Ilmu Hadis UIN Sunan Kalijaga Tahun 2015"/>
    <m/>
    <m/>
    <n v="2012098902"/>
    <d v="2054-10-01T00:00:00"/>
    <s v="Ilmu Hadis (S1)"/>
    <s v="Ilmu Hadis"/>
    <m/>
    <m/>
    <m/>
  </r>
  <r>
    <n v="74"/>
    <s v="Dr.phil. Mu'ammar Zayn Qadafy, M.Hum."/>
    <x v="1"/>
    <m/>
    <s v="Nganjuk "/>
    <d v="1989-07-02T00:00:00"/>
    <s v="198907022022031002"/>
    <s v="'3518110207890001"/>
    <s v="III/b"/>
    <d v="2022-03-01T00:00:00"/>
    <n v="0"/>
    <n v="0"/>
    <s v="Asisten Ahli"/>
    <d v="2023-04-01T00:00:00"/>
    <x v="1"/>
    <m/>
    <s v="Studi Islam UIN Sunan Kalijaga Tahun 2014"/>
    <s v="Studi Islam University of Freiburg Tahun 2021"/>
    <m/>
    <m/>
    <d v="1954-08-01T00:00:00"/>
    <s v="Studi Islam "/>
    <s v="Ilmu Al Qur`an dan Tafsir"/>
    <m/>
    <m/>
    <m/>
  </r>
  <r>
    <n v="75"/>
    <s v="Muhammad Luthfi Dhulkifli, S.Ag., M.A."/>
    <x v="1"/>
    <m/>
    <s v="Kab. Demak"/>
    <s v="16/04/1995"/>
    <s v="199504162024031001"/>
    <m/>
    <s v="III/b"/>
    <s v="01/03/2024"/>
    <m/>
    <m/>
    <s v="Asisten Ahli"/>
    <s v="01/03/2024"/>
    <x v="2"/>
    <m/>
    <s v="Islamic Studies 2023"/>
    <m/>
    <m/>
    <m/>
    <m/>
    <m/>
    <s v="Ilmu Al Qur`an dan Tafsir"/>
    <m/>
    <m/>
    <m/>
  </r>
  <r>
    <s v="F. FAKULTAS SAINS DAN TEKNOLOGI"/>
    <m/>
    <x v="0"/>
    <m/>
    <m/>
    <m/>
    <m/>
    <m/>
    <m/>
    <m/>
    <m/>
    <m/>
    <m/>
    <m/>
    <x v="0"/>
    <m/>
    <m/>
    <m/>
    <m/>
    <m/>
    <m/>
    <m/>
    <m/>
    <m/>
    <m/>
    <m/>
  </r>
  <r>
    <n v="1"/>
    <s v="Prof. Dr. Hj. Maizer Said Nahdi, M.Si"/>
    <x v="2"/>
    <s v="E. 080114"/>
    <s v="Pemalang"/>
    <s v="27-04-1955"/>
    <s v="195504271984032001"/>
    <s v="3404072704550001"/>
    <s v="IV/e"/>
    <d v="2024-06-01T00:00:00"/>
    <n v="40"/>
    <n v="3"/>
    <s v="Guru Besar"/>
    <s v="01-08-2019"/>
    <x v="1"/>
    <s v="Biologi UGM Tahun 1981"/>
    <s v="Ilmu Lingkungan UGM Tahun 1995"/>
    <s v="Biologi UGM Tahun 2013"/>
    <s v="092100500183"/>
    <n v="2027045501"/>
    <d v="2025-05-01T00:00:00"/>
    <s v="Biologi (S1)"/>
    <s v="Biologi"/>
    <m/>
    <m/>
    <m/>
  </r>
  <r>
    <n v="2"/>
    <s v="Prof. Dr. Dra. Hj. Khurul Wardati, M.Si."/>
    <x v="2"/>
    <s v="J. 088816"/>
    <s v="Klaten"/>
    <s v="31-07-1966"/>
    <s v="196607312000032001"/>
    <s v="3404083107660001"/>
    <s v="IV/d"/>
    <d v="2024-10-01T00:00:00"/>
    <n v="24"/>
    <n v="7"/>
    <s v="Guru Besar"/>
    <d v="2023-06-01T00:00:00"/>
    <x v="1"/>
    <s v="Matematika UGM Tahun 1991"/>
    <s v="Matematika UGM Tahun 1998"/>
    <s v="Matematika UGM Tahun 2015"/>
    <s v="092100500321"/>
    <n v="2031076601"/>
    <d v="2036-08-01T00:00:00"/>
    <s v="Matematika (S1)"/>
    <s v="Aljabar"/>
    <s v="Dekan Fakultas Sains dan Teknologi Masa Jabatan 2024-2028"/>
    <d v="2024-09-18T00:00:00"/>
    <m/>
  </r>
  <r>
    <n v="3"/>
    <s v="Prof. Dr. Shofwatul 'Uyun, S.T, M.Kom., IPM., ASEAN Eng."/>
    <x v="2"/>
    <s v="N 044396"/>
    <s v="Jepara"/>
    <d v="1982-05-11T00:00:00"/>
    <s v="198205112006042002"/>
    <s v="3404015105820004"/>
    <s v="IV/c"/>
    <d v="2024-04-01T00:00:00"/>
    <n v="18"/>
    <n v="0"/>
    <s v="Guru Besar"/>
    <s v="01-08-2023"/>
    <x v="1"/>
    <s v="Teknik Informatika UII Tahun 2004"/>
    <s v="Ilmu Komputer UGM 2006"/>
    <s v="Ilmu Komputer UGM 2014"/>
    <n v="102100504738"/>
    <n v="2011058201"/>
    <d v="2052-06-01T00:00:00"/>
    <s v="Informatika (S2)"/>
    <s v="Sistem Cerdas"/>
    <s v="Wakil Dekan  Bid. Akademik Fakultas  Sains dan Teknologi Masa Jabatan 2024-2028"/>
    <d v="2024-10-14T00:00:00"/>
    <m/>
  </r>
  <r>
    <n v="4"/>
    <s v="Prof. Dr. Maya Rahmayanti, S.Si.,M.Si"/>
    <x v="2"/>
    <s v="N 044393"/>
    <s v="Tembilahan"/>
    <s v="27-06-1981"/>
    <s v="198106272006042003"/>
    <s v="3404176706810002"/>
    <s v="IV/a"/>
    <d v="2024-04-01T00:00:00"/>
    <n v="18"/>
    <n v="0"/>
    <s v="Guru Besar"/>
    <d v="2023-09-01T00:00:00"/>
    <x v="1"/>
    <s v="Kimia UNY Tahun 2004"/>
    <s v="Ilmu Kimia UGM Tahun 2006"/>
    <s v="Ilmu Kimia UGM Tahun 2016"/>
    <n v="102100504688"/>
    <n v="2027068101"/>
    <d v="2051-07-01T00:00:00"/>
    <s v="Kimia (S1)"/>
    <s v="Kimia Lingkungan"/>
    <s v="Ketua  Program Studi  Kimia"/>
    <d v="2024-10-23T00:00:00"/>
    <m/>
  </r>
  <r>
    <m/>
    <s v="Prof. Dwi Agustina Kurniawati, S.T, M.Eng.,Ph.D."/>
    <x v="2"/>
    <s v="N 044391"/>
    <s v="Yogyakarta"/>
    <d v="1979-08-06T00:00:00"/>
    <s v="197908062006042001"/>
    <s v="3471142107550001"/>
    <s v="IV/a"/>
    <d v="2023-10-01T00:00:00"/>
    <n v="17"/>
    <n v="6"/>
    <s v="Guru Besar"/>
    <d v="2023-08-01T00:00:00"/>
    <x v="1"/>
    <s v="Teknik Industri ITB Tahun 2003"/>
    <s v="Enggineering UTM Tahun 2006"/>
    <s v="Teknologi Industri NTU Singapura Tahun  2018"/>
    <s v="152100513474"/>
    <n v="2006087901"/>
    <d v="2049-09-01T00:00:00"/>
    <s v="Teknik Industri (S2)"/>
    <s v="Rekayasa Industri"/>
    <m/>
    <m/>
    <m/>
  </r>
  <r>
    <n v="6"/>
    <s v="Muchammad Abrori, S.Si, M.Kom"/>
    <x v="1"/>
    <s v="J. 012487"/>
    <s v="Temanggung"/>
    <s v="23-04-1972"/>
    <s v="197204231999031003"/>
    <s v="3471132304720002"/>
    <s v="IV/a"/>
    <d v="2013-04-01T00:00:00"/>
    <n v="14"/>
    <n v="1"/>
    <s v="Lektor Kepala"/>
    <s v="01-09-2010"/>
    <x v="2"/>
    <s v="UNS Tahun 1997"/>
    <s v="Ilmu Komputer UGM Tahun  2007"/>
    <m/>
    <n v="102100504692"/>
    <n v="2023047201"/>
    <d v="2037-05-01T00:00:00"/>
    <s v="Matematika (S1)"/>
    <s v="Matematika"/>
    <m/>
    <m/>
    <m/>
  </r>
  <r>
    <n v="7"/>
    <s v="Dr. Susy Yunita Prabawati, M. Si"/>
    <x v="2"/>
    <s v="J.012486"/>
    <s v="Sumbawa Besar"/>
    <d v="1976-06-21T00:00:00"/>
    <s v="197606211999032005"/>
    <s v="3404116106760004"/>
    <s v="IV/c"/>
    <d v="2021-04-01T00:00:00"/>
    <n v="22"/>
    <n v="1"/>
    <s v="Lektor Kepala"/>
    <s v="01-06-2011"/>
    <x v="1"/>
    <s v="Kimia UGM Tahun 1998"/>
    <s v="Ilmu Kimia UGM Tahun 2003"/>
    <s v="Ilmu Kimia UGM Tahun 20013"/>
    <n v="102100504762"/>
    <n v="2021067601"/>
    <d v="2041-07-01T00:00:00"/>
    <s v="Kimia (S1)"/>
    <s v="Kimia"/>
    <m/>
    <m/>
    <m/>
  </r>
  <r>
    <n v="8"/>
    <s v="Dr. Agus Mulyanto, S.Si, M.Kom., ASEAN Eng."/>
    <x v="1"/>
    <s v="J. 090944"/>
    <s v="Sukoarjo"/>
    <s v="23-08-1971"/>
    <s v="197108231999031003"/>
    <s v="3404122308700001"/>
    <s v="IV/b"/>
    <d v="2024-04-01T00:00:00"/>
    <n v="25"/>
    <n v="1"/>
    <s v="Lektor Kepala"/>
    <d v="2013-09-01T00:00:00"/>
    <x v="1"/>
    <s v="Elektronika dan Instrumentasi UGM Tahun 1997"/>
    <s v="Ilmu Komputer UGM Tahun 2005"/>
    <s v="Ilmu Komputer UGM Tahun 2024"/>
    <n v="102100504638"/>
    <n v="2023087101"/>
    <d v="2036-09-01T00:00:00"/>
    <s v="Teknik Informatika (S1)"/>
    <s v="Sistem Informasi           "/>
    <s v="Wakil Dekan  Bid. Adm. Umum, Perencanaan dan Keuangan Fakultas  Sains dan Teknologi Masa Jabatan 2024-2028"/>
    <d v="2024-10-14T00:00:00"/>
    <m/>
  </r>
  <r>
    <n v="9"/>
    <s v="Dr. Imelda Fajriati, M.Si"/>
    <x v="2"/>
    <s v="J. 165171"/>
    <s v="Jombang"/>
    <d v="1975-07-25T00:00:00"/>
    <s v="197507252000032001"/>
    <s v="3404076507770001"/>
    <s v="IV/b"/>
    <d v="2024-04-01T00:00:00"/>
    <n v="24"/>
    <n v="1"/>
    <s v="Lektor Kepala"/>
    <d v="2015-04-01T00:00:00"/>
    <x v="1"/>
    <s v="Univ. Brawijaya Malang Tahun 1998"/>
    <s v="Ilmu Kimia UGM Tahun 2002"/>
    <s v="Ilmu Kimia UGM Tahun 2016"/>
    <n v="102100504665"/>
    <n v="2025077501"/>
    <d v="2040-08-01T00:00:00"/>
    <s v="Kimia (S1)"/>
    <s v="Kimia Analitik"/>
    <m/>
    <m/>
    <m/>
  </r>
  <r>
    <n v="10"/>
    <s v="Khamidinal, S.Si, M.Si"/>
    <x v="1"/>
    <s v="J. 088817"/>
    <s v="Kulon Progo"/>
    <s v="04-11-1969"/>
    <s v="196911042000031002"/>
    <s v="3401040411690001"/>
    <s v="IV/a"/>
    <d v="2013-10-01T00:00:00"/>
    <n v="13"/>
    <n v="7"/>
    <s v="Lektor Kepala"/>
    <s v="01-10-2011"/>
    <x v="2"/>
    <s v="Kimia UGM Tahun 1995"/>
    <s v=" Ilmu Kimia  UGM Tahun 2006"/>
    <m/>
    <n v="102100504676"/>
    <n v="2004116901"/>
    <d v="2034-12-01T00:00:00"/>
    <s v="Kimia (S1)"/>
    <s v="Kimia"/>
    <m/>
    <m/>
    <m/>
  </r>
  <r>
    <n v="11"/>
    <s v="Dr. Muhammad Wakhid Musthofa, S. Si.,M.Si"/>
    <x v="1"/>
    <s v="M. 135303"/>
    <s v="Yogyakarta"/>
    <d v="1980-04-02T00:00:00"/>
    <s v="198004022005011003"/>
    <s v="3471090204800001"/>
    <s v="IV/c"/>
    <d v="2024-04-01T00:00:00"/>
    <n v="19"/>
    <n v="3"/>
    <s v="Lektor Kepala"/>
    <d v="2017-03-01T00:00:00"/>
    <x v="1"/>
    <s v="Matematika UGM Tahun 2004"/>
    <s v=" Matematika ITB Tahun 2007"/>
    <s v="Matematika UGM Tahun 2015"/>
    <n v="102100504703"/>
    <n v="2002048001"/>
    <d v="2045-05-01T00:00:00"/>
    <s v="Magister Teknik Industri"/>
    <s v="Matematika Terapan"/>
    <m/>
    <m/>
    <m/>
  </r>
  <r>
    <n v="12"/>
    <s v="Dr. Epha Diana Supandi, S.Si, M.Sc."/>
    <x v="2"/>
    <s v="P 163256"/>
    <s v="Tasikmalaya"/>
    <d v="1975-09-12T00:00:00"/>
    <s v="197509122008012015"/>
    <s v="3404125209750008"/>
    <s v="IV/b"/>
    <d v="2024-10-01T00:00:00"/>
    <n v="16"/>
    <n v="9"/>
    <s v="Lektor Kepala"/>
    <d v="2020-04-01T00:00:00"/>
    <x v="1"/>
    <s v="Statistika IPB Tahun 1999"/>
    <s v="Statistik Universiti Putra Malaysia Tahun 2005 "/>
    <s v="Ilmu Matematika UGM Tahun 2017"/>
    <n v="112100515320038"/>
    <n v="2012097501"/>
    <s v="01-10-2040"/>
    <s v="Matematika (S1)"/>
    <s v="Statistika"/>
    <s v="Ketua Program Studi  Matematika"/>
    <d v="2024-10-23T00:00:00"/>
    <m/>
  </r>
  <r>
    <n v="13"/>
    <s v="Maria Ulfah Siregar, S.Kom., MIT., Ph.D."/>
    <x v="2"/>
    <s v="L. 134413"/>
    <s v="Padang"/>
    <d v="1978-01-06T00:00:00"/>
    <s v="197801062002122001"/>
    <s v="3404074601780006"/>
    <s v="IV/b"/>
    <d v="2024-10-01T00:00:00"/>
    <n v="21"/>
    <n v="10"/>
    <s v="Lektor Kepala"/>
    <d v="2022-05-01T00:00:00"/>
    <x v="1"/>
    <s v="Teknik Informatika ITS Tahun 2002"/>
    <s v="Sains Komputer Universitas Kebangsaan Malaysia Tahun 2007"/>
    <s v="Computer Science University of Sheffield United Kingdom  Tahun 2017"/>
    <n v="102100504684"/>
    <n v="2006017801"/>
    <d v="2043-02-01T00:00:00"/>
    <s v="Informatika (S2)"/>
    <s v="Sistem Cerdas"/>
    <m/>
    <m/>
    <m/>
  </r>
  <r>
    <n v="14"/>
    <s v="Dr. Bambang Sugiantoro, M.T., IPU.,ASEAN Eng."/>
    <x v="1"/>
    <s v="P.513663"/>
    <s v="Sleman"/>
    <d v="1975-10-24T00:00:00"/>
    <s v="197510242009121002"/>
    <s v="3404112410750002"/>
    <s v="IV/b"/>
    <d v="2024-10-01T00:00:00"/>
    <n v="17"/>
    <n v="7"/>
    <s v="Lektor Kepala"/>
    <d v="2022-05-01T00:00:00"/>
    <x v="1"/>
    <s v="Ilmu Komputer UGM Tahun 2000"/>
    <s v="Teknik Elektro ITB Tahun 2004"/>
    <s v="Ilmu Komputer UGM Tahun 2016"/>
    <n v="142100512843"/>
    <s v="0524107501"/>
    <d v="2040-11-01T00:00:00"/>
    <s v="Informatika (S2)"/>
    <s v="Jaringan Komputer dan Sistem Operasi"/>
    <m/>
    <m/>
    <m/>
  </r>
  <r>
    <n v="15"/>
    <s v="Muhammad Taufiq Nuruzzaman, ST., M.Eng., Ph.D."/>
    <x v="1"/>
    <s v="M. 135297"/>
    <s v="Sragen"/>
    <d v="1979-11-18T00:00:00"/>
    <s v="197911182005011003"/>
    <s v="3404121011790007"/>
    <s v="IV/a"/>
    <d v="2024-04-01T00:00:00"/>
    <n v="19"/>
    <n v="3"/>
    <s v="Lektor Kepala"/>
    <d v="2021-10-01T00:00:00"/>
    <x v="1"/>
    <s v="Teknik ITB 2003"/>
    <s v="Chonnam National University 2011"/>
    <s v="Computer Science and Information Engineering, National Taiwan University 2020"/>
    <n v="122100509813"/>
    <n v="2018117901"/>
    <d v="2044-12-01T00:00:00"/>
    <s v="Informatika (S2)"/>
    <s v="Sistem Komputer dan Jaringan"/>
    <s v="Wakil Dekan Bid. Kemahasiswaan, dan Kerjasama  Fakultas  Sains dan Teknologi Masa Jabatan 2024-2028"/>
    <d v="2024-10-14T00:00:00"/>
    <m/>
  </r>
  <r>
    <n v="16"/>
    <s v="Dr. Ir. Yandra Rahadian Perdana, ST, MT."/>
    <x v="1"/>
    <s v="P. 513660"/>
    <s v="Yogyakarta"/>
    <d v="1981-10-25T00:00:00"/>
    <s v="198110252009121002"/>
    <s v="3601252510810001"/>
    <s v="IV/a"/>
    <d v="2022-10-01T00:00:00"/>
    <n v="12"/>
    <n v="10"/>
    <s v="Lektor Kepala"/>
    <d v="2022-06-01T00:00:00"/>
    <x v="1"/>
    <s v="Teknik Industri UII Tahun 2005"/>
    <s v="Teknik Industri UII Tahun 2008"/>
    <s v="Manajemen UGM Tahun ....."/>
    <n v="132100511998"/>
    <n v="2025108101"/>
    <d v="2046-11-01T00:00:00"/>
    <s v="Teknik Industri (S2)"/>
    <s v="Perencanaan dan Pengendalian Sistem Industri"/>
    <m/>
    <m/>
    <m/>
  </r>
  <r>
    <n v="17"/>
    <s v="Dr. Esti Wahyu Widowati, M.Si. "/>
    <x v="2"/>
    <s v="M 263435"/>
    <s v="Wonosobo"/>
    <d v="1976-08-30T00:00:00"/>
    <s v="197608302003122001"/>
    <s v="3323037008760001"/>
    <s v="III/d"/>
    <d v="2024-04-01T00:00:00"/>
    <n v="20"/>
    <n v="4"/>
    <s v="Lektor"/>
    <s v="01-01-2010"/>
    <x v="1"/>
    <s v="Kimia UNDIP Tahun 1999"/>
    <s v="Ilmu Kimia UGM Tahun 2003 / Bioteknologi UGM Tahun 2010"/>
    <s v="Westfalische Technische Hochschule (RWTH) Aachen University, Jerman 2018"/>
    <n v="102100504656"/>
    <n v="2030087501"/>
    <d v="2041-09-01T00:00:00"/>
    <s v="Kimia (S1)"/>
    <s v="Biokimia"/>
    <s v="Sekretaris CDCIA"/>
    <m/>
    <m/>
  </r>
  <r>
    <n v="18"/>
    <s v="Dr. Arifah Khusnuryani, S.Si., M.Si "/>
    <x v="2"/>
    <s v="J. 090951"/>
    <s v="Yogyakarta"/>
    <s v="15-05-1975"/>
    <s v="197505152000032001"/>
    <s v="3434055505750002"/>
    <s v="III/d"/>
    <d v="2014-10-01T00:00:00"/>
    <n v="14"/>
    <n v="7"/>
    <s v="Lektor"/>
    <s v="01-07-2010"/>
    <x v="1"/>
    <s v="Biologi Lingkungan UGM Tahun 1998"/>
    <s v="Biologi UGM Tahun 2002"/>
    <s v="Bioteknologi UGM Tahun 2016"/>
    <n v="102100504644"/>
    <n v="2015057501"/>
    <d v="2040-06-01T00:00:00"/>
    <s v="Biologi (S1)"/>
    <s v="Biologi"/>
    <s v="Ketua Pengelola Laboraotorium Terpadu  "/>
    <d v="2024-10-11T00:00:00"/>
    <m/>
  </r>
  <r>
    <n v="19"/>
    <s v="Dr. Sumarsono, ST., M. Kom."/>
    <x v="1"/>
    <s v="M 135296"/>
    <s v="Probolinggo"/>
    <d v="1971-02-09T00:00:00"/>
    <s v="197102092005011003"/>
    <s v="3471140902710001"/>
    <s v="III/d"/>
    <d v="2020-04-01T00:00:00"/>
    <n v="15"/>
    <n v="3"/>
    <s v="Lektor"/>
    <d v="2010-08-01T00:00:00"/>
    <x v="1"/>
    <s v="Teknik Informatika UAD Tahun 2000"/>
    <s v="Ilmu Komputer UGM Tahun 2004"/>
    <s v="Pendidikan Agama Islam UIN Sunan Kalijaga Tahun 2023"/>
    <n v="102100504759"/>
    <n v="2009027101"/>
    <d v="2036-03-01T00:00:00"/>
    <s v="Teknik Informatika (S1)"/>
    <s v="Sistem Informasi"/>
    <s v="Ketua Program Studi Magister Informatika"/>
    <d v="2024-10-23T00:00:00"/>
    <m/>
  </r>
  <r>
    <n v="20"/>
    <s v="Dr. Thaqibul Fikri Niyartama, S. Si., M.Si."/>
    <x v="1"/>
    <s v="M. 135299"/>
    <s v="Semarang"/>
    <d v="1977-10-25T00:00:00"/>
    <s v="197710252005011004"/>
    <s v="3471132510770005"/>
    <s v="III/d"/>
    <d v="2024-04-01T00:00:00"/>
    <n v="19"/>
    <n v="3"/>
    <s v="Lektor"/>
    <d v="2010-08-01T00:00:00"/>
    <x v="1"/>
    <s v="Fisika UNDIP Tahun 2001 "/>
    <s v="Ilmu Fisika UGM Tahun 2005"/>
    <s v="Fisika ITB Tahun 2016"/>
    <n v="102100504767"/>
    <n v="2025107701"/>
    <d v="2042-11-01T00:00:00"/>
    <s v="Fisika (S1)"/>
    <s v="Geofisika dan Kebencanaan"/>
    <m/>
    <m/>
    <m/>
  </r>
  <r>
    <n v="21"/>
    <s v="Dr. Ir. Ira Setyaningsih, S.T., M.Sc."/>
    <x v="2"/>
    <s v="N 044386"/>
    <s v="Bojonegoro"/>
    <d v="1979-03-26T00:00:00"/>
    <s v="197903262006042002"/>
    <s v="3402126603790004"/>
    <s v="III/d"/>
    <d v="2016-04-01T00:00:00"/>
    <n v="10"/>
    <n v="0"/>
    <s v="Lektor"/>
    <s v="01-10-2010"/>
    <x v="1"/>
    <s v="Teknik Informatika UGM Tahun 2003"/>
    <s v="Peningkatan Kualiti dan Produktiviti Universitas Kebangsaan Malaysia Tahun 2006"/>
    <s v="Ilmu Manajemen UGM Tahun 2021"/>
    <n v="102100504666"/>
    <n v="2026037901"/>
    <d v="2044-07-01T00:00:00"/>
    <s v="Teknik Industri (S2)"/>
    <s v="Manajemen Industri"/>
    <s v="Ketua Prodi Magister Teknik Industri"/>
    <d v="2024-10-23T00:00:00"/>
    <s v=" "/>
  </r>
  <r>
    <n v="22"/>
    <s v="Dr. Widayanti, S.Si.,M.Si"/>
    <x v="2"/>
    <s v="N. 044387"/>
    <s v="Surakarta"/>
    <s v="26-05-1976"/>
    <s v="197605262006042005"/>
    <s v="3372046605760001"/>
    <s v="III/d"/>
    <d v="2024-04-01T00:00:00"/>
    <n v="18"/>
    <n v="0"/>
    <s v="Lektor"/>
    <s v="01-06-2011"/>
    <x v="1"/>
    <s v="Fisika UGM Tahun 2001 "/>
    <s v="Ilmu Fisika UGM Tahun 2006"/>
    <s v="Fisika UGM  Tahun 2018"/>
    <n v="102100504771"/>
    <n v="2026057601"/>
    <d v="2041-06-01T00:00:00"/>
    <s v="Fisika (S1)"/>
    <s v="Material Sensor"/>
    <s v="Ketua  Program Studi  Fisika"/>
    <d v="2024-10-23T00:00:00"/>
    <m/>
  </r>
  <r>
    <n v="23"/>
    <s v="Mohammad Farhan Qudratullah,S.Si, M.Si"/>
    <x v="1"/>
    <s v="N 519123"/>
    <s v="Bima"/>
    <s v="22-09-1979"/>
    <s v="197909222008011011"/>
    <s v="5272012209790005"/>
    <s v="III/d"/>
    <d v="2015-04-01T00:00:00"/>
    <n v="7"/>
    <n v="3"/>
    <s v="Lektor"/>
    <s v="01-11-2012"/>
    <x v="2"/>
    <s v=" Statistika UGM  Tahun 2002"/>
    <s v="Matematika UGM Tahun 2007"/>
    <m/>
    <n v="112100515320036"/>
    <n v="2022097901"/>
    <d v="2044-10-01T00:00:00"/>
    <s v="Matematika (S1)"/>
    <s v="Statistika"/>
    <m/>
    <m/>
    <m/>
  </r>
  <r>
    <n v="24"/>
    <s v="Dr. Nita Handayani, S.Si, M.Si"/>
    <x v="2"/>
    <s v="N 519115"/>
    <s v="Pati"/>
    <s v="26-01-1982"/>
    <s v="198201262008012008"/>
    <s v="3471131706820001"/>
    <s v="III/d"/>
    <d v="2024-04-01T00:00:00"/>
    <n v="16"/>
    <n v="3"/>
    <s v="Lektor Kepala"/>
    <s v="01-08-2023"/>
    <x v="1"/>
    <s v="Fisika UNS Tahun 2003"/>
    <s v="Ilmu Fisika UGM Tahun 2006"/>
    <s v=" Fisika Medis ITB Tahun 2018"/>
    <n v="112100511510014"/>
    <n v="2026018201"/>
    <d v="2047-02-01T00:00:00"/>
    <s v="Fisika (S1)"/>
    <s v="Biofisika dan Fisika Medis"/>
    <s v="Koordinator Pusat Inovasi, Kekayaan Intelektual dan Hilirisasi pada pada LP2M Masa Jabatan 2024-2028"/>
    <d v="2024-10-14T00:00:00"/>
    <m/>
  </r>
  <r>
    <n v="25"/>
    <s v="Sri Utami Zuliana, S.Si, M.Sc., Ph.D."/>
    <x v="2"/>
    <s v="K. 018919"/>
    <s v="Jakarta"/>
    <s v="03-10-1974"/>
    <s v="197410032000032002"/>
    <s v="3471134310740001"/>
    <s v="III/d"/>
    <d v="2024-04-01T00:00:00"/>
    <n v="24"/>
    <n v="1"/>
    <s v="Lektor"/>
    <s v="01-01-2013"/>
    <x v="1"/>
    <s v="Matematika UGM  Tahun 1999"/>
    <s v="Matematika UGM Tahun 2008"/>
    <s v="Statistics, University of Essex United Kingdom Tahun 2018"/>
    <n v="102100504754"/>
    <n v="2003107402"/>
    <d v="2039-11-01T00:00:00"/>
    <s v="Matematika (S1)"/>
    <s v="Matematika"/>
    <m/>
    <m/>
    <m/>
  </r>
  <r>
    <n v="26"/>
    <s v="Frida Agung Rakhmadi, S. Si., M.Sc."/>
    <x v="1"/>
    <s v="M. 135301"/>
    <s v="Klaten"/>
    <d v="1978-05-10T00:00:00"/>
    <s v="197805102005011003"/>
    <s v="3310081005780007"/>
    <s v="III/d"/>
    <d v="2024-04-01T00:00:00"/>
    <n v="19"/>
    <n v="3"/>
    <s v="Lektor"/>
    <d v="2013-01-01T00:00:00"/>
    <x v="2"/>
    <s v="Fisika UNY Tahun 2004"/>
    <s v="Fisika UGM Tahun 2011"/>
    <m/>
    <n v="112100515210035"/>
    <n v="2010057801"/>
    <d v="2043-06-01T00:00:00"/>
    <s v="Fisika (S1)"/>
    <s v="Instrumentasi dan Pengukuran "/>
    <m/>
    <m/>
    <m/>
  </r>
  <r>
    <n v="27"/>
    <s v="Dr. Sugiyanto, S.Si, S.T., M.Si"/>
    <x v="1"/>
    <s v="P 163255"/>
    <s v="Bantul"/>
    <d v="1980-05-05T00:00:00"/>
    <s v="198005052008011028"/>
    <s v="3402150505800003"/>
    <s v="III/d"/>
    <d v="2024-10-01T00:00:00"/>
    <n v="16"/>
    <n v="9"/>
    <s v="Lektor"/>
    <s v="01-03-2013"/>
    <x v="1"/>
    <s v="Matematika UNY Tahun 2004 / Teknik Mesin UGM Tahun 2008"/>
    <s v="Matematika UGM Tahun 2007"/>
    <s v="Matematika UGM Tahun 2019"/>
    <n v="112100515320037"/>
    <n v="2005058001"/>
    <s v="01-06-2045"/>
    <s v="Matematika (S1)"/>
    <s v="Matematika Terapan"/>
    <m/>
    <m/>
    <m/>
  </r>
  <r>
    <n v="28"/>
    <s v="Noor Saif Muhammad Mussafi, S.Si., M.Sc., Ph.D."/>
    <x v="1"/>
    <s v="P. 513659"/>
    <s v="Yogyakarta"/>
    <d v="1982-06-17T00:00:00"/>
    <s v="198206172009121005"/>
    <s v="3471131706820001"/>
    <s v="IV/a"/>
    <d v="2024-04-01T00:00:00"/>
    <n v="14"/>
    <n v="4"/>
    <s v="Lektor Kepala"/>
    <d v="2023-08-01T00:00:00"/>
    <x v="1"/>
    <s v="Matematika UNY Tahun 2004   "/>
    <s v="Mathematik Technische Universitat Chemnitz Germany, 2009"/>
    <s v="Matematika UTM Tahun 2022"/>
    <n v="132100511982"/>
    <n v="2017068201"/>
    <d v="2047-07-01T00:00:00"/>
    <s v="Matematika (S1)"/>
    <s v="Matematika Terapan"/>
    <s v="Ketua Cendi"/>
    <d v="2024-10-11T00:00:00"/>
    <s v=" "/>
  </r>
  <r>
    <n v="29"/>
    <s v="Karmanto, S.Si., M.Sc."/>
    <x v="1"/>
    <s v="P.513662"/>
    <s v="Cilacap"/>
    <d v="1982-05-04T00:00:00"/>
    <s v="198205042009121005"/>
    <s v="3301040405820009"/>
    <s v="III/d"/>
    <d v="2019-10-01T00:00:00"/>
    <n v="9"/>
    <n v="10"/>
    <s v="Lektor"/>
    <d v="2014-04-01T00:00:00"/>
    <x v="2"/>
    <s v="Kimia UGM Tahun 2006  "/>
    <s v="Ilmu Kimia UGM Tahun 2008"/>
    <s v=" "/>
    <n v="132100511967"/>
    <n v="2004058202"/>
    <d v="2047-06-01T00:00:00"/>
    <s v="Kimia (S1)"/>
    <s v="Kimia Lingkungan"/>
    <s v="Koordinator Bidang Kimia pada Laboratorium Terpadu "/>
    <d v="2022-09-23T00:00:00"/>
    <m/>
  </r>
  <r>
    <n v="30"/>
    <s v="Nurochman, S.Kom., M.Kom."/>
    <x v="1"/>
    <s v="P. 516620"/>
    <s v="Cilacap"/>
    <d v="1980-12-23T00:00:00"/>
    <s v="198012232009011007"/>
    <s v="3404072312800016"/>
    <s v="III/d"/>
    <d v="2024-06-01T00:00:00"/>
    <n v="15"/>
    <n v="5"/>
    <s v="Lektor"/>
    <d v="2014-07-01T00:00:00"/>
    <x v="2"/>
    <s v="Teknik Informatika Institut Sains dan Teknologi AKPRIND Yogyakarta Tahun 2004 "/>
    <s v=" Ilmu Komputer UGM Tahun 2007"/>
    <m/>
    <n v="132100511984"/>
    <n v="2023128001"/>
    <d v="2046-01-01T00:00:00"/>
    <s v="Teknik Informatika (S1)"/>
    <s v="Sistem Cerdas"/>
    <m/>
    <s v=" "/>
    <m/>
  </r>
  <r>
    <n v="31"/>
    <s v="Dr. Eka Sulistiyowati, S.Si, MA."/>
    <x v="2"/>
    <s v="P 163500"/>
    <s v="Gunungkidul"/>
    <d v="1981-07-05T00:00:00"/>
    <s v="198107052008012032"/>
    <s v="3402144507810002"/>
    <s v="III/d"/>
    <s v="01-04-2024"/>
    <n v="16"/>
    <n v="3"/>
    <s v="Lektor"/>
    <d v="2014-09-01T00:00:00"/>
    <x v="1"/>
    <s v="Biologi UGM Tahun 2003"/>
    <s v="Educational Studies McGill University Canada, 2007"/>
    <s v="Ilmu Lingkungan, UGM, 2023"/>
    <n v="132100511954"/>
    <n v="2005078102"/>
    <s v="01-08-2046"/>
    <s v="Biologi (S1)"/>
    <s v="Pendidikan Biologi dan Biologi Lingkungan"/>
    <s v=" "/>
    <s v=" "/>
    <s v=" "/>
  </r>
  <r>
    <n v="32"/>
    <s v="Siti Aisah, S.Si, M.Si"/>
    <x v="2"/>
    <s v="N 519116"/>
    <s v="Kendal"/>
    <s v="11-06-1974"/>
    <s v="197406112008012009"/>
    <s v="3404015106740002"/>
    <s v="III/d"/>
    <s v="01-04-2024"/>
    <n v="16"/>
    <n v="3"/>
    <s v="Lektor"/>
    <s v="01-11-2014"/>
    <x v="2"/>
    <s v="Biologi Lingkungan UGM Tahun 1998"/>
    <s v="Ilmu Lingkungan UGM Tahun 2001"/>
    <m/>
    <n v="112100515110031"/>
    <n v="2011067401"/>
    <d v="2039-07-01T00:00:00"/>
    <s v="Biologi (S1)"/>
    <s v="Biologi"/>
    <m/>
    <m/>
    <m/>
  </r>
  <r>
    <n v="33"/>
    <s v="Lela Susilawati, S.Pd., M.Si."/>
    <x v="2"/>
    <s v="P.513664"/>
    <s v="Tasikmalaya"/>
    <d v="1979-01-27T00:00:00"/>
    <s v="197901272009012004"/>
    <s v="3471026701790002"/>
    <s v="III/d"/>
    <d v="2024-12-01T00:00:00"/>
    <n v="15"/>
    <n v="11"/>
    <s v="Lektor"/>
    <d v="2014-12-01T00:00:00"/>
    <x v="2"/>
    <s v="Pendidikan Biologi UAD Tahun 2004 "/>
    <s v="Biologi UGM Tahun 2007 "/>
    <m/>
    <n v="132100511969"/>
    <s v="0527017902"/>
    <d v="2044-02-01T00:00:00"/>
    <s v="Biologi (S1)"/>
    <s v="Mikrobiologi"/>
    <m/>
    <m/>
    <s v=" "/>
  </r>
  <r>
    <n v="34"/>
    <s v="Dr. Agung Fatwanto, S. Si., M. Kom."/>
    <x v="1"/>
    <s v="M. 135302"/>
    <s v="Klaten"/>
    <d v="1977-01-03T00:00:00"/>
    <s v="197701032005011003"/>
    <s v="3310080301770001"/>
    <s v="III/d"/>
    <d v="2017-10-01T00:00:00"/>
    <n v="12"/>
    <n v="9"/>
    <s v="Lektor"/>
    <s v="01-05-2015"/>
    <x v="1"/>
    <s v="Ilmu Komputer UGM Tahun 2000"/>
    <s v="UGM Tahun 2004"/>
    <s v="Komputer Sains Australian National University (ANU) 2012"/>
    <n v="112100518130045"/>
    <n v="2003017701"/>
    <d v="2042-02-01T00:00:00"/>
    <s v="Informatika (S2)"/>
    <s v="Rekayasa Perangkat Lunak"/>
    <m/>
    <m/>
    <m/>
  </r>
  <r>
    <n v="35"/>
    <s v="Najda Rifqiyati, S.Si., M.Si."/>
    <x v="2"/>
    <s v="P. 512927"/>
    <s v="Surakarta"/>
    <d v="1979-05-23T00:00:00"/>
    <s v="197905232009012008"/>
    <s v="3521126305790002"/>
    <s v="III/d"/>
    <d v="2020-10-01T00:00:00"/>
    <n v="11"/>
    <n v="9"/>
    <s v="Lektor"/>
    <d v="2015-05-01T00:00:00"/>
    <x v="2"/>
    <s v="Biologi UNS Tahun 2002"/>
    <s v="Biologi Reproduksi IPB Tahun 2006"/>
    <s v=" "/>
    <n v="132100511980"/>
    <n v="2023057901"/>
    <d v="2044-06-01T00:00:00"/>
    <s v="Biologi (S1)"/>
    <s v="Zoologi"/>
    <m/>
    <m/>
    <m/>
  </r>
  <r>
    <n v="36"/>
    <s v="Irwan Nugraha, S.Si., M.Sc."/>
    <x v="1"/>
    <s v="P. 684482"/>
    <s v="Tasikmalaya"/>
    <d v="1982-03-29T00:00:00"/>
    <s v="198203292011011005"/>
    <s v="3206242903820002"/>
    <s v="III/d"/>
    <d v="2018-10-01T00:00:00"/>
    <n v="7"/>
    <n v="9"/>
    <s v="Lektor"/>
    <d v="2015-05-01T00:00:00"/>
    <x v="2"/>
    <s v="Kimia Univ. Pendidikan Indonesia Bandung Tahun 2006"/>
    <s v="Ilmu Kimia UGM Tahun 2010"/>
    <s v=" "/>
    <n v="132100511962"/>
    <s v="0029038202"/>
    <d v="2047-04-01T00:00:00"/>
    <s v="Kimia (S1)"/>
    <s v="Kimia Anorganik"/>
    <m/>
    <m/>
    <s v="TUGAS BELAJAR"/>
  </r>
  <r>
    <n v="37"/>
    <s v="Asih Melati, S.Si., M.Sc., Ph.D."/>
    <x v="2"/>
    <s v="P. 684483"/>
    <s v="Sukoharjo"/>
    <d v="1984-11-10T00:00:00"/>
    <s v="198411102011012017"/>
    <s v="3404065011840003"/>
    <s v="III/d"/>
    <d v="2020-04-01T00:00:00"/>
    <n v="9"/>
    <n v="3"/>
    <s v="Lektor"/>
    <d v="2015-08-01T00:00:00"/>
    <x v="1"/>
    <s v="Fisika UGM Tahun 2008 "/>
    <s v="Fisika UGM Tahun 2010"/>
    <s v="Physics, INSA Centre Val De Loire France 2024"/>
    <n v="132100511947"/>
    <n v="2010118401"/>
    <d v="2049-12-01T00:00:00"/>
    <s v="Fisika (S1)"/>
    <s v="Material Komposit"/>
    <m/>
    <m/>
    <s v=" "/>
  </r>
  <r>
    <n v="38"/>
    <s v="Erny Qurotul Ainy, S.Si., M.Si."/>
    <x v="2"/>
    <s v="P. 516615"/>
    <s v="Bandung"/>
    <d v="1979-12-17T00:00:00"/>
    <s v="197912172009012004"/>
    <s v="3313115712790002"/>
    <s v="III/d"/>
    <d v="2024-10-01T00:00:00"/>
    <n v="15"/>
    <n v="9"/>
    <s v="Lektor"/>
    <d v="2015-11-01T00:00:00"/>
    <x v="2"/>
    <s v="Biologi ITB Tahun 2004"/>
    <s v="Bioteknologi ITB Tahun 2008"/>
    <m/>
    <n v="132100511955"/>
    <n v="2017127901"/>
    <d v="2045-01-01T00:00:00"/>
    <s v="Biologi (S1)"/>
    <s v="Mikrobiologi"/>
    <m/>
    <m/>
    <s v="TUGAS BELAJAR"/>
  </r>
  <r>
    <n v="39"/>
    <s v="Malahayati, S.Si., M.Sc."/>
    <x v="2"/>
    <s v="P. 684480"/>
    <s v="Tanjung Karang"/>
    <d v="1984-04-12T00:00:00"/>
    <s v="198404122011012010"/>
    <s v="1801135204840012"/>
    <s v="III/d"/>
    <d v="2024-04-01T00:00:00"/>
    <n v="13"/>
    <n v="3"/>
    <s v="Lektor"/>
    <d v="2015-11-01T00:00:00"/>
    <x v="2"/>
    <s v="Matematika UGM Tahun 2006"/>
    <s v="Matematika UGM Tahun 2010"/>
    <s v=" "/>
    <n v="132100511972"/>
    <s v="0012048402"/>
    <d v="2049-05-01T00:00:00"/>
    <s v="Matematika (S1)"/>
    <s v="Analisis           "/>
    <m/>
    <m/>
    <m/>
  </r>
  <r>
    <n v="40"/>
    <s v="Ir. Muhammad Didik Rohmad Wahyudi, ST, MT."/>
    <x v="1"/>
    <s v="P. 512928"/>
    <s v="Blora"/>
    <d v="1976-08-12T00:00:00"/>
    <s v="197608122009011015"/>
    <s v="3404012087800001"/>
    <s v="III/d"/>
    <d v="2019-04-01T00:00:00"/>
    <n v="10"/>
    <n v="3"/>
    <s v="Lektor"/>
    <d v="2016-10-01T00:00:00"/>
    <x v="2"/>
    <s v="Manajemen Informatika &amp; Teknik Komputer AKPRIND 2000 "/>
    <s v="Teknik Elektro UGM Tahun 2003 "/>
    <s v=" "/>
    <n v="1321005110977"/>
    <n v="2012087602"/>
    <d v="2041-09-01T00:00:00"/>
    <s v="Teknik Informatika (S1)"/>
    <s v="Sistem Informasi dan Basis Data"/>
    <s v="Sekretaris Program Studi Magister Informatika"/>
    <d v="2024-10-23T00:00:00"/>
    <m/>
  </r>
  <r>
    <n v="41"/>
    <s v="M. Mustakim, ST., M.T"/>
    <x v="1"/>
    <s v="M. 136385"/>
    <s v="Srikaton"/>
    <d v="1979-03-31T00:00:00"/>
    <s v="197903312005011004"/>
    <s v="3402033103790001"/>
    <s v="III/c"/>
    <d v="2019-04-01T00:00:00"/>
    <n v="14"/>
    <n v="3"/>
    <s v="Lektor"/>
    <d v="2017-01-01T00:00:00"/>
    <x v="2"/>
    <s v="Teknik Informatika UII Tahun 2001"/>
    <s v="Informatika ITB Tahun 2007"/>
    <m/>
    <n v="112100518130044"/>
    <n v="2030047901"/>
    <d v="2044-05-01T00:00:00"/>
    <s v="Teknik Informatika (S1)"/>
    <s v="Sistem Informasi dan Basis Data"/>
    <s v="Ketua  Program Studi  Teknik Informatika"/>
    <d v="2024-10-23T00:00:00"/>
    <m/>
  </r>
  <r>
    <n v="42"/>
    <s v="Ir. Taufiq Aji, S.T.,M.T., IPM."/>
    <x v="1"/>
    <s v="N 048209"/>
    <s v="Sleman"/>
    <s v="15-07-1980"/>
    <s v="198007152006041002"/>
    <s v="3404031507800001"/>
    <s v="III/d"/>
    <d v="2021-04-01T00:00:00"/>
    <n v="15"/>
    <n v="0"/>
    <s v="Lektor"/>
    <d v="2017-01-01T00:00:00"/>
    <x v="2"/>
    <s v="Teknik Industri UGM Tahun 2003"/>
    <s v="Teknik dan Manajemen Industri ITB Tahun 2007"/>
    <m/>
    <n v="112100518120041"/>
    <n v="2015078001"/>
    <d v="2045-08-01T00:00:00"/>
    <s v="Teknik Industri (S1)"/>
    <s v="Rekayasa Industri"/>
    <m/>
    <m/>
    <m/>
  </r>
  <r>
    <n v="43"/>
    <s v="Tutik Farihah, ST. M.Sc."/>
    <x v="2"/>
    <s v="M. 135298"/>
    <s v="Blitar"/>
    <d v="1980-07-06T00:00:00"/>
    <s v="198007062005012007"/>
    <s v="3505010460790002"/>
    <s v="III/d"/>
    <d v="2022-04-01T00:00:00"/>
    <n v="17"/>
    <n v="3"/>
    <s v="Lektor"/>
    <d v="2017-07-01T00:00:00"/>
    <x v="2"/>
    <s v="Teknik Industri ITSN Surabaya Tahun 2003"/>
    <s v="Teknik Industri UGM Tahun 2014"/>
    <m/>
    <n v="142100512853"/>
    <n v="2006078001"/>
    <d v="2045-08-01T00:00:00"/>
    <s v="Teknik Industri (S1)"/>
    <s v="Pengambilan Keputusan Industri"/>
    <m/>
    <m/>
    <m/>
  </r>
  <r>
    <n v="44"/>
    <s v="Ika Nugraheni Ari Martiwi, S.Si, M.Si."/>
    <x v="2"/>
    <s v="P. 513657"/>
    <s v="Magelang"/>
    <d v="1980-02-07T00:00:00"/>
    <s v="198002072009122002"/>
    <s v="3404114702800002"/>
    <s v="III/d"/>
    <d v="2024-04-01T00:00:00"/>
    <n v="14"/>
    <n v="4"/>
    <s v="Lektor"/>
    <d v="2017-11-01T00:00:00"/>
    <x v="2"/>
    <s v="Biologi UGM Tahun 2003 "/>
    <s v="Biologi UGM Tahun 2007 "/>
    <s v=" "/>
    <s v="132100511960"/>
    <s v="0007028002"/>
    <d v="2045-03-01T00:00:00"/>
    <s v="Biologi (S1)"/>
    <s v="Botani"/>
    <s v="Ketua  Program Studi  Biologi"/>
    <d v="2024-10-23T00:00:00"/>
    <m/>
  </r>
  <r>
    <n v="45"/>
    <s v="Ade Ratnasari, S.Kom, M.T"/>
    <x v="2"/>
    <s v="N 044394"/>
    <s v="Sukabumi"/>
    <s v="17-12-1980"/>
    <s v="198012172006042002"/>
    <s v="3471135712800001"/>
    <s v="III/d"/>
    <d v="2018-10-01T00:00:00"/>
    <n v="12"/>
    <n v="6"/>
    <s v="Lektor"/>
    <s v="01-03-2018"/>
    <x v="2"/>
    <s v="Teknik Informatika UTY Tahun 2003"/>
    <s v="Teknologi Informasi UGM Tahun 2006"/>
    <m/>
    <n v="102100504633"/>
    <n v="2017128001"/>
    <d v="2046-01-01T00:00:00"/>
    <s v="Teknik Informatika (S1)"/>
    <s v="Sistem Informasi"/>
    <m/>
    <m/>
    <s v="TUGAS BELAJAR"/>
  </r>
  <r>
    <n v="46"/>
    <s v="Didik Krisdiyanto, S.Si., M.Sc."/>
    <x v="1"/>
    <s v="P. 684485"/>
    <s v="Sleman"/>
    <d v="1981-11-11T00:00:00"/>
    <s v="198111112011011007"/>
    <s v="3471030408810002"/>
    <s v="III/d"/>
    <d v="2024-04-01T00:00:00"/>
    <n v="13"/>
    <n v="3"/>
    <s v="Lektor"/>
    <d v="2018-05-01T00:00:00"/>
    <x v="2"/>
    <s v="Kimia UGM Tahun 2005"/>
    <s v="Ilmu Kimia UGM Tahun 2009"/>
    <s v=" "/>
    <s v="182100516049 "/>
    <n v="2011118101"/>
    <d v="2046-12-01T00:00:00"/>
    <s v="Kimia (S1)"/>
    <s v="Kimia Fisika/Komputasi"/>
    <m/>
    <m/>
    <m/>
  </r>
  <r>
    <n v="47"/>
    <s v="Ir. Trio Yonathan Teja Kusuma, S.T., M.T., IPM."/>
    <x v="1"/>
    <m/>
    <s v="Pemalang"/>
    <d v="1989-07-15T00:00:00"/>
    <s v="198907152015031007"/>
    <s v="3402161507890002"/>
    <s v="III/d"/>
    <d v="2022-04-01T00:00:00"/>
    <n v="7"/>
    <n v="1"/>
    <s v="Lektor"/>
    <d v="2019-04-01T00:00:00"/>
    <x v="2"/>
    <s v="Teknik Industri UIN Sunan Kalijaga Tahun 2011"/>
    <s v="Teknik  Industri UII Tahun 2013"/>
    <m/>
    <n v="192100517413"/>
    <n v="2015078901"/>
    <d v="2054-08-01T00:00:00"/>
    <s v="Teknik Industri (S1)"/>
    <s v="Rekayasa Industri"/>
    <s v="Koordinator Pusat Pemeringkatan dan Sustainable Development Goals (SDGs) pada pada LP2M Masa Jabatan 2024-2028"/>
    <d v="2024-10-14T00:00:00"/>
    <m/>
  </r>
  <r>
    <n v="48"/>
    <s v="Dr. Ir. Aulia Faqih Rifa'i, M.Kom."/>
    <x v="1"/>
    <s v="P. 684481"/>
    <s v="Grobogan"/>
    <d v="1986-03-06T00:00:00"/>
    <s v="198603062011011009"/>
    <s v="3315020603860002"/>
    <s v="III/d"/>
    <d v="2021-10-01T00:00:00"/>
    <n v="10"/>
    <n v="9"/>
    <s v="Lektor"/>
    <d v="2019-08-01T00:00:00"/>
    <x v="1"/>
    <s v="Sistem Informasi Univ. Dian Nuswantoro Tahun 2007 "/>
    <s v="Teknik Informatika Univ. Dian Nuswantoro Tahun 2010 "/>
    <s v="Studi Islam UIN Sunan Kalijaga Tahun 2023"/>
    <n v="132100511950"/>
    <s v="0006038601"/>
    <d v="2051-04-01T00:00:00"/>
    <s v="Teknik Informatika (S1)"/>
    <s v="Informatika"/>
    <s v="Kepala  UPT Pusat Pengembangan Bisnis Masa Jabatan 2024-2028"/>
    <d v="2024-10-14T00:00:00"/>
    <m/>
  </r>
  <r>
    <n v="49"/>
    <s v="Anis Yuniati, S.Si.,M.Si., Ph.D."/>
    <x v="2"/>
    <s v="P. 516622"/>
    <s v="Sukoharjo"/>
    <d v="1983-06-14T00:00:00"/>
    <s v="198306142009012009"/>
    <s v="3311095406830002"/>
    <s v="III/d"/>
    <d v="2022-04-01T00:00:00"/>
    <n v="13"/>
    <n v="3"/>
    <s v="Lektor"/>
    <d v="2019-12-01T00:00:00"/>
    <x v="1"/>
    <s v="Fisika UNS Tahun 2005 "/>
    <s v="Ilmu Fisika UGM Tahun 2007 "/>
    <s v="Fisika NTNU Tahun 2018"/>
    <s v="182100516034 "/>
    <n v="2014068301"/>
    <d v="2048-07-01T00:00:00"/>
    <s v="Fisika (S1)"/>
    <s v="Biofisika dan Neurosains"/>
    <m/>
    <m/>
    <m/>
  </r>
  <r>
    <n v="50"/>
    <s v="Cecilia Yanuarief, M.Si."/>
    <x v="1"/>
    <m/>
    <s v="Pontianak"/>
    <d v="1984-01-27T00:00:00"/>
    <s v="198401272015031001"/>
    <s v="3402122701840001"/>
    <s v="III/d"/>
    <d v="2024-10-01T00:00:00"/>
    <n v="9"/>
    <n v="7"/>
    <s v="Lektor"/>
    <d v="2019-12-01T00:00:00"/>
    <x v="2"/>
    <s v="Fisika UNY Tahun 2009"/>
    <s v="Ilmu Fisika UNS Tahun 2012"/>
    <m/>
    <s v="182100516047 "/>
    <s v="2027018402"/>
    <d v="2049-02-01T00:00:00"/>
    <s v="Fisika (S1)"/>
    <s v="Fisika Matematika"/>
    <m/>
    <m/>
    <m/>
  </r>
  <r>
    <n v="51"/>
    <s v="Sudarlin, S.Pd.I., M.Si."/>
    <x v="1"/>
    <m/>
    <s v="Wajo"/>
    <d v="1985-06-11T00:00:00"/>
    <s v="198506112015031002"/>
    <s v="3402121106850004"/>
    <s v="III/d"/>
    <d v="2022-04-01T00:00:00"/>
    <n v="7"/>
    <n v="1"/>
    <s v="Lektor"/>
    <d v="2020-01-01T00:00:00"/>
    <x v="2"/>
    <s v="Kimia UIN Sunan Kalijaga Tahun 2008"/>
    <s v="Kimia ITB Tahun 2012"/>
    <m/>
    <n v="192100517423"/>
    <s v="2011068501"/>
    <d v="2050-07-01T00:00:00"/>
    <s v="Kimia (S1)"/>
    <s v="Fisika Kimia"/>
    <s v="Sekretaris  Program Studi  Kimia"/>
    <d v="2024-10-23T00:00:00"/>
    <m/>
  </r>
  <r>
    <n v="52"/>
    <s v="Dr. Isma Kurniatanty, S.Si.,M.Si."/>
    <x v="2"/>
    <s v="N 044395"/>
    <s v="Jakarta"/>
    <s v="26-10-1979"/>
    <s v="197910262006042002"/>
    <s v="3471276610790002"/>
    <s v="III/c"/>
    <d v="2024-04-01T00:00:00"/>
    <n v="18"/>
    <n v="0"/>
    <s v="Lektor"/>
    <s v="01-01-2022"/>
    <x v="1"/>
    <s v="Biologi UGM Tahun 2003"/>
    <s v="Biologi UGM Tahun 2006"/>
    <s v="Biologi ITB Tahun 2016"/>
    <n v="102100504668"/>
    <n v="2026107901"/>
    <d v="2044-11-01T00:00:00"/>
    <s v="Biologi (S1)"/>
    <s v="Zoologi"/>
    <s v="Koordinator Bidang Biologi pada Laboratorium Terpadu"/>
    <d v="2022-09-23T00:00:00"/>
    <m/>
  </r>
  <r>
    <n v="53"/>
    <s v="Jumailatus Solihah, S. Si., M.Si."/>
    <x v="2"/>
    <s v="M 135300"/>
    <s v="Kuningan"/>
    <d v="1976-06-24T00:00:00"/>
    <s v="197606242005012007"/>
    <s v="3404076406760004"/>
    <s v="III/b"/>
    <d v="2023-10-01T00:00:00"/>
    <n v="18"/>
    <n v="9"/>
    <s v="Lektor"/>
    <d v="2022-06-01T00:00:00"/>
    <x v="2"/>
    <s v="Biologi UGM Tahun 2004"/>
    <s v="Bioteknologi UGM Tahun 2012"/>
    <m/>
    <n v="132100511966"/>
    <n v="2024067601"/>
    <d v="2041-07-01T00:00:00"/>
    <s v="Biologi (S1)"/>
    <s v="Bioteknologi"/>
    <m/>
    <m/>
    <m/>
  </r>
  <r>
    <n v="54"/>
    <s v="Dias Idha Pramesti, S.Si., M.Si."/>
    <x v="2"/>
    <s v="P.513656"/>
    <s v="Ponorogo"/>
    <d v="1982-09-28T00:00:00"/>
    <s v="198209282009122002"/>
    <s v="3275016809820040"/>
    <s v="III/c"/>
    <d v="2022-04-01T00:00:00"/>
    <n v="12"/>
    <n v="4"/>
    <s v="Lektor"/>
    <d v="2022-01-01T00:00:00"/>
    <x v="2"/>
    <s v="Biologi Universitas Negeri Surabaya Tahun 2006 "/>
    <s v=" Biologi UNBRAW Tahun 2009        "/>
    <s v=" "/>
    <s v="132100511953"/>
    <n v="2028098201"/>
    <d v="2047-10-01T00:00:00"/>
    <s v="Biologi (S1)"/>
    <s v="Biologi Tumbuhan"/>
    <m/>
    <m/>
    <m/>
  </r>
  <r>
    <n v="55"/>
    <s v="Rahmat Hidayat, S.Kom., M.Cs."/>
    <x v="1"/>
    <s v="B 01034789"/>
    <s v="Ciamis"/>
    <d v="1985-05-14T00:00:00"/>
    <s v="198505142015031002"/>
    <s v="3509081405850002"/>
    <s v="III/c"/>
    <d v="2021-10-01T00:00:00"/>
    <n v="6"/>
    <n v="7"/>
    <s v="Lektor"/>
    <d v="2021-02-01T00:00:00"/>
    <x v="2"/>
    <s v="Teknik Informatika UII Tahun 2008"/>
    <s v="Ilmu Komputer UGM Tahun 2011"/>
    <m/>
    <n v="192100517418"/>
    <s v="0514058501"/>
    <d v="2050-06-01T00:00:00"/>
    <s v="Teknik Informatika (S1)"/>
    <s v="Sistem Cerdas"/>
    <m/>
    <m/>
    <s v="TUGAS BELAJAR"/>
  </r>
  <r>
    <n v="56"/>
    <s v="Muhamad Zaki Riyanto, S.Si., M.Sc."/>
    <x v="1"/>
    <m/>
    <s v="Yogyakarta "/>
    <d v="1984-01-13T00:00:00"/>
    <s v="198401132015031001"/>
    <s v="3471121301840002"/>
    <s v="III/c"/>
    <d v="2022-04-01T00:00:00"/>
    <n v="7"/>
    <n v="1"/>
    <s v="Lektor"/>
    <d v="2021-09-01T00:00:00"/>
    <x v="2"/>
    <s v="Matematika UGM Tahun 2008"/>
    <s v="Matematika UGM Tahun 2011"/>
    <m/>
    <s v="182100516044"/>
    <s v="2013018401"/>
    <d v="2049-02-01T00:00:00"/>
    <s v="Matematika (S1)"/>
    <s v="Rumpun Aljabar"/>
    <m/>
    <m/>
    <m/>
  </r>
  <r>
    <n v="57"/>
    <s v="Ardyan Pramudya Kurniawan, S.Si., M.Si."/>
    <x v="1"/>
    <m/>
    <s v="Jakarta"/>
    <d v="1984-12-03T00:00:00"/>
    <s v="198412032015031003"/>
    <s v="3175060312840005"/>
    <s v="III/d"/>
    <d v="2024-10-01T00:00:00"/>
    <n v="9"/>
    <n v="7"/>
    <s v="Lektor"/>
    <d v="2022-04-01T00:00:00"/>
    <x v="2"/>
    <s v="Biologi UGM Tahun 2009"/>
    <s v="Biologi ITB Tahun 2012"/>
    <m/>
    <n v="192100517425"/>
    <s v="2003128401"/>
    <d v="2050-01-01T00:00:00"/>
    <s v="Biologi (S1)"/>
    <s v="Ekologi  "/>
    <m/>
    <m/>
    <m/>
  </r>
  <r>
    <n v="58"/>
    <s v="Priyagung Dhemi Widiakongko, M.Sc."/>
    <x v="1"/>
    <m/>
    <s v="Yogyakarta"/>
    <d v="1990-03-30T00:00:00"/>
    <s v="199003302019031008 "/>
    <s v="3471013003900001"/>
    <s v="III/c"/>
    <d v="2023-10-01T00:00:00"/>
    <n v="4"/>
    <n v="7"/>
    <s v="Lektor"/>
    <d v="2023-01-01T00:00:00"/>
    <x v="2"/>
    <s v="UGM Tahun 2013"/>
    <s v="Ilmu Kimia UGM Tahun 2016"/>
    <m/>
    <s v="232100519190"/>
    <n v="2030039003"/>
    <d v="2055-04-01T00:00:00"/>
    <s v="Kimia (S1)"/>
    <s v="Kimia Organik"/>
    <m/>
    <m/>
    <m/>
  </r>
  <r>
    <n v="59"/>
    <s v="Ir. Khusna Dwijayanti, S.T., M.Eng., Ph.D., ASEAN Eng."/>
    <x v="2"/>
    <m/>
    <s v="Sleman"/>
    <d v="1985-12-12T00:00:00"/>
    <s v="198512122019032018 "/>
    <s v="3404055212850001"/>
    <s v="III/d"/>
    <d v="2024-04-01T00:00:00"/>
    <n v="5"/>
    <n v="1"/>
    <s v="Lektor"/>
    <d v="2020-09-01T00:00:00"/>
    <x v="1"/>
    <s v="UGM Tahun 2007"/>
    <s v="Universitas Malaya Tahun 2012"/>
    <s v="Integrated Design Engineering Keio University Japan Tahun 2015"/>
    <m/>
    <s v="0612128503"/>
    <d v="2051-01-01T00:00:00"/>
    <s v="Teknik Industri (S2)"/>
    <s v="Dosen Teknik Industri "/>
    <s v="Sekretaris Prodi Magister Teknik Industri"/>
    <d v="2024-10-23T00:00:00"/>
    <s v=" "/>
  </r>
  <r>
    <n v="60"/>
    <s v="Gunawan Budi Susilo, M.Eng."/>
    <x v="1"/>
    <m/>
    <s v="Yogyakarta"/>
    <d v="1986-04-23T00:00:00"/>
    <s v="198604232019031007 "/>
    <s v="3306012304860002"/>
    <s v="III/c"/>
    <d v="2024-04-01T00:00:00"/>
    <n v="5"/>
    <n v="1"/>
    <s v="Lektor"/>
    <d v="2023-01-01T00:00:00"/>
    <x v="2"/>
    <s v="UNY Tahun 2011"/>
    <s v="Teknik Mesin UGM Tahun 2014"/>
    <m/>
    <m/>
    <s v="0523048602"/>
    <d v="2051-05-01T00:00:00"/>
    <s v="Teknik Industri (S1)"/>
    <s v="Dosen Teknik Mesin"/>
    <s v="Sekretaris  Program Studi  Sarjana Teknik Industri"/>
    <d v="2024-10-23T00:00:00"/>
    <m/>
  </r>
  <r>
    <n v="61"/>
    <s v="Atika Yahdiyani Ikhsani, M.Sc."/>
    <x v="2"/>
    <m/>
    <s v="Klaten"/>
    <d v="1992-06-13T00:00:00"/>
    <s v="199206132019032014 "/>
    <s v="3311105306920001"/>
    <s v="III/c"/>
    <d v="2024-04-01T00:00:00"/>
    <n v="5"/>
    <n v="1"/>
    <s v="Lektor"/>
    <d v="2023-04-01T00:00:00"/>
    <x v="2"/>
    <s v="UNBRAW Tahun 2014"/>
    <s v="Ilmu dan teknologi Pangan UGM Tahun 2016"/>
    <m/>
    <m/>
    <n v="2013069203"/>
    <d v="2057-07-01T00:00:00"/>
    <s v="Kimia (S1)"/>
    <s v="Kimia"/>
    <m/>
    <m/>
    <s v="TUGAS BELAJAR"/>
  </r>
  <r>
    <n v="62"/>
    <s v="Chandra Kartika Dewi, M.Kes."/>
    <x v="2"/>
    <m/>
    <s v="Nganjuk "/>
    <d v="1990-04-21T00:00:00"/>
    <s v="199004212019032017 "/>
    <s v="3518164104900003"/>
    <s v="III/c"/>
    <d v="2024-04-01T00:00:00"/>
    <n v="7"/>
    <n v="9"/>
    <s v="Lektor"/>
    <d v="2023-09-01T00:00:00"/>
    <x v="2"/>
    <s v="Universitas Airlangga Tahun 2011"/>
    <s v="Administrasi dan Kebijakan Kesehatan Univ. Airlangga Tahun 2016"/>
    <m/>
    <m/>
    <n v="2021049004"/>
    <d v="2055-05-01T00:00:00"/>
    <s v="Teknik Industri (S1)"/>
    <s v="Pendidikan Dokter"/>
    <m/>
    <m/>
    <m/>
  </r>
  <r>
    <n v="63"/>
    <s v="Muhammad Galih Wonoseto, M.T."/>
    <x v="1"/>
    <m/>
    <s v="Bantul"/>
    <d v="1990-11-13T00:00:00"/>
    <s v="199011132019031012 "/>
    <s v="3402011311900001"/>
    <s v="III/c"/>
    <d v="2024-04-01T00:00:00"/>
    <n v="5"/>
    <n v="1"/>
    <s v="Lektor"/>
    <d v="2023-04-01T00:00:00"/>
    <x v="2"/>
    <s v="Univ. Telkom Bandung Tahun 2014"/>
    <s v="Informatika ITB Tahun 2017"/>
    <m/>
    <m/>
    <s v="0613119001"/>
    <d v="2055-12-01T00:00:00"/>
    <s v="Teknik Informatika (S1)"/>
    <s v="Teknik Informatika"/>
    <s v="Koordinator Pusat Analisis Informasi pada LPM Masa Jabatan 2024 - 2028"/>
    <d v="2024-10-14T00:00:00"/>
    <m/>
  </r>
  <r>
    <n v="64"/>
    <s v="Ika Qurrotul Afifah, M.Si."/>
    <x v="2"/>
    <m/>
    <s v="Mojokerto"/>
    <d v="1991-11-28T00:00:00"/>
    <s v="199111282019032022 "/>
    <s v="3516036811910001"/>
    <s v="III/c"/>
    <d v="2024-04-01T00:00:00"/>
    <n v="5"/>
    <n v="1"/>
    <s v="Lektor"/>
    <d v="2023-09-01T00:00:00"/>
    <x v="2"/>
    <s v="Universitas Airlangga Tahun 2014"/>
    <s v="Bioteknologi ITB Tahun 2018"/>
    <m/>
    <m/>
    <n v="2028119101"/>
    <d v="2056-12-01T00:00:00"/>
    <s v="Kimia (S1)"/>
    <s v="Bioteknologi"/>
    <m/>
    <m/>
    <m/>
  </r>
  <r>
    <n v="65"/>
    <s v="Shilfiana Rahayu, M.Sc."/>
    <x v="2"/>
    <m/>
    <s v="Jombang"/>
    <d v="1992-10-22T00:00:00"/>
    <s v="199210222019032015 "/>
    <s v="3517026210920002"/>
    <s v="III/c"/>
    <d v="2024-04-01T00:00:00"/>
    <n v="5"/>
    <n v="1"/>
    <s v="Lektor"/>
    <d v="2023-04-01T00:00:00"/>
    <x v="2"/>
    <s v="UNAIR Tahun 2015"/>
    <s v="Biologi UGM Tahun 2018"/>
    <m/>
    <m/>
    <n v="2022109202"/>
    <d v="2057-11-01T00:00:00"/>
    <s v="Biologi (S1)"/>
    <s v="Botani"/>
    <s v="Sekretaris Program Studi Biologi"/>
    <d v="2024-10-23T00:00:00"/>
    <m/>
  </r>
  <r>
    <n v="66"/>
    <s v="Arif Munandar, M.Sc."/>
    <x v="1"/>
    <m/>
    <s v="Bantul"/>
    <d v="1992-07-21T00:00:00"/>
    <s v="199207212019031013 "/>
    <s v="3402112107920003"/>
    <s v="III/c"/>
    <d v="2024-04-01T00:00:00"/>
    <n v="5"/>
    <n v="1"/>
    <s v="Lektor"/>
    <d v="2023-09-01T00:00:00"/>
    <x v="2"/>
    <s v="UNY Tahun 2014"/>
    <s v="Matematika UGM Tahun 2016"/>
    <m/>
    <m/>
    <n v="2021079202"/>
    <d v="2057-08-01T00:00:00"/>
    <s v="Matematika (S1)"/>
    <s v="Aljabar"/>
    <s v="Sekretaris  Program Studi  Matematika"/>
    <d v="2024-10-23T00:00:00"/>
    <m/>
  </r>
  <r>
    <n v="67"/>
    <s v="Dian Aruni Kumalawati, M.Sc."/>
    <x v="2"/>
    <m/>
    <s v="Yogyakarta"/>
    <d v="1985-05-09T00:00:00"/>
    <s v="198505092019032009 "/>
    <s v="3471084905850001"/>
    <s v="III/c"/>
    <d v="2024-04-01T00:00:00"/>
    <n v="5"/>
    <n v="1"/>
    <s v="Lektor"/>
    <d v="2023-04-01T00:00:00"/>
    <x v="2"/>
    <s v="UGM Tahun 2007"/>
    <s v="Biologi UGM Tahun 2011"/>
    <m/>
    <m/>
    <n v="2009058504"/>
    <d v="2050-06-01T00:00:00"/>
    <s v="Biologi (S1)"/>
    <s v="Genetika"/>
    <s v="Ketua Program Studi Sains Biomedis"/>
    <d v="2024-10-23T00:00:00"/>
    <m/>
  </r>
  <r>
    <n v="68"/>
    <s v="Anti Damayanti H, S.Si., M.Mol.Bio."/>
    <x v="2"/>
    <s v="N 044392"/>
    <s v="Bandung"/>
    <s v="22-05-1981"/>
    <s v="198105222006042005"/>
    <s v="3217016205810001"/>
    <s v="III/b"/>
    <d v="2019-10-01T00:00:00"/>
    <n v="13"/>
    <n v="6"/>
    <s v="Lektor"/>
    <d v="2023-04-01T00:00:00"/>
    <x v="2"/>
    <s v="Biologi ITB Tahun 2004"/>
    <s v="Molecular Biology,  The University of Queensland Australia, 2010"/>
    <m/>
    <n v="112100515110034"/>
    <n v="2022058101"/>
    <d v="2046-06-01T00:00:00"/>
    <s v="Biologi (S1)"/>
    <s v="Bioteknologi"/>
    <m/>
    <m/>
    <s v=" "/>
  </r>
  <r>
    <n v="69"/>
    <s v="Endaruji Sedyadi, S.Pd.I., M.Sc."/>
    <x v="1"/>
    <m/>
    <s v="Yogyakarta "/>
    <d v="1982-02-05T00:00:00"/>
    <s v="198202052015031003"/>
    <s v="3404010502820003"/>
    <s v="III/b"/>
    <d v="2015-03-01T00:00:00"/>
    <n v="0"/>
    <n v="0"/>
    <s v="Asisten Ahli"/>
    <d v="2017-10-01T00:00:00"/>
    <x v="2"/>
    <s v="Kimia UNY Tahun 2005"/>
    <s v="Ilmu Kimia UGM Tahun 2012"/>
    <m/>
    <s v="182100516046 "/>
    <s v="2005028203"/>
    <d v="2047-03-01T00:00:00"/>
    <s v="Kimia (S1)"/>
    <s v="Kimia Anorganik"/>
    <m/>
    <m/>
    <m/>
  </r>
  <r>
    <n v="70"/>
    <s v="Pipit Pratiwi Rahayu, S.Si., M.Sc."/>
    <x v="2"/>
    <m/>
    <s v="Bekasi"/>
    <d v="1986-12-08T00:00:00"/>
    <s v="198612082015032006"/>
    <s v="3404124812860002"/>
    <s v="III/b"/>
    <d v="2015-03-01T00:00:00"/>
    <n v="0"/>
    <n v="0"/>
    <s v="Asisten Ahli"/>
    <d v="2017-11-01T00:00:00"/>
    <x v="2"/>
    <s v="Matematika UGM Tahun 2008"/>
    <s v="Matematika UGM Tahun 2011"/>
    <m/>
    <n v="192100517421"/>
    <s v="2008128601"/>
    <d v="2052-01-01T00:00:00"/>
    <s v="Matematika (S1)"/>
    <s v="Rumpun Analisis/Geometri"/>
    <m/>
    <m/>
    <m/>
  </r>
  <r>
    <n v="71"/>
    <s v="Usfita Kiftiyani, M.Sc."/>
    <x v="2"/>
    <m/>
    <s v="Tuban"/>
    <d v="1992-06-09T00:00:00"/>
    <s v="199206092019032020 "/>
    <s v="3523194906920001"/>
    <s v="III/b"/>
    <d v="2019-03-01T00:00:00"/>
    <n v="0"/>
    <n v="0"/>
    <s v="Asisten Ahli"/>
    <d v="2021-03-01T00:00:00"/>
    <x v="2"/>
    <s v="UNBRAW Tahun 2014"/>
    <s v="Ilmu Komputer Tahun 2018"/>
    <m/>
    <m/>
    <n v="2009069201"/>
    <d v="2057-07-01T00:00:00"/>
    <s v="Teknik Informatika (S1)"/>
    <s v="Teknik Informatika"/>
    <m/>
    <m/>
    <s v="TUGAS BELAJAR"/>
  </r>
  <r>
    <n v="72"/>
    <s v="Mandahadi Kusuma, M.Eng."/>
    <x v="1"/>
    <m/>
    <s v="Bengkalis"/>
    <d v="1984-11-15T00:00:00"/>
    <s v="198411152019031003 "/>
    <s v="1471061511840001"/>
    <s v="III/c"/>
    <d v="2024-12-01T00:00:00"/>
    <n v="5"/>
    <n v="9"/>
    <s v="Lektor"/>
    <d v="2024-09-01T00:00:00"/>
    <x v="2"/>
    <s v="STIMIK AMIKOM Tahun 2007"/>
    <s v="Magister Teknik Elektro UGM Tahun 2018"/>
    <m/>
    <m/>
    <n v="2015118401"/>
    <d v="2049-12-01T00:00:00"/>
    <s v="Teknik Informatika (S1)"/>
    <s v="Teknologi Informasi"/>
    <s v="Koordinator Bidang Informatika pada Laboratorium Terpadu "/>
    <d v="2023-08-03T00:00:00"/>
    <m/>
  </r>
  <r>
    <n v="73"/>
    <s v="Eko Hadi Gunawan, M.Eng."/>
    <x v="1"/>
    <m/>
    <s v="Yogyakarta"/>
    <d v="1987-12-28T00:00:00"/>
    <s v="198712282019031004 "/>
    <s v="3404072812870003"/>
    <s v="III/b"/>
    <d v="2019-03-01T00:00:00"/>
    <n v="0"/>
    <n v="0"/>
    <s v="Asisten Ahli"/>
    <d v="2021-12-01T00:00:00"/>
    <x v="2"/>
    <m/>
    <s v="Teknik Elektro UGM Tahun 2018"/>
    <m/>
    <m/>
    <n v="2028128702"/>
    <d v="2053-01-01T00:00:00"/>
    <s v="Teknik Informatika (S1)"/>
    <s v="Teknologi Informasi"/>
    <m/>
    <m/>
    <m/>
  </r>
  <r>
    <n v="74"/>
    <s v="Sri Istiyarti Uswatun Chasanah, M.Si."/>
    <x v="2"/>
    <m/>
    <s v="Purworejo"/>
    <d v="1991-01-11T00:00:00"/>
    <s v="199101112019032018 "/>
    <s v="3306115101910008"/>
    <s v="III/c"/>
    <d v="2024-04-01T00:00:00"/>
    <n v="5"/>
    <n v="1"/>
    <s v="Lektor"/>
    <d v="2023-04-01T00:00:00"/>
    <x v="2"/>
    <s v="UNSOED Tahun 2013"/>
    <s v="Matematika Terapan IPB Tahun 2017"/>
    <m/>
    <m/>
    <n v="2001019102"/>
    <d v="2056-02-01T00:00:00"/>
    <s v="Matematika (S1)"/>
    <s v="Analisis Terapan"/>
    <m/>
    <m/>
    <m/>
  </r>
  <r>
    <n v="75"/>
    <s v="Eulis Yulianti Faridah, M.Ds."/>
    <x v="2"/>
    <m/>
    <s v="Bandung"/>
    <d v="1988-07-10T00:00:00"/>
    <s v="198807102019032017 "/>
    <s v="3273035007880002"/>
    <s v="III/b"/>
    <d v="2019-03-01T00:00:00"/>
    <n v="0"/>
    <n v="0"/>
    <s v="Asisten Ahli"/>
    <d v="2021-09-01T00:00:00"/>
    <x v="2"/>
    <m/>
    <s v="Desain ITB Tahun 2014"/>
    <m/>
    <m/>
    <n v="2010078801"/>
    <d v="2053-08-01T00:00:00"/>
    <s v="Teknik Informatika (S1)"/>
    <s v="Dosen Design Interior"/>
    <s v="Plt. Sekretaris Prodi Sarjana Arsitektur"/>
    <d v="2024-10-23T00:00:00"/>
    <m/>
  </r>
  <r>
    <n v="76"/>
    <s v="Ni Kadek Pujiani Dewi, M.ERG."/>
    <x v="2"/>
    <m/>
    <s v="Klungkung"/>
    <d v="1986-09-20T00:00:00"/>
    <s v="198609202019032007 "/>
    <s v="5105036009860002"/>
    <s v="III/b"/>
    <d v="2019-03-01T00:00:00"/>
    <n v="0"/>
    <n v="0"/>
    <s v="Asisten Ahli"/>
    <d v="2022-04-01T00:00:00"/>
    <x v="2"/>
    <s v="Univ. Pendidikan Ganesha Singaraja Tahun 2009"/>
    <s v="Ergonomi Fisiologi Kerja Univ. Udayana Tahun 2011"/>
    <m/>
    <m/>
    <s v="0820098602"/>
    <d v="2051-10-01T00:00:00"/>
    <s v="Teknik Industri (S1)"/>
    <s v="Ergonomi"/>
    <s v="Sekretaris ADMISI"/>
    <d v="2024-12-06T00:00:00"/>
    <m/>
  </r>
  <r>
    <n v="77"/>
    <s v="Andi, M.Sc."/>
    <x v="1"/>
    <m/>
    <s v="Garut"/>
    <d v="1987-02-10T00:00:00"/>
    <s v="198702102019031005 "/>
    <s v="3205271002870002"/>
    <s v="III/b"/>
    <d v="2019-03-01T00:00:00"/>
    <n v="0"/>
    <n v="0"/>
    <s v="Asisten Ahli"/>
    <d v="2021-03-01T00:00:00"/>
    <x v="2"/>
    <s v="UGM Tahun 2010"/>
    <s v="Fisika UGM Tahun 2016"/>
    <m/>
    <m/>
    <s v="0410028707"/>
    <d v="2052-03-01T00:00:00"/>
    <s v="Fisika (S1)"/>
    <s v="Geofisika"/>
    <s v="Sekretaris  Program Studi  Fisika"/>
    <d v="2024-10-23T00:00:00"/>
    <m/>
  </r>
  <r>
    <n v="78"/>
    <s v="Hindun Khairotun Nadlifah, M.URP. "/>
    <x v="2"/>
    <m/>
    <s v="Yogyakarta"/>
    <d v="1991-09-25T00:00:00"/>
    <s v="199109252019032016 "/>
    <s v="3471036509910001"/>
    <s v="III/b"/>
    <d v="2019-03-01T00:00:00"/>
    <n v="0"/>
    <n v="0"/>
    <s v="Asisten Ahli"/>
    <d v="2022-04-01T00:00:00"/>
    <x v="2"/>
    <s v="UII Tahun 2014"/>
    <s v="Magister Perencanaan Wilayah dan Kota UGM Tahun 2018"/>
    <m/>
    <m/>
    <n v="2025099101"/>
    <d v="2056-10-01T00:00:00"/>
    <s v="Teknik Informatika (S1)"/>
    <s v="Teknik Perencanaan Wilayah Kota"/>
    <m/>
    <m/>
    <m/>
  </r>
  <r>
    <n v="79"/>
    <s v="Aulia Khifah Futhona, M.Sc."/>
    <x v="2"/>
    <m/>
    <s v="Yogyakarta"/>
    <d v="1992-06-05T00:00:00"/>
    <s v="199206052019032021 "/>
    <s v="3404084506920003"/>
    <s v="III/b"/>
    <d v="2019-03-01T00:00:00"/>
    <n v="0"/>
    <n v="0"/>
    <s v="Asisten Ahli"/>
    <d v="2021-09-01T00:00:00"/>
    <x v="2"/>
    <s v="UGM Tahun 2015"/>
    <s v="Matematika UGM Tahun 2017 "/>
    <m/>
    <m/>
    <n v="2005069202"/>
    <d v="2057-06-01T00:00:00"/>
    <s v="Matematika (S1)"/>
    <s v="Dosen Analisis Asisten Ahli"/>
    <m/>
    <m/>
    <m/>
  </r>
  <r>
    <n v="80"/>
    <s v="Ade Kurniawan, M.Si."/>
    <x v="1"/>
    <m/>
    <s v="Bogor"/>
    <d v="1989-03-12T00:00:00"/>
    <s v="198903122019031009 "/>
    <s v="3201241203890002"/>
    <s v="III/b"/>
    <d v="2019-03-01T00:00:00"/>
    <n v="0"/>
    <n v="0"/>
    <s v="Asisten Ahli"/>
    <d v="2021-03-01T00:00:00"/>
    <x v="2"/>
    <s v="IPB Tahun 2011"/>
    <s v="Biofisika IPB Bogor Tahun 2015"/>
    <m/>
    <m/>
    <n v="2012038902"/>
    <d v="2054-04-01T00:00:00"/>
    <s v="Fisika (S1)"/>
    <s v="Fisika"/>
    <m/>
    <m/>
    <s v="TUGAS BELAJAR"/>
  </r>
  <r>
    <n v="81"/>
    <s v="Agessty Ika Nurlita, M.Si."/>
    <x v="2"/>
    <m/>
    <s v="Jakarta"/>
    <d v="1989-08-10T00:00:00"/>
    <s v="198908102019032016 "/>
    <s v="3174055008890003"/>
    <s v="III/b"/>
    <d v="2019-03-01T00:00:00"/>
    <n v="0"/>
    <n v="0"/>
    <s v="Asisten Ahli"/>
    <d v="2021-09-01T00:00:00"/>
    <x v="2"/>
    <s v="IPB Tahun 2012"/>
    <s v="Mikrobiologi IPB Tahun 2016"/>
    <m/>
    <m/>
    <n v="2010088902"/>
    <d v="2054-09-01T00:00:00"/>
    <s v="Biologi (S1)"/>
    <s v="Dosen Mikro Biologi"/>
    <m/>
    <m/>
    <m/>
  </r>
  <r>
    <n v="82"/>
    <s v="Dwi Otik Kurniawati, M.Eng."/>
    <x v="2"/>
    <m/>
    <s v="Lumajang"/>
    <d v="1986-10-23T00:00:00"/>
    <s v="198610232019032003 "/>
    <s v="3508106310860001"/>
    <s v="III/b"/>
    <d v="2019-03-01T00:00:00"/>
    <n v="0"/>
    <n v="0"/>
    <s v="Asisten Ahli"/>
    <d v="2022-04-01T00:00:00"/>
    <x v="2"/>
    <s v="AKPRIND Yogyakarta Tahun 2012"/>
    <s v="Teknik elektro UGM Tahun 2016"/>
    <m/>
    <m/>
    <s v="0523108603"/>
    <d v="2051-11-01T00:00:00"/>
    <s v="Teknik Informatika (S1)"/>
    <s v="Teknik Elektro"/>
    <s v="Plt. Sekretaris  Program Studi  Teknik Informatika"/>
    <d v="2024-10-23T00:00:00"/>
    <m/>
  </r>
  <r>
    <n v="83"/>
    <s v="Herninanjati Paramawardhani, M.Sc."/>
    <x v="2"/>
    <m/>
    <s v="Sleman"/>
    <d v="1992-03-31T00:00:00"/>
    <s v="199203312019032015 "/>
    <s v="3404077103920001"/>
    <s v="III/c"/>
    <d v="2024-12-01T00:00:00"/>
    <n v="5"/>
    <n v="9"/>
    <s v="Lektor"/>
    <d v="2024-09-01T00:00:00"/>
    <x v="2"/>
    <s v="UIN Sunan Kalijaga Tahun 2015"/>
    <s v="Logistics and Supply Chain Management, Lund University, Sweden, Tahun 2018"/>
    <m/>
    <m/>
    <n v="2031039201"/>
    <d v="2057-04-01T00:00:00"/>
    <s v="Teknik Industri (S1)"/>
    <s v="Teknik Industri "/>
    <s v="Ketua  Program Studi Sarjana Teknik Industri"/>
    <d v="2024-10-23T00:00:00"/>
    <m/>
  </r>
  <r>
    <n v="84"/>
    <s v="Kartiansmara Lilih Purnaumbara, M.Sc."/>
    <x v="1"/>
    <m/>
    <s v="Yogyakarta"/>
    <d v="1987-04-21T00:00:00"/>
    <s v="198704212019031009 "/>
    <s v="3404062104870003"/>
    <s v="III/c"/>
    <d v="2024-12-01T00:00:00"/>
    <n v="5"/>
    <n v="9"/>
    <s v="Lektor"/>
    <d v="2024-09-01T00:00:00"/>
    <x v="2"/>
    <s v="UII Tahun 2010"/>
    <s v="Arsitektur UGM Tahun 2016"/>
    <m/>
    <m/>
    <n v="2021048704"/>
    <d v="2052-05-01T00:00:00"/>
    <s v="Teknik Informatika (S1)"/>
    <s v="Teknik Arsitektur"/>
    <s v="Ketua Prodi Sarjana Arsitektur"/>
    <d v="2024-10-23T00:00:00"/>
    <m/>
  </r>
  <r>
    <n v="85"/>
    <s v="Nia Maharani Raharja, M.Eng."/>
    <x v="2"/>
    <m/>
    <s v="Sukoharjo"/>
    <d v="1988-07-27T00:00:00"/>
    <s v="198807272019032021 "/>
    <s v="3311016707880002"/>
    <s v="III/b"/>
    <d v="2019-03-01T00:00:00"/>
    <n v="0"/>
    <n v="0"/>
    <s v="Asisten Ahli"/>
    <d v="2022-04-01T00:00:00"/>
    <x v="2"/>
    <s v="UMS Tahun 2012"/>
    <s v="Teknik Elektro UGM Tahun 2016"/>
    <m/>
    <m/>
    <n v="2028078801"/>
    <d v="2053-08-01T00:00:00"/>
    <s v="Fisika (S1)"/>
    <s v="Teknik Elektro"/>
    <m/>
    <m/>
    <m/>
  </r>
  <r>
    <n v="86"/>
    <s v="Satiti Ratnasari, M.Sc."/>
    <x v="2"/>
    <m/>
    <s v="Batang"/>
    <d v="1988-06-08T00:00:00"/>
    <s v="198806082019032011 "/>
    <s v="3404114806880002"/>
    <s v="III/b"/>
    <d v="2019-03-01T00:00:00"/>
    <n v="0"/>
    <n v="0"/>
    <s v="Asisten Ahli"/>
    <d v="2022-11-01T00:00:00"/>
    <x v="2"/>
    <s v="UGM Tahun 2011"/>
    <s v="Agronomi UGM Tahun 2016"/>
    <m/>
    <m/>
    <s v="0508068803"/>
    <d v="2053-07-01T00:00:00"/>
    <s v="Biologi (S1)"/>
    <s v="Fisiologi Tumbuhan"/>
    <m/>
    <m/>
    <m/>
  </r>
  <r>
    <n v="87"/>
    <s v="Ir. Titi Sari, S.T., M.Sc., IPM."/>
    <x v="2"/>
    <m/>
    <s v="Jombang"/>
    <d v="1991-10-10T00:00:00"/>
    <s v="199110102019032032 "/>
    <s v="3402125010910002"/>
    <s v="III/b"/>
    <d v="2019-03-01T00:00:00"/>
    <n v="0"/>
    <n v="0"/>
    <s v="Asisten Ahli"/>
    <d v="2021-03-01T00:00:00"/>
    <x v="2"/>
    <s v="UGM Tahun 2014"/>
    <s v="Eindhoven University of Technology Netherlands Tahun 2017"/>
    <m/>
    <m/>
    <n v="2010109103"/>
    <d v="2056-11-01T00:00:00"/>
    <s v="Teknik Industri (S1)"/>
    <s v="Teknik Industri "/>
    <m/>
    <m/>
    <m/>
  </r>
  <r>
    <n v="88"/>
    <s v="Desi Suantari, M.K.M."/>
    <x v="2"/>
    <m/>
    <s v="Bantul"/>
    <d v="1990-12-29T00:00:00"/>
    <s v="199012292020122004"/>
    <s v="3402106912900003"/>
    <s v="III/b"/>
    <d v="2020-12-01T00:00:00"/>
    <n v="0"/>
    <n v="0"/>
    <s v="Asisten Ahli"/>
    <d v="2022-10-01T00:00:00"/>
    <x v="2"/>
    <m/>
    <s v="Kesehatan Masyarakat Universitas Indonesia Tahun 2018"/>
    <m/>
    <m/>
    <n v="2029129003"/>
    <d v="2056-01-01T00:00:00"/>
    <s v="Biologi (S1)"/>
    <s v="Pendidikan Dokter"/>
    <m/>
    <m/>
    <s v="TUGAS BELAJAR"/>
  </r>
  <r>
    <n v="89"/>
    <s v="Siti Fatimah, S.Kp.G, MPH"/>
    <x v="2"/>
    <m/>
    <s v="Bantul"/>
    <d v="1991-02-23T00:00:00"/>
    <s v="199102232020122007"/>
    <s v="3402056302910001"/>
    <s v="III/b"/>
    <d v="2020-12-01T00:00:00"/>
    <n v="0"/>
    <n v="0"/>
    <s v="Asisten Ahli"/>
    <d v="2022-06-01T00:00:00"/>
    <x v="2"/>
    <m/>
    <s v="Kesehatan Masyarakat UGM Tahun 2017"/>
    <m/>
    <m/>
    <n v="523029101"/>
    <d v="2056-03-01T00:00:00"/>
    <s v="Biologi (S1)"/>
    <s v="Dosen Pendidikan Dokter"/>
    <m/>
    <m/>
    <m/>
  </r>
  <r>
    <n v="90"/>
    <s v="Syaeful Arief, S.T., M.T."/>
    <x v="1"/>
    <m/>
    <s v="Jakarta"/>
    <d v="1987-09-15T00:00:00"/>
    <s v="198709152020121004"/>
    <s v="3306031509870004"/>
    <s v="III/c"/>
    <d v="2024-12-01T00:00:00"/>
    <n v="4"/>
    <n v="0"/>
    <s v="Lektor"/>
    <d v="2024-09-01T00:00:00"/>
    <x v="2"/>
    <m/>
    <s v="Teknik Industri Universitas Islam Indonesia Tahun 2012"/>
    <m/>
    <m/>
    <s v="0515098703"/>
    <d v="2052-10-01T00:00:00"/>
    <s v="Teknik Industri (S1)"/>
    <s v="Teknik Industri"/>
    <m/>
    <m/>
    <m/>
  </r>
  <r>
    <n v="91"/>
    <s v="Dien F. Awaliyah, M.T."/>
    <x v="2"/>
    <m/>
    <s v="Parepare"/>
    <d v="1990-05-13T00:00:00"/>
    <s v="199005132019032016 "/>
    <s v="7315025305900002"/>
    <s v="III/b"/>
    <d v="2019-03-01T00:00:00"/>
    <n v="0"/>
    <n v="0"/>
    <s v="Asisten Ahli"/>
    <d v="2023-04-01T00:00:00"/>
    <x v="2"/>
    <s v="UGM Tahun 2012"/>
    <s v="Pengelolaan Infrastruktur Air Bersih dan Sanitasi ITB Tahun 2015"/>
    <m/>
    <m/>
    <n v="2013059001"/>
    <d v="2055-06-01T00:00:00"/>
    <s v="Teknik Industri (S1)"/>
    <s v="Dosen Teknik Lingkungan Asisten Ahli"/>
    <m/>
    <m/>
    <m/>
  </r>
  <r>
    <n v="92"/>
    <s v="Deddy Rahmadi, M.Sc."/>
    <x v="1"/>
    <m/>
    <s v="Klaten"/>
    <d v="1993-08-07T00:00:00"/>
    <s v="199308072022031001"/>
    <s v="'3310240708930003"/>
    <s v="III/b"/>
    <d v="2022-03-01T00:00:00"/>
    <n v="0"/>
    <n v="0"/>
    <s v="Asisten Ahli"/>
    <d v="2023-04-01T00:00:00"/>
    <x v="2"/>
    <m/>
    <s v="Matematika UGM Tahun 2018"/>
    <m/>
    <m/>
    <n v="2007089302"/>
    <d v="2058-09-01T00:00:00"/>
    <s v="Matematika (S1)"/>
    <s v="Asisten Ahli - Dosen Matematika"/>
    <m/>
    <m/>
    <m/>
  </r>
  <r>
    <n v="93"/>
    <s v="Anisa Nazera Fauzia, M.Biotech"/>
    <x v="2"/>
    <m/>
    <s v="Bantul"/>
    <d v="1991-01-02T00:00:00"/>
    <s v="199101022019032013 "/>
    <s v="3402134201910003"/>
    <s v="III/b"/>
    <d v="2019-03-01T00:00:00"/>
    <n v="0"/>
    <n v="0"/>
    <s v="Cados"/>
    <d v="2019-03-01T00:00:00"/>
    <x v="2"/>
    <m/>
    <s v="Bioteknologi UGM Tahun 2017"/>
    <m/>
    <m/>
    <n v="2002019102"/>
    <d v="2056-03-01T00:00:00"/>
    <s v="Biologi (S1)"/>
    <s v="Dosen Bioteknologi Asisten Ahli"/>
    <m/>
    <m/>
    <s v="TUGAS BELAJAR"/>
  </r>
  <r>
    <n v="94"/>
    <s v="Apt. Gita Miranda Warsito, S.Farm., M.K.M., M.P.H."/>
    <x v="2"/>
    <m/>
    <s v="Surabaya"/>
    <d v="1990-11-29T00:00:00"/>
    <s v="199011292022032002"/>
    <s v="'3578186911900001"/>
    <s v="III/b"/>
    <d v="2022-03-01T00:00:00"/>
    <n v="0"/>
    <n v="0"/>
    <s v="Asisten Ahli"/>
    <d v="2023-05-01T00:00:00"/>
    <x v="2"/>
    <m/>
    <s v="Ilmu Kesehatan Masyarakat UI Tahun 2019"/>
    <m/>
    <m/>
    <n v="2007089302"/>
    <d v="2055-12-01T00:00:00"/>
    <s v="Kimia (S1)"/>
    <s v="Kesehatan Masyarakat"/>
    <m/>
    <m/>
    <s v="TUGAS BELAJAR"/>
  </r>
  <r>
    <n v="95"/>
    <s v="Dr. Siti Mutmainah, S.Kom., M.Cs."/>
    <x v="2"/>
    <s v="N 048071"/>
    <s v="Belitung"/>
    <d v="1979-12-04T00:00:00"/>
    <s v="197912042006042003"/>
    <s v="3471014412790002"/>
    <s v="IV/a"/>
    <d v="2022-04-01T00:00:00"/>
    <n v="16"/>
    <n v="0"/>
    <s v="Lektor"/>
    <d v="2024-09-01T00:00:00"/>
    <x v="1"/>
    <m/>
    <m/>
    <s v="Teknik Informatika dan Otomatisasi Artois University Perancis Tahun 2021"/>
    <m/>
    <m/>
    <d v="2045-01-01T00:00:00"/>
    <m/>
    <m/>
    <s v="Kepala UPT Pusat Teknologi Informasi dan Pangkalan Data Masa Jabatan 2024 - 2028"/>
    <d v="2024-10-14T00:00:00"/>
    <m/>
  </r>
  <r>
    <n v="96"/>
    <s v="Muhammad Arief Rochman, S.T., M.T."/>
    <x v="1"/>
    <m/>
    <s v="Karanganyar"/>
    <s v="04-03-1982"/>
    <s v="198203042008011009"/>
    <s v="3313130403820006"/>
    <s v="III/c"/>
    <s v="01-10-2018"/>
    <n v="10"/>
    <n v="9"/>
    <s v="Asisten Ahli"/>
    <d v="2024-09-01T00:00:00"/>
    <x v="2"/>
    <m/>
    <s v="Magister Teknik UII Tahun 2015"/>
    <m/>
    <m/>
    <m/>
    <d v="2047-04-01T00:00:00"/>
    <m/>
    <m/>
    <m/>
    <m/>
    <m/>
  </r>
  <r>
    <s v="G. FAKULTAS ILMU SOSIAL DAN HUMANIORA"/>
    <m/>
    <x v="0"/>
    <m/>
    <m/>
    <m/>
    <m/>
    <m/>
    <m/>
    <m/>
    <m/>
    <m/>
    <m/>
    <m/>
    <x v="0"/>
    <m/>
    <m/>
    <m/>
    <m/>
    <m/>
    <m/>
    <m/>
    <m/>
    <m/>
    <m/>
    <m/>
  </r>
  <r>
    <n v="1"/>
    <s v="Prof. Dr. Iswandi Syahputra, S. Ag., M.Si."/>
    <x v="1"/>
    <s v="M 135308"/>
    <s v="Medan"/>
    <d v="1973-04-23T00:00:00"/>
    <s v="197304232005011006"/>
    <s v="3404072304732410"/>
    <s v="IV/d"/>
    <d v="2024-04-01T00:00:00"/>
    <n v="17"/>
    <n v="3"/>
    <s v="Guru Besar"/>
    <d v="2019-09-01T00:00:00"/>
    <x v="1"/>
    <s v="Perbandingan Madzhab IAIN Sunan Kalijaga Tahun 1998"/>
    <s v="Komunikasi UI Tahun 2004"/>
    <s v="Kajian Budaya dan Media UGM Tahun  2010"/>
    <n v="102100504670"/>
    <n v="2023047301"/>
    <d v="2043-05-01T00:00:00"/>
    <s v="Ilmu Komunikasi (S1)"/>
    <s v="Ilmu Komunikasi"/>
    <m/>
    <m/>
    <m/>
  </r>
  <r>
    <n v="2"/>
    <s v="Dra. Marfuah Sri Sanityastuti, M.Si."/>
    <x v="2"/>
    <s v="F. 335183"/>
    <s v="Sukoharjo"/>
    <d v="1961-08-16T00:00:00"/>
    <s v="196108161992032003"/>
    <s v="3404125608610002"/>
    <s v="IV/a"/>
    <d v="2014-04-01T00:00:00"/>
    <n v="22"/>
    <n v="1"/>
    <s v="Lektor Kepala"/>
    <s v="01-05-2013"/>
    <x v="2"/>
    <s v="Komunikasi Massa UNS Tahun 1987"/>
    <s v="Sosiologi UGM Tahun 2003"/>
    <m/>
    <s v="092100500228"/>
    <n v="2016086101"/>
    <d v="2026-09-01T00:00:00"/>
    <s v="Ilmu Komunikasi (S1)"/>
    <s v="Ilmu Komunikasi"/>
    <m/>
    <m/>
    <m/>
  </r>
  <r>
    <n v="3"/>
    <s v="Dr. Napsiah, S.Sos., M.Si."/>
    <x v="2"/>
    <s v="M. 112117"/>
    <s v="Gedung Raja Lampung Utara"/>
    <d v="1972-10-18T00:00:00"/>
    <s v="197210182005012002"/>
    <s v="3404075810720003"/>
    <s v="IV/b"/>
    <d v="2024-04-01T00:00:00"/>
    <n v="19"/>
    <n v="3"/>
    <s v="Lektor Kepala"/>
    <d v="2019-10-01T00:00:00"/>
    <x v="1"/>
    <s v="Sosiologi UGM Tahun 1995"/>
    <s v="Sosiologi UGM Tahun 2000"/>
    <s v="Sosiologi Universitas Padjajaran Bandung Tahun 2015"/>
    <n v="102100504716"/>
    <n v="2018107201"/>
    <d v="2037-11-01T00:00:00"/>
    <s v="Sosiologi (S1)"/>
    <s v="Sosiologi"/>
    <s v="Ketua Program Studi Sosiologi "/>
    <d v="2024-10-23T00:00:00"/>
    <m/>
  </r>
  <r>
    <n v="4"/>
    <s v="Dr. Erika Setyanti Kusumaputri, S. Psi., M. Si."/>
    <x v="2"/>
    <s v="M 136388"/>
    <s v="Yogyakarta"/>
    <d v="1975-05-14T00:00:00"/>
    <s v="197505142005012004"/>
    <s v="3471135405750004"/>
    <s v="IV/b"/>
    <d v="2024-04-01T00:00:00"/>
    <n v="19"/>
    <n v="3"/>
    <s v="Lektor Kepala"/>
    <d v="2019-12-01T00:00:00"/>
    <x v="1"/>
    <s v="Psikologi Universitas Kristen Maranatha Bandung Tahun 2000"/>
    <s v="Psikologi UGM Tahun 2003"/>
    <s v="Psikologi UGM Tahun 2014"/>
    <n v="102100504654"/>
    <n v="2014057502"/>
    <d v="2040-06-01T00:00:00"/>
    <s v="Psikologi (S1)"/>
    <s v="Psikologi Industri dan Organisasi"/>
    <s v="Dekan Fakultas Ilmu Sosial dan Humaniora Masa Jabatan 2024 - 2028"/>
    <d v="2024-09-18T00:00:00"/>
    <m/>
  </r>
  <r>
    <n v="5"/>
    <s v="Dr. Muryanti, S.Sos., M.A."/>
    <x v="2"/>
    <s v="P. 516626"/>
    <s v="Magetan"/>
    <d v="1980-08-29T00:00:00"/>
    <s v="198008292009012005"/>
    <s v="3404096908800001"/>
    <s v="IV/b"/>
    <d v="2024-04-01T00:00:00"/>
    <n v="15"/>
    <n v="3"/>
    <s v="Lektor Kepala"/>
    <d v="2020-04-01T00:00:00"/>
    <x v="1"/>
    <s v="Sosiologi UGM Tahun 2006 "/>
    <s v=" Sosiologi UGM Tahun 2008"/>
    <s v="Sosiologi Pedesaan  IPB Tahun 2017"/>
    <n v="122100509808"/>
    <n v="2029088001"/>
    <d v="2045-09-01T00:00:00"/>
    <s v="Sosiologi (S1)"/>
    <s v="Sosiologi Pedesaan dan Perkotaan"/>
    <s v="Sekretaris Program Studi Sosiologi Program Magister (S2)"/>
    <d v="2024-10-23T00:00:00"/>
    <m/>
  </r>
  <r>
    <n v="6"/>
    <s v="Dr. Nurus Sa'adah, S.Psi,M.Si, Psi. "/>
    <x v="2"/>
    <s v="J. 088818"/>
    <s v="Rembang"/>
    <d v="1974-11-20T00:00:00"/>
    <s v="197411202000032003"/>
    <s v="3402126011740004"/>
    <s v="IV/c"/>
    <d v="2024-04-01T00:00:00"/>
    <n v="24"/>
    <n v="1"/>
    <s v="Lektor Kepala"/>
    <d v="2010-02-01T00:00:00"/>
    <x v="1"/>
    <s v="Psikologi UGM Tahun 1998"/>
    <s v="Psikologi UGM Tahun 2005"/>
    <s v="Psikologi UGM Tahun 2013"/>
    <n v="102100504726"/>
    <n v="2020117401"/>
    <d v="2039-12-01T00:00:00"/>
    <s v="Psikologi (S1)"/>
    <s v="Psikologi"/>
    <m/>
    <m/>
    <m/>
  </r>
  <r>
    <n v="7"/>
    <s v="Dr. Rama Kertamukti, S.Sos., MSn."/>
    <x v="1"/>
    <s v="P. 684467"/>
    <s v="Jombang"/>
    <d v="1972-10-26T00:00:00"/>
    <s v="197210262011011001"/>
    <s v="3306062610720002"/>
    <s v="IV/a"/>
    <d v="2024-04-01T00:00:00"/>
    <n v="20"/>
    <n v="1"/>
    <s v="Lektor Kepala"/>
    <d v="2021-12-01T00:00:00"/>
    <x v="1"/>
    <s v=" Ilmu Penerangan UNPAD Tahun  1996"/>
    <s v="Penciptaan Seni ISI Yogyakarta Tahun 2007"/>
    <s v="Kajian Budaya dan Media  UGM Tahun 2020"/>
    <n v="132100511985"/>
    <n v="526107202"/>
    <d v="2037-11-01T00:00:00"/>
    <s v="Ilmu Komunikasi (S1)"/>
    <s v="Komunikasi Visual"/>
    <s v="Wakil Dekan Bid. Kemahasiswaan dan Kerjasama  Fakultas  Ilmu Sosial dan Humaniora Masa Jabatan 2024-2028"/>
    <d v="2024-10-14T00:00:00"/>
    <m/>
  </r>
  <r>
    <n v="8"/>
    <s v="Dr. Yayan Suryana, M.Ag."/>
    <x v="1"/>
    <s v="I. 012371"/>
    <s v="Ciamis"/>
    <d v="1970-10-13T00:00:00"/>
    <s v="197010131998031008"/>
    <s v="3404101310700001"/>
    <s v="III/d"/>
    <d v="2010-04-01T00:00:00"/>
    <n v="12"/>
    <n v="1"/>
    <s v="Lektor"/>
    <s v="01/04/2010"/>
    <x v="1"/>
    <s v="Muamalah Jinayah IAIN Sunan Kalijaga Tahun 1996"/>
    <s v="Agama dan Filsafat IAIN Sunan Kalijaga Tahun 1999"/>
    <s v="Studi Islam UIN Sunan Kalijaga Tahun 2010"/>
    <n v="102100504551"/>
    <n v="2013107003"/>
    <d v="2035-11-01T00:00:00"/>
    <s v="Sosiologi (S1)"/>
    <s v="Studi Islam"/>
    <m/>
    <m/>
    <m/>
  </r>
  <r>
    <n v="9"/>
    <s v="Drs. Bono Setyo, M.Si"/>
    <x v="1"/>
    <s v="N 527137"/>
    <s v="Klaten"/>
    <d v="1969-03-17T00:00:00"/>
    <s v="196903172008011013"/>
    <s v="3310241703690001"/>
    <s v="III/d"/>
    <s v="01-10-2024"/>
    <n v="27"/>
    <n v="7"/>
    <s v="Lektor Kepala"/>
    <d v="2023-08-01T00:00:00"/>
    <x v="2"/>
    <s v="Komunikasi Massa UNS Tahun 1992"/>
    <s v="Ilmu Sosial UNPAD Tahun 1999"/>
    <m/>
    <n v="112100511440011"/>
    <n v="2017036902"/>
    <s v="01-04-2034"/>
    <s v="Ilmu Komunikasi (S1)"/>
    <s v="Komunikasi Manusia (Human Communication)"/>
    <m/>
    <m/>
    <m/>
  </r>
  <r>
    <n v="10"/>
    <s v="Dr. Raden Rachmy Diana, S. Psi., MA., Psi."/>
    <x v="2"/>
    <s v="M 136387"/>
    <s v="Sukabumi"/>
    <d v="1975-09-10T00:00:00"/>
    <s v="197509102005012003"/>
    <s v="3404125009750003"/>
    <s v="III/d"/>
    <d v="2018-10-01T00:00:00"/>
    <n v="13"/>
    <n v="9"/>
    <s v="Lektor"/>
    <d v="2010-08-01T00:00:00"/>
    <x v="1"/>
    <s v="Psikologi UGM Tahun 1999"/>
    <s v="Psikologi UGM Tahun  2009"/>
    <s v="Psikologi Pendidikan Islam UMY Tahun 2020"/>
    <n v="102100504730"/>
    <s v="2010097501"/>
    <d v="2040-10-01T00:00:00"/>
    <s v="Psikologi (S1)"/>
    <s v="Psikologi Pendidikan"/>
    <m/>
    <m/>
    <m/>
  </r>
  <r>
    <n v="11"/>
    <s v="Drs. Siantari Rihartono, M.Si."/>
    <x v="1"/>
    <s v="E. 942345"/>
    <s v="Pematang Siantar"/>
    <d v="1960-03-23T00:00:00"/>
    <s v="196003231991031002"/>
    <s v="3471042303600001"/>
    <s v="IV/a"/>
    <s v="01-04-2008"/>
    <n v="17"/>
    <n v="1"/>
    <s v="Lektor"/>
    <d v="2012-04-01T00:00:00"/>
    <x v="2"/>
    <s v="Ilmu Komunikasi UGM Tahun 1990"/>
    <s v="Ilmu Administrasi Negara UGM Tahun 2008"/>
    <m/>
    <n v="112100511510013"/>
    <n v="2023036001"/>
    <d v="2025-04-01T00:00:00"/>
    <s v="Ilmu Komunikasi (S1)"/>
    <s v="Komunikasi Massa"/>
    <m/>
    <m/>
    <m/>
  </r>
  <r>
    <n v="12"/>
    <s v="Retno Pandan Arum Kusumowardhani,S.Psi,M.Si,Psi. "/>
    <x v="2"/>
    <s v="N 527140"/>
    <s v="Bengkulu"/>
    <d v="1973-12-29T00:00:00"/>
    <s v="197312292008012005"/>
    <s v="3404056912730001"/>
    <s v="III/c"/>
    <d v="2012-04-01T00:00:00"/>
    <n v="4"/>
    <n v="3"/>
    <s v="Lektor"/>
    <d v="2012-04-01T00:00:00"/>
    <x v="2"/>
    <s v="Psikologi UGM Tahun 1998"/>
    <s v="Psikologi UGM Tahun 2005"/>
    <m/>
    <n v="112100513400024"/>
    <s v="'2029127301"/>
    <s v="01-01-2039"/>
    <s v="Psikologi (S1)"/>
    <s v="Psikologi Sosial"/>
    <s v=" "/>
    <s v=" "/>
    <s v=" "/>
  </r>
  <r>
    <n v="13"/>
    <s v="Dr. Yani Tri Wijayanti, S.Sos, M.Si"/>
    <x v="2"/>
    <s v="N 527138"/>
    <s v="Karanganyar"/>
    <d v="1980-03-26T00:00:00"/>
    <s v="198003262008012010"/>
    <s v="3404066603800003"/>
    <s v="III/d"/>
    <d v="2024-08-01T00:00:00"/>
    <n v="16"/>
    <n v="7"/>
    <s v="Lektor Kepala"/>
    <d v="2023-08-01T00:00:00"/>
    <x v="1"/>
    <s v="Komunikasi Massa UNS Tahun 2003"/>
    <s v="Ilmu Komunikasi UNS Tahun 2005"/>
    <s v="Ilmu Komunikasi UNPAD Tahun 2016"/>
    <n v="112100511510015"/>
    <n v="2026038001"/>
    <s v="01-04-2045"/>
    <s v="Ilmu Komunikasi (S1)"/>
    <s v="Manajemen Komunikasi  "/>
    <m/>
    <m/>
    <m/>
  </r>
  <r>
    <n v="14"/>
    <s v="Ambar Sari Dewi, S.Sos, M.Si., Ph.D."/>
    <x v="2"/>
    <s v="N 527136"/>
    <s v="Bogor"/>
    <d v="1976-12-10T00:00:00"/>
    <s v="197612102008012008"/>
    <s v="3402155012760005"/>
    <s v="III/d"/>
    <d v="2024-10-01T00:00:00"/>
    <n v="16"/>
    <n v="9"/>
    <s v="Lektor"/>
    <d v="2013-01-01T00:00:00"/>
    <x v="1"/>
    <s v="Sosiologi UGM Tahun 1999"/>
    <s v="Sosiologi UGM Tahun 2006"/>
    <s v="Doctor of Philosophy University of Queensland Tahun 2019"/>
    <n v="112100513000019"/>
    <n v="2010127601"/>
    <s v="01-01-2042"/>
    <s v="Sosiologi (S1)"/>
    <s v="Sosiologi Ekonomi"/>
    <s v="Wakil Dekan  Bid. Akademik Fakultas  Ilmu Sosial dan Humaniora Masa Jabatan 2024-2028"/>
    <d v="2024-10-14T00:00:00"/>
    <m/>
  </r>
  <r>
    <n v="15"/>
    <s v="Benny Herlena, S.Psi., M.Si."/>
    <x v="1"/>
    <s v="N 043777"/>
    <s v="Sliyeg Indramayu"/>
    <s v="24-11-1975"/>
    <s v="197511242006041002"/>
    <s v="3404112411750001"/>
    <s v="III/d"/>
    <d v="2017-10-01T00:00:00"/>
    <n v="11"/>
    <n v="6"/>
    <s v="Lektor"/>
    <d v="2013-03-01T00:00:00"/>
    <x v="2"/>
    <s v="Psikologi UII Tahun 2000"/>
    <s v="Psikologi UGM Tahun 2004"/>
    <m/>
    <n v="102100504647"/>
    <n v="2024117501"/>
    <d v="2040-12-01T00:00:00"/>
    <s v="Psikologi (S1)"/>
    <s v="Psikologi Industri dan Organisasi"/>
    <m/>
    <m/>
    <s v=" "/>
  </r>
  <r>
    <n v="16"/>
    <s v="Muhammad Johan Nasrul Huda, S.Psi.,M.Si."/>
    <x v="1"/>
    <s v="P. 516623"/>
    <s v="Ponorogo"/>
    <d v="1979-12-28T00:00:00"/>
    <s v="197912282009011012"/>
    <s v="3502172812790003"/>
    <s v="III/d"/>
    <d v="2016-10-01T00:00:00"/>
    <n v="7"/>
    <n v="9"/>
    <s v="Lektor"/>
    <d v="2013-03-01T00:00:00"/>
    <x v="2"/>
    <s v="Psikologi UIN Malang Tahun 2004"/>
    <s v="Psikologi UGM Tahun 2007"/>
    <m/>
    <n v="122100509803"/>
    <n v="2028127901"/>
    <d v="2045-01-01T00:00:00"/>
    <s v="Psikologi (S1)"/>
    <s v="Psikologi Sosial"/>
    <m/>
    <m/>
    <s v="TUGAS BELAJAR"/>
  </r>
  <r>
    <n v="17"/>
    <s v="Miftahun Ni'mah Suseno, S.P.Si., Psi, MA."/>
    <x v="2"/>
    <m/>
    <s v="Yogyakarta"/>
    <d v="1977-03-13T00:00:00"/>
    <s v="197703132009122001"/>
    <s v="3471075303770001"/>
    <s v="III/d"/>
    <d v="2015-04-01T00:00:00"/>
    <n v="5"/>
    <n v="4"/>
    <s v="Lektor"/>
    <d v="2013-03-01T00:00:00"/>
    <x v="2"/>
    <s v="Psikologi UII Tahun 1999"/>
    <s v="Psikologi UGM Tahun 2008   "/>
    <m/>
    <n v="132100511973"/>
    <s v="0513037701"/>
    <d v="2042-04-01T00:00:00"/>
    <s v="Psikologi (S1)"/>
    <s v="Psikometri"/>
    <m/>
    <m/>
    <s v=" "/>
  </r>
  <r>
    <n v="18"/>
    <s v="Satih Saidiyah, Dipl.Psy., M.Si."/>
    <x v="2"/>
    <s v="B 01034877"/>
    <s v="Yogyakarta"/>
    <d v="1976-08-05T00:00:00"/>
    <s v="197608052005012003"/>
    <s v="3402154508760007"/>
    <s v="III/d"/>
    <d v="2017-10-01T00:00:00"/>
    <n v="12"/>
    <n v="9"/>
    <s v="Lektor"/>
    <d v="2013-04-01T00:00:00"/>
    <x v="2"/>
    <s v="Univ. Of. Punjab Tahun 2001"/>
    <s v="Psikologi UGM Tahun 2004"/>
    <m/>
    <n v="102100504737"/>
    <n v="2005087601"/>
    <d v="2041-09-01T00:00:00"/>
    <s v="Psikologi (S1)"/>
    <s v="Psikologi Perkembangan"/>
    <m/>
    <m/>
    <s v="TUGAS BELAJAR"/>
  </r>
  <r>
    <n v="19"/>
    <s v="Dr. Fatma Dian Pratiwi, S.Sos, M. Si."/>
    <x v="2"/>
    <s v="N 043776"/>
    <s v="Surakarta"/>
    <d v="1975-03-07T00:00:00"/>
    <s v="197503072006042001"/>
    <s v="3372014703750004"/>
    <s v="IV/a"/>
    <d v="2024-04-01T00:00:00"/>
    <n v="18"/>
    <n v="0"/>
    <s v="Lektor Kepala"/>
    <d v="2023-08-01T00:00:00"/>
    <x v="1"/>
    <s v="Komunikasi Massa UNS Tahun 1998"/>
    <s v="Komunikasi UNS Tahun 2004"/>
    <s v="Kajian Budaya dan Media  UGM Tahun 2021"/>
    <s v="122100509806"/>
    <n v="2007037501"/>
    <d v="2040-04-01T00:00:00"/>
    <s v="Ilmu Komunikasi (S1)"/>
    <s v="Komunikasi Media dan Budaya"/>
    <s v="Ketua Program Studi Media dan Komunikasi Program Magister "/>
    <d v="2024-10-23T00:00:00"/>
    <m/>
  </r>
  <r>
    <n v="20"/>
    <s v="Zidni Immawan Muslimin, S.Psi, M.Si"/>
    <x v="1"/>
    <s v="N 527135"/>
    <s v="Yogyakarta"/>
    <d v="1968-02-20T00:00:00"/>
    <s v="196802202008011008"/>
    <s v="3471062002680001"/>
    <s v="III/d"/>
    <d v="2017-04-01T00:00:00"/>
    <n v="14"/>
    <n v="9"/>
    <s v="Lektor"/>
    <d v="2013-04-01T00:00:00"/>
    <x v="2"/>
    <s v="Psikologi UGM Tahun 1996"/>
    <s v="Psikologi UGM Tahun 2005"/>
    <m/>
    <n v="112100511510016"/>
    <n v="2020026801"/>
    <s v="01-03-2033"/>
    <s v="Psikologi (S1)"/>
    <s v="Psikologi Pendidikan"/>
    <m/>
    <m/>
    <m/>
  </r>
  <r>
    <n v="21"/>
    <s v="Dr. Mustadin, S.Psi., M.Si."/>
    <x v="1"/>
    <s v="P. 516624"/>
    <s v="Bone"/>
    <d v="1982-02-20T00:00:00"/>
    <s v="198202202009011006"/>
    <s v="3471032002820001"/>
    <s v="IV/a"/>
    <d v="2021-04-01T00:00:00"/>
    <n v="12"/>
    <n v="3"/>
    <s v="Lektor"/>
    <d v="2013-10-01T00:00:00"/>
    <x v="1"/>
    <s v="Psikologi UST Tahun 2006"/>
    <s v="Psikologi UGM Tahun 2008 "/>
    <s v="Psikologi UGM Tahun  2014"/>
    <n v="122100509802"/>
    <n v="2020028201"/>
    <d v="2047-03-01T00:00:00"/>
    <s v="Psikologi (S1)"/>
    <s v="Psikologi Industri dan Organisasi"/>
    <m/>
    <s v=" "/>
    <s v="Pranata Humas Ahli pada Kemenpora"/>
  </r>
  <r>
    <n v="22"/>
    <s v="Dr. Rika Lusri Virga, S.IP., M.A."/>
    <x v="2"/>
    <s v="P. 684491"/>
    <s v="Sintang"/>
    <d v="1985-09-14T00:00:00"/>
    <s v="198509142011012014"/>
    <s v="6105015499850002"/>
    <s v="III/c"/>
    <d v="2015-10-01T00:00:00"/>
    <n v="4"/>
    <n v="9"/>
    <s v="Lektor"/>
    <d v="2015-05-01T00:00:00"/>
    <x v="1"/>
    <s v="Ilmu Komunikasi  UMY Tahun 2008      "/>
    <s v="Ilmu Komunikasi UGM Tahun 2010"/>
    <s v="Ilmu Komunikasi Universitas Padjajaran Tahun 2023"/>
    <n v="1321000511987"/>
    <n v="2014098501"/>
    <d v="2050-10-01T00:00:00"/>
    <s v="Ilmu Komunikasi (S1)"/>
    <s v="Periklanan"/>
    <s v="Sekretaris Lembaga Penelitian dan Pengabdian kepada Masyarakat (LP2M) Masa Jabatan 2024-2028"/>
    <d v="2024-10-14T00:00:00"/>
    <m/>
  </r>
  <r>
    <n v="23"/>
    <s v="Dr. Diah Ajeng Purwani, S.Sos, M.Si."/>
    <x v="2"/>
    <m/>
    <s v="Kediri"/>
    <d v="1979-07-20T00:00:00"/>
    <s v="197907202009122001"/>
    <s v="3471126007790001"/>
    <s v="III/d"/>
    <d v="2024-10-01T00:00:00"/>
    <n v="14"/>
    <n v="10"/>
    <s v="Lektor Kepala"/>
    <d v="2023-08-01T00:00:00"/>
    <x v="1"/>
    <s v="Ilmu Komunikasi UPN  Yogyakarta  Tahun 2005"/>
    <s v="Ilmu Komunikasi Konsens Manajemen Komunikasi UNS Tahun 2009"/>
    <m/>
    <n v="142100512836"/>
    <n v="2020077901"/>
    <d v="2044-08-01T00:00:00"/>
    <s v="Ilmu Komunikasi (S1)"/>
    <s v="Komunikasi Pemberdayaan"/>
    <s v="Sekretaris  UPT Pusat Pengembangan Bisnis Masa Jabatan 2024-2028"/>
    <d v="2024-12-11T00:00:00"/>
    <m/>
  </r>
  <r>
    <n v="24"/>
    <s v="Nuristighfari Masri Khaerani, S.Psi., M.Psi."/>
    <x v="2"/>
    <m/>
    <s v="Temanggung"/>
    <d v="1976-09-28T00:00:00"/>
    <s v="197610282009122001"/>
    <s v="3404076810760001"/>
    <s v="III/d"/>
    <d v="2024-06-01T00:00:00"/>
    <n v="14"/>
    <n v="6"/>
    <s v="Lektor"/>
    <d v="2016-06-01T00:00:00"/>
    <x v="2"/>
    <s v=" Psikologi  UII Tahun 2002 "/>
    <s v=" Profesi Psikologi UGM Tahun 2009"/>
    <m/>
    <n v="122100509805"/>
    <n v="2028107601"/>
    <d v="2041-11-01T00:00:00"/>
    <s v="Psikologi (S1)"/>
    <s v="Psikologi Faal"/>
    <m/>
    <m/>
    <m/>
  </r>
  <r>
    <n v="25"/>
    <s v="Ahmad Norma Permata, S.Ag., M.A., Ph.D."/>
    <x v="1"/>
    <m/>
    <s v="Kediri"/>
    <s v="07-12-1971"/>
    <s v="197112072009011003"/>
    <s v="3404021811750005"/>
    <s v="III/d"/>
    <s v="01-10-2019"/>
    <n v="17"/>
    <n v="0"/>
    <s v="Lektor"/>
    <d v="2017-05-01T00:00:00"/>
    <x v="1"/>
    <s v=" Perbandingan Agama UMS Tahun 1994"/>
    <s v="Agama dan Filsafat Kons. Hubungan Antar Agama UIN Sunan Kalijaga Tahun 2005 "/>
    <s v="Westfalische Wilhelms Universitat Muster, German, Political Science and Anthropology, 2008"/>
    <s v="162100514222"/>
    <s v="2007127105"/>
    <s v="01-01-2037"/>
    <s v="Sosiologi (S1)"/>
    <s v="Sosiologi Politik"/>
    <s v="Ketua Program Studi Sosiologi Program Magister (S2)"/>
    <d v="2024-10-23T00:00:00"/>
    <m/>
  </r>
  <r>
    <n v="26"/>
    <s v="Maya Fitria, S. Psi., M.A."/>
    <x v="2"/>
    <s v="M 135307"/>
    <s v="Yogyakarta"/>
    <d v="1977-04-10T00:00:00"/>
    <s v="197704102005012002"/>
    <s v="3402155004770003"/>
    <s v="III/c"/>
    <d v="2020-04-01T00:00:00"/>
    <n v="15"/>
    <n v="3"/>
    <s v="Lektor"/>
    <d v="2017-07-01T00:00:00"/>
    <x v="2"/>
    <s v="Psikologi UGM Tahun 1999"/>
    <s v="Psikologi UGM Tahun 2011"/>
    <m/>
    <n v="122100509806"/>
    <n v="2010047701"/>
    <d v="2042-05-01T00:00:00"/>
    <s v="Psikologi (S1)"/>
    <s v="Psikologi Sosial"/>
    <m/>
    <m/>
    <s v=" "/>
  </r>
  <r>
    <n v="27"/>
    <s v="Lisnawati, S.Psi., M.Psi."/>
    <x v="2"/>
    <s v="P. 684490"/>
    <s v="Sukabumi"/>
    <d v="1975-08-10T00:00:00"/>
    <s v="197508102011012001"/>
    <s v="3471086008750001"/>
    <s v="III/d"/>
    <d v="2024-04-01T00:00:00"/>
    <n v="15"/>
    <n v="4"/>
    <s v="Lektor"/>
    <d v="2017-07-01T00:00:00"/>
    <x v="2"/>
    <s v="Psikologi UGM Tahun 2003"/>
    <s v="Psikologi  UGM Tahun 2010"/>
    <s v=" "/>
    <s v="132100511970"/>
    <n v="2010087502"/>
    <d v="2040-09-01T00:00:00"/>
    <s v="Psikologi (S1)"/>
    <s v="Psikologi Pendidikan"/>
    <m/>
    <m/>
    <m/>
  </r>
  <r>
    <n v="28"/>
    <s v="Sara Palila, S.Psi,Psi, M.A."/>
    <x v="2"/>
    <s v="P. 516625"/>
    <s v="Palembang"/>
    <d v="1981-10-14T00:00:00"/>
    <s v="198110142009012004"/>
    <s v="1671095410810002"/>
    <s v="III/d"/>
    <d v="2024-04-01T00:00:00"/>
    <n v="15"/>
    <n v="3"/>
    <s v="Lektor"/>
    <d v="2017-08-01T00:00:00"/>
    <x v="2"/>
    <s v="Psikologi UGM Tahun 2003"/>
    <s v="Psikologi UGM Tahun 2008 "/>
    <m/>
    <n v="132100511990"/>
    <n v="2014108101"/>
    <d v="2046-11-01T00:00:00"/>
    <s v="Psikologi (S1)"/>
    <s v="Psikologi Klinis "/>
    <m/>
    <m/>
    <m/>
  </r>
  <r>
    <n v="29"/>
    <s v="Mayreyna Nurwardani, S.Psi., M.Psi."/>
    <x v="2"/>
    <s v="P. 586732"/>
    <s v="Yogyakarta"/>
    <d v="1981-05-05T00:00:00"/>
    <s v="198105052009012011"/>
    <s v="3404074505810032"/>
    <s v="III/d"/>
    <d v="2024-06-01T00:00:00"/>
    <n v="15"/>
    <n v="5"/>
    <s v="Lektor"/>
    <d v="2017-10-01T00:00:00"/>
    <x v="2"/>
    <s v="Psikologi UGM Tahun 2004"/>
    <s v="Magister Profesi Psikologi UGM Tahun 2007"/>
    <m/>
    <n v="132100511970"/>
    <n v="2005058102"/>
    <d v="2046-06-01T00:00:00"/>
    <s v="Psikologi (S1)"/>
    <s v="Psikologi Industri dan Organisasi"/>
    <m/>
    <m/>
    <m/>
  </r>
  <r>
    <n v="30"/>
    <s v="Dr. Pihasniwati, S.Psi., M.A.,Psikolog"/>
    <x v="2"/>
    <s v="M 136389"/>
    <s v="Palembang"/>
    <d v="1974-11-17T00:00:00"/>
    <s v="197411172005012006"/>
    <s v="3402155711740003"/>
    <s v="III/d"/>
    <d v="2020-10-01T00:00:00"/>
    <n v="15"/>
    <n v="9"/>
    <s v="Lektor"/>
    <d v="2018-04-01T00:00:00"/>
    <x v="1"/>
    <s v="Psikologi UGM Tahun 1998"/>
    <s v="Psikologi UGM Tahun 2014"/>
    <s v="Psikologi Islam, UIN Syarif Hidayatullah Jakarta Tahun 2024"/>
    <s v="152100513475"/>
    <n v="2017117401"/>
    <d v="2039-12-01T00:00:00"/>
    <s v="Psikologi (S1)"/>
    <s v="Psikologi Klinis"/>
    <m/>
    <m/>
    <s v=" "/>
  </r>
  <r>
    <n v="31"/>
    <s v="Very Julianto,  M.Psi."/>
    <x v="1"/>
    <m/>
    <s v="Bengkulu"/>
    <d v="1988-07-17T00:00:00"/>
    <s v="198807172015031003"/>
    <s v="1771021707880003"/>
    <s v="III/d"/>
    <d v="2024-04-01T00:00:00"/>
    <n v="9"/>
    <n v="1"/>
    <s v="Lektor"/>
    <d v="2018-08-01T00:00:00"/>
    <x v="2"/>
    <s v="Psikologi UGM Tahun 2011"/>
    <s v="Magister Profesi Psikologi UGM Tahun 2013"/>
    <m/>
    <s v="182100516043"/>
    <n v="2017078801"/>
    <d v="2053-08-01T00:00:00"/>
    <s v="Psikologi (S1)"/>
    <s v="Psikologi Umum dan Eksperimen"/>
    <m/>
    <m/>
    <m/>
  </r>
  <r>
    <n v="32"/>
    <s v="Yanti Dwi Astuti, S.Sos.I, M.A."/>
    <x v="2"/>
    <m/>
    <s v="Langkat"/>
    <d v="1984-05-16T00:00:00"/>
    <s v="198405162015032001"/>
    <s v="3404044611840002"/>
    <s v="III/d"/>
    <d v="2024-04-01T00:00:00"/>
    <n v="9"/>
    <n v="1"/>
    <s v="Lektor"/>
    <d v="2019-04-01T00:00:00"/>
    <x v="2"/>
    <s v="Komunikasi dan Penyiaran Islam UIN Sunan Kalijaga Tahun 2008"/>
    <s v="Ilmu Komunikasi UGM Tahun 2014"/>
    <m/>
    <s v="182100516042"/>
    <s v="2016058401"/>
    <d v="2049-06-01T00:00:00"/>
    <s v="Ilmu Komunikasi (S1)"/>
    <s v="Komunikasi Media Massa dan Media Online"/>
    <m/>
    <m/>
    <s v="TUGAS BELAJAR"/>
  </r>
  <r>
    <n v="33"/>
    <s v="Dr. Astri Hanjarwati, S.Sos., M.A."/>
    <x v="2"/>
    <m/>
    <s v="Sleman"/>
    <d v="1985-05-02T00:00:00"/>
    <s v="198505022015032005"/>
    <s v="3404114205850003"/>
    <s v="III/d"/>
    <d v="2023-04-01T00:00:00"/>
    <n v="8"/>
    <n v="1"/>
    <s v="Lektor"/>
    <d v="2020-08-01T00:00:00"/>
    <x v="1"/>
    <s v="Sosiatri UGM Tahun 2007"/>
    <s v="Sosiologi UGM  Tahun 2009"/>
    <s v="Ilmu Geografi UGM Tahun 2019"/>
    <n v="192100517414"/>
    <n v="2002058501"/>
    <d v="2050-06-01T00:00:00"/>
    <s v="Sosiologi (S1)"/>
    <s v="Sosiologi Pembangunan"/>
    <s v="Wakil Dekan  Bid. Adm. Umum, Perencanaan dan Keuangan Fakultas  Ilmu Sosial dan Humaniora Masa Jabatan 2024-2028"/>
    <d v="2024-10-14T00:00:00"/>
    <m/>
  </r>
  <r>
    <n v="34"/>
    <s v="Lukman Nusa, M.I.Kom."/>
    <x v="1"/>
    <m/>
    <s v="Tegal"/>
    <d v="1986-12-21T00:00:00"/>
    <s v="198612212015031005"/>
    <s v="3309092112869002"/>
    <s v="III/d"/>
    <d v="2024-10-01T00:00:00"/>
    <n v="9"/>
    <n v="9"/>
    <s v="Lektor"/>
    <d v="2022-04-01T00:00:00"/>
    <x v="2"/>
    <s v="Ilmu Komunikasi UNS Tahun 2011"/>
    <s v="Ilmu Komunikasi UNS Tahun 2013"/>
    <m/>
    <s v="222100517747"/>
    <s v="2021128603"/>
    <d v="2052-01-01T00:00:00"/>
    <s v="Ilmu Komunikasi (S1)"/>
    <s v="Manajemen Media Massa dan Media Online"/>
    <s v="Koordinator Pusat Audit dan Pengendalian Mutu pada LPM Masa Jabatan 2024 - 2028"/>
    <d v="2024-10-14T00:00:00"/>
    <m/>
  </r>
  <r>
    <n v="35"/>
    <s v="Niken Puspitasari, S.IP., M.A."/>
    <x v="2"/>
    <m/>
    <s v="Pontianak"/>
    <d v="1983-01-11T00:00:00"/>
    <s v="198301112015032004"/>
    <s v="6171055101830005"/>
    <s v="III/d"/>
    <d v="2024-10-01T00:00:00"/>
    <n v="9"/>
    <n v="7"/>
    <s v="Lektor"/>
    <d v="2022-04-01T00:00:00"/>
    <x v="2"/>
    <s v="Ilmu Hubungan Internasioal UPN Veteran Yogyakarta Tahun 2007"/>
    <s v="Ilmu Politik UGM Tahun 2010"/>
    <m/>
    <s v="182100516040"/>
    <s v="0511018301"/>
    <d v="2048-02-01T00:00:00"/>
    <s v="Ilmu Komunikasi (S1)"/>
    <s v="Perkembangan Teknologi"/>
    <m/>
    <m/>
    <m/>
  </r>
  <r>
    <n v="36"/>
    <s v="Agus Saputro, M.Si."/>
    <x v="1"/>
    <m/>
    <s v="Karanganyar "/>
    <d v="1990-01-13T00:00:00"/>
    <s v="199001132018011003"/>
    <s v="3313131301900006"/>
    <s v="III/c"/>
    <d v="2022-10-01T00:00:00"/>
    <n v="4"/>
    <n v="9"/>
    <s v="Lektor"/>
    <d v="2022-06-01T00:00:00"/>
    <x v="2"/>
    <s v=" "/>
    <s v="Sosiologi Universitas Sebelas Maret Tahun 2016"/>
    <m/>
    <s v="222100517749"/>
    <s v="2013019001"/>
    <d v="2055-02-01T00:00:00"/>
    <s v="Sosiologi (S1)"/>
    <s v="Kajian Sosiologi Pedesaan dan Perkotaan"/>
    <m/>
    <m/>
    <m/>
  </r>
  <r>
    <n v="37"/>
    <s v="Candra Indraswari, M.Psi."/>
    <x v="2"/>
    <m/>
    <s v="Yogyakarta"/>
    <d v="1991-11-15T00:00:00"/>
    <s v="199111152019032019 "/>
    <s v="1704114704910001"/>
    <s v="III/c"/>
    <d v="2023-10-01T00:00:00"/>
    <n v="4"/>
    <n v="7"/>
    <s v="Lektor"/>
    <d v="2023-01-01T00:00:00"/>
    <x v="2"/>
    <s v="UGM Tahun 2014"/>
    <s v="Magister Psikologi Profesi UGM Tahun 2018"/>
    <m/>
    <m/>
    <s v="2015119103"/>
    <d v="2056-12-01T00:00:00"/>
    <s v="Psikologi (S1)"/>
    <s v="Industri dan Organisasi"/>
    <m/>
    <m/>
    <m/>
  </r>
  <r>
    <n v="38"/>
    <s v="Dr. Andri Rosadi, M.Hum"/>
    <x v="1"/>
    <m/>
    <s v="Tembilahan"/>
    <d v="1975-12-30T00:00:00"/>
    <s v="197512302009121002"/>
    <s v="1371093012750006"/>
    <s v="III/c"/>
    <d v="2014-10-01T00:00:00"/>
    <s v=" "/>
    <s v=" "/>
    <s v="Lektor"/>
    <d v="2014-05-01T00:00:00"/>
    <x v="1"/>
    <m/>
    <s v="UGM Tahun 2006"/>
    <s v="Universitity Of Western Sidney Australia Tahun 2019"/>
    <m/>
    <m/>
    <d v="2041-01-01T00:00:00"/>
    <s v="Sosiologi (S1)"/>
    <s v="Sosiologi Agama"/>
    <s v="Sekretaris Program Studi Sosiologi "/>
    <d v="2024-10-23T00:00:00"/>
    <m/>
  </r>
  <r>
    <n v="39"/>
    <s v="Mokhamad Mahfud, S.Sos. I., M.Si."/>
    <x v="1"/>
    <s v="Q 052504"/>
    <s v="Kebumen"/>
    <s v="13-07-1977"/>
    <s v="197707132006041002"/>
    <s v="3402151307770007"/>
    <s v="III/b"/>
    <d v="2014-04-01T00:00:00"/>
    <n v="8"/>
    <n v="0"/>
    <s v="Lektor"/>
    <d v="2023-01-01T00:00:00"/>
    <x v="2"/>
    <s v="Komunikasi dan Penyiaran Islam IAIN Sunan Kalijaga Tahun 2002"/>
    <s v="Ilmu Komunikasi UNS Tahun 2011"/>
    <m/>
    <n v="112100513510027"/>
    <n v="2013077701"/>
    <d v="2042-08-01T00:00:00"/>
    <s v="Ilmu Komunikasi (S1)"/>
    <s v="Komunikasi Islam"/>
    <s v="Ketua Program Studi Ilmu Komunikasi"/>
    <d v="2024-10-23T00:00:00"/>
    <m/>
  </r>
  <r>
    <n v="40"/>
    <s v="Alip Kunandar, S.Sos., M.Si."/>
    <x v="1"/>
    <s v="P. 516627"/>
    <s v="Bandung"/>
    <d v="1976-06-26T00:00:00"/>
    <s v="197606262009011010"/>
    <s v="0952042006770055"/>
    <s v="III/c"/>
    <d v="2024-04-01T00:00:00"/>
    <n v="15"/>
    <n v="3"/>
    <s v="Lektor"/>
    <d v="2023-01-01T00:00:00"/>
    <x v="2"/>
    <s v="Ilmu Komunikasi UNHAS Tahun 2001"/>
    <s v="Ilmu Komunikasi UI Tahun 2008"/>
    <m/>
    <s v="1221100509807"/>
    <n v="2026067601"/>
    <d v="2041-07-01T00:00:00"/>
    <s v="Ilmu Komunikasi (S1)"/>
    <s v="Jurnalistik"/>
    <s v="Sekretaris Program Studi Ilmu Komunikasi"/>
    <d v="2024-10-23T00:00:00"/>
    <m/>
  </r>
  <r>
    <n v="41"/>
    <s v="Fajar Iqbal, S.Sos., M.Si."/>
    <x v="1"/>
    <s v=" "/>
    <s v="Jayapura"/>
    <d v="1973-07-01T00:00:00"/>
    <s v="197307012011011002"/>
    <s v="3402160107730007"/>
    <s v="III/c"/>
    <d v="2024-04-01T00:00:00"/>
    <n v="15"/>
    <n v="8"/>
    <s v="Lektor"/>
    <d v="2023-01-01T00:00:00"/>
    <x v="2"/>
    <s v="Komunikasi Massa UNS Tahun 1998"/>
    <s v="Ilmu Komunikasi UI Tahun 2005"/>
    <s v=" "/>
    <s v="162100514221"/>
    <s v="2001077303"/>
    <d v="2038-08-01T00:00:00"/>
    <s v="Ilmu Komunikasi (S1)"/>
    <s v="Lintas Budaya"/>
    <m/>
    <m/>
    <m/>
  </r>
  <r>
    <n v="42"/>
    <s v="Achmad Uzair, S.IP, M.A., Ph.D."/>
    <x v="1"/>
    <s v="P. 684492"/>
    <s v="Jepara"/>
    <d v="1978-03-15T00:00:00"/>
    <s v="197803152011011002"/>
    <s v="3320061503780003"/>
    <s v="III/d"/>
    <d v="2024-04-01T00:00:00"/>
    <n v="13"/>
    <n v="3"/>
    <s v="Lektor"/>
    <d v="2023-03-01T00:00:00"/>
    <x v="1"/>
    <s v=" Ilmu Hubungan Internasional UGM Tahun 2002"/>
    <s v="Development Studies, Poverty Studies and Policy Analysis Institut of Sosial Studies, The Hague Netherlands, 2008"/>
    <s v="Australia"/>
    <s v="182100516025"/>
    <s v="2015037806"/>
    <d v="2043-04-01T00:00:00"/>
    <s v="Sosiologi (S1)"/>
    <s v="Sosiologi Politik"/>
    <m/>
    <m/>
    <s v=" "/>
  </r>
  <r>
    <n v="43"/>
    <s v="B.J. Sujibto, M.A."/>
    <x v="1"/>
    <m/>
    <s v="Sumenep"/>
    <d v="1986-02-24T00:00:00"/>
    <s v="198602242019031007 "/>
    <s v="3529132402860001"/>
    <s v="III/c"/>
    <d v="2024-04-01T00:00:00"/>
    <n v="5"/>
    <n v="1"/>
    <s v="Lektor"/>
    <d v="2023-01-01T00:00:00"/>
    <x v="2"/>
    <s v="UIN Sunan Kalijaga Tahun 2011"/>
    <s v="Sociology Selcuk University Turkey Tahun 2017"/>
    <m/>
    <m/>
    <s v="2024028602"/>
    <d v="2051-03-01T00:00:00"/>
    <s v="Sosiologi (S1)"/>
    <s v="Sosiologi"/>
    <m/>
    <m/>
    <m/>
  </r>
  <r>
    <n v="44"/>
    <s v="Muslim Hidayat, M.A."/>
    <x v="1"/>
    <m/>
    <s v="Klaten"/>
    <d v="1984-02-26T00:00:00"/>
    <s v="198402262019031010 "/>
    <s v="3310222602840002"/>
    <s v="III/c"/>
    <d v="2024-04-01T00:00:00"/>
    <n v="5"/>
    <n v="1"/>
    <s v="Lektor"/>
    <d v="2023-07-01T00:00:00"/>
    <x v="2"/>
    <s v="UIN Sunan Kalijaga Tahun 2006"/>
    <s v="Psikologi UGM Tahun 2012"/>
    <m/>
    <m/>
    <n v="2126028403"/>
    <d v="2049-03-01T00:00:00"/>
    <s v="Psikologi (S1)"/>
    <s v="Psikologi Islam"/>
    <m/>
    <m/>
    <m/>
  </r>
  <r>
    <n v="45"/>
    <s v="Ismatul Izzah, S.Th.I., M.A."/>
    <x v="2"/>
    <m/>
    <s v="Madiun"/>
    <d v="1984-07-03T00:00:00"/>
    <s v="198407032015032002"/>
    <s v="3402154307840006"/>
    <s v="III/c"/>
    <d v="2024-04-01T00:00:00"/>
    <n v="9"/>
    <n v="1"/>
    <s v="Lektor"/>
    <d v="2023-01-01T00:00:00"/>
    <x v="2"/>
    <s v="Tafsir dan Hadis UIN Sunan Kalijaga Tahun 2007"/>
    <s v="Psikologi UGM Tahun 2011"/>
    <m/>
    <s v="182100516041"/>
    <n v="2003078401"/>
    <d v="2049-08-01T00:00:00"/>
    <s v="Psikologi (S1)"/>
    <s v="Psikologi Perkembangan"/>
    <m/>
    <m/>
    <m/>
  </r>
  <r>
    <n v="46"/>
    <s v="Ui Ardaninggar Luhtitianti, M.A."/>
    <x v="2"/>
    <s v="B 01034723"/>
    <s v="Semarang"/>
    <d v="1985-04-07T00:00:00"/>
    <s v="198504072018012001"/>
    <s v="3322084704850002"/>
    <s v="III/c"/>
    <d v="2024-04-01T00:00:00"/>
    <n v="6"/>
    <n v="3"/>
    <s v="Lektor"/>
    <d v="2023-01-01T00:00:00"/>
    <x v="2"/>
    <s v=" "/>
    <s v="Sosiologi UGM Yogyakarta Tahun 2010"/>
    <m/>
    <s v="222100517758"/>
    <s v="2007048501"/>
    <d v="2050-05-01T00:00:00"/>
    <s v="Sosiologi (S1)"/>
    <s v="Sosiologi Agama"/>
    <m/>
    <m/>
    <m/>
  </r>
  <r>
    <n v="47"/>
    <s v="Denisa Apriliawati, M.Res."/>
    <x v="2"/>
    <m/>
    <s v="Bantul"/>
    <d v="1990-04-07T00:00:00"/>
    <s v="199004072019032014 "/>
    <s v="3402084704900002"/>
    <s v="III/c"/>
    <d v="2024-04-01T00:00:00"/>
    <n v="5"/>
    <n v="1"/>
    <s v="Lektor"/>
    <d v="2023-07-01T00:00:00"/>
    <x v="2"/>
    <s v="UIN Sunan Kalijaga Tahun 2015"/>
    <s v="Psychology (Mres) The University of Manchester InggrisTahun2017"/>
    <m/>
    <m/>
    <s v="2007049005"/>
    <d v="2055-05-01T00:00:00"/>
    <s v="Psikologi (S1)"/>
    <s v="Statistika dan Psikometrika"/>
    <s v="Ketua Program Studi Psikologi"/>
    <d v="2024-10-23T00:00:00"/>
    <m/>
  </r>
  <r>
    <n v="48"/>
    <s v="Sabiqotul Husna, M.Sc."/>
    <x v="2"/>
    <m/>
    <s v="Magelang"/>
    <d v="1988-02-14T00:00:00"/>
    <s v="198802142019032014 "/>
    <s v="3308185402880002"/>
    <s v="III/c"/>
    <d v="2024-04-01T00:00:00"/>
    <n v="5"/>
    <n v="1"/>
    <s v="Lektor"/>
    <d v="2023-07-01T00:00:00"/>
    <x v="2"/>
    <s v="UIN Sunan Kalijaga Tahun 2012"/>
    <s v="Psychology Maastrich University Tahun 2017"/>
    <m/>
    <m/>
    <s v="2014028802"/>
    <d v="2053-03-01T00:00:00"/>
    <s v="Psikologi (S1)"/>
    <s v="Biopsikologi"/>
    <m/>
    <m/>
    <m/>
  </r>
  <r>
    <n v="49"/>
    <s v="Rahmah At Taymini, M.A."/>
    <x v="1"/>
    <m/>
    <s v="Tanjungpinang"/>
    <d v="1992-12-16T00:00:00"/>
    <s v="199212162019032015 "/>
    <s v="2172015612920001"/>
    <s v="III/b"/>
    <d v="2019-03-01T00:00:00"/>
    <n v="0"/>
    <n v="0"/>
    <s v="Asisten Ahli"/>
    <d v="2021-03-01T00:00:00"/>
    <x v="2"/>
    <s v="UIN Sunan Kalijaga Tahun 2014"/>
    <s v="Ilmu Komunikasi UGM Tahun 2017"/>
    <m/>
    <m/>
    <n v="2016129202"/>
    <d v="2058-01-01T00:00:00"/>
    <s v="Ilmu Komunikasi (S1)"/>
    <s v="Cybermedia"/>
    <s v="Anggota ADMISI"/>
    <d v="2024-12-06T00:00:00"/>
    <m/>
  </r>
  <r>
    <n v="50"/>
    <s v="Aditya Dedy Nugraha, M.Psi.,Psi."/>
    <x v="1"/>
    <m/>
    <s v="Klaten"/>
    <d v="1986-12-14T00:00:00"/>
    <s v="198612142019031009 "/>
    <s v="3310021412860001"/>
    <s v="III/c"/>
    <d v="2024-12-01T00:00:00"/>
    <n v="5"/>
    <n v="9"/>
    <s v="Lektor"/>
    <d v="2024-09-01T00:00:00"/>
    <x v="2"/>
    <s v="UMS Tahun 2008"/>
    <s v="Psikologi Profesi UMS Tahun 2013"/>
    <m/>
    <m/>
    <s v="2014128602"/>
    <d v="2051-01-01T00:00:00"/>
    <s v="Psikologi (S1)"/>
    <s v="Psikologi Umum dan Eksperimental"/>
    <m/>
    <m/>
    <m/>
  </r>
  <r>
    <n v="51"/>
    <s v="Achmad Zuhri, M.I.Kom."/>
    <x v="1"/>
    <m/>
    <s v="Batang"/>
    <d v="1990-01-11T00:00:00"/>
    <s v="199001112019031014  "/>
    <s v="3325091101900001"/>
    <s v="III/c"/>
    <s v="01/24/2024"/>
    <n v="5"/>
    <n v="9"/>
    <s v="Asisten Ahli"/>
    <d v="2021-04-01T00:00:00"/>
    <x v="2"/>
    <s v="UIN Sunan Kalijaga Tahun 2015"/>
    <s v="Ilmu Komunikasi Universitas Prof. Dr. Moestopo Tahun 2018"/>
    <m/>
    <m/>
    <s v="2011019001"/>
    <d v="2055-12-01T00:00:00"/>
    <s v="Ilmu Komunikasi (S1)"/>
    <s v="Komunikasi Massa"/>
    <s v="Sekretaris Program Studi Media dan Komunikasi Program Magister "/>
    <d v="2024-10-23T00:00:00"/>
    <m/>
  </r>
  <r>
    <n v="52"/>
    <s v="Syaiful Fakhri, M.Psi."/>
    <x v="1"/>
    <m/>
    <s v="Sleman"/>
    <d v="1989-06-07T00:00:00"/>
    <s v="198906072019031016 "/>
    <s v="3404060706890001"/>
    <s v="III/b"/>
    <d v="2019-03-01T00:00:00"/>
    <n v="0"/>
    <n v="0"/>
    <s v="Asisten Ahli"/>
    <d v="2021-07-01T00:00:00"/>
    <x v="2"/>
    <s v="UIN Sunan Kalijaga Tahun 2012"/>
    <s v="Psikologi Universitas Ahmad Dahlan Tahun 2017"/>
    <m/>
    <m/>
    <s v="2007068902"/>
    <d v="2054-07-01T00:00:00"/>
    <s v="Psikologi (S1)"/>
    <s v="Psikologi Industri dan Organisasi"/>
    <s v="Anggota Divisi SPI"/>
    <s v="07/01/2021"/>
    <m/>
  </r>
  <r>
    <n v="53"/>
    <s v="Handini, M.I.Kom."/>
    <x v="1"/>
    <m/>
    <s v="Subang"/>
    <d v="1991-09-29T00:00:00"/>
    <s v="199109292019031014 "/>
    <s v="3213252909910001"/>
    <s v="III/b"/>
    <d v="2019-03-01T00:00:00"/>
    <n v="0"/>
    <n v="0"/>
    <s v="Asisten Ahli"/>
    <d v="2022-04-01T00:00:00"/>
    <x v="2"/>
    <s v="UIN Sunan Kalijaga Tahun 2014"/>
    <s v="Ilmu Komunikasi Universitas Prof. Dr. Moestopo Tahun 2018"/>
    <m/>
    <m/>
    <s v="2029099101"/>
    <d v="2056-10-01T00:00:00"/>
    <s v="Ilmu Komunikasi (S1)"/>
    <s v="Periklanan"/>
    <s v="Ketua ADMISI"/>
    <d v="2024-10-11T00:00:00"/>
    <m/>
  </r>
  <r>
    <n v="54"/>
    <s v="Tariq Yazid, MA."/>
    <x v="1"/>
    <m/>
    <s v="Jakarta"/>
    <d v="1985-05-02T00:00:00"/>
    <s v="198505022019031011 "/>
    <s v="3674050205850003"/>
    <s v="III/b"/>
    <d v="2019-03-01T00:00:00"/>
    <n v="0"/>
    <n v="0"/>
    <s v="Asisten Ahli"/>
    <d v="2022-09-01T00:00:00"/>
    <x v="2"/>
    <s v="Univ. Prof. Dr. Moestopo Jakarta Tahun 2008"/>
    <s v="Pengurusan Media  Univ. Sains Islam Malaysia Tahun 2011"/>
    <m/>
    <s v="232100519189"/>
    <n v="2002058505"/>
    <d v="2050-06-01T00:00:00"/>
    <s v="Ilmu Komunikasi (S1)"/>
    <s v="Komunikasi Industri"/>
    <m/>
    <m/>
    <m/>
  </r>
  <r>
    <n v="55"/>
    <s v="Ihya' Ulumuddin, M.Sos."/>
    <x v="1"/>
    <m/>
    <s v="Lamongan"/>
    <d v="1992-11-23T00:00:00"/>
    <s v="199211232020121006"/>
    <s v="3524222311920002"/>
    <s v="III/b"/>
    <d v="2020-12-01T00:00:00"/>
    <n v="0"/>
    <n v="0"/>
    <s v="Asisten Ahli"/>
    <d v="2022-11-01T00:00:00"/>
    <x v="2"/>
    <m/>
    <s v="Komunikasi Penyiaran Islam UIN Sunan Ampel Surabaya Tahun 2018"/>
    <m/>
    <m/>
    <s v="2023119201"/>
    <d v="2057-12-01T00:00:00"/>
    <s v="Ilmu Komunikasi (S1)"/>
    <s v="Kebijakan Publik"/>
    <m/>
    <m/>
    <m/>
  </r>
  <r>
    <n v="56"/>
    <s v="Rita Setyani Hadi Sukirno, M.Psi."/>
    <x v="2"/>
    <s v="B 01034722"/>
    <s v="Yogyakarta"/>
    <d v="1983-05-01T00:00:00"/>
    <s v="198305012015032006"/>
    <s v="3471074105830001"/>
    <s v="III/b"/>
    <d v="2015-03-01T00:00:00"/>
    <n v="0"/>
    <n v="0"/>
    <s v="Asisten Ahli"/>
    <d v="2020-05-01T00:00:00"/>
    <x v="2"/>
    <s v="Psikologi UII Tahun 2005"/>
    <s v="Magister Profesi Psikologi UGM  Tahun 2009"/>
    <m/>
    <s v="222100517766"/>
    <n v="2001058303"/>
    <d v="2049-06-01T00:00:00"/>
    <s v="Psikologi (S1)"/>
    <s v="Psikologi Klinis"/>
    <m/>
    <m/>
    <m/>
  </r>
  <r>
    <n v="57"/>
    <s v="Fitriana Widyastuti, M.Psi"/>
    <x v="2"/>
    <m/>
    <s v="Bantul"/>
    <d v="1991-01-02T00:00:00"/>
    <s v="199101022019032012 "/>
    <s v="3402074201910002"/>
    <s v="III/b"/>
    <d v="2019-03-01T00:00:00"/>
    <n v="0"/>
    <n v="0"/>
    <s v="Asisten Ahli"/>
    <d v="2021-07-01T00:00:00"/>
    <x v="2"/>
    <s v="UGM Tahun 2013"/>
    <s v="Magister Psikologi Profesi UGM Tahun 2018"/>
    <m/>
    <m/>
    <s v="2002019101"/>
    <d v="2056-03-01T00:00:00"/>
    <s v="Psikologi (S1)"/>
    <s v="Psikologi Anak Asisten Ahli"/>
    <s v="Plt. Sekretaris Program Studi Psikologi"/>
    <d v="2024-11-15T00:00:00"/>
    <m/>
  </r>
  <r>
    <n v="58"/>
    <s v="Dwi Nur Laela Fithriya, M.A."/>
    <x v="2"/>
    <m/>
    <s v="Lamongan"/>
    <d v="1991-01-23T00:00:00"/>
    <s v="199101232019032013 "/>
    <s v="3524156301910003"/>
    <s v="III/c"/>
    <d v="2024-12-01T00:00:00"/>
    <n v="5"/>
    <n v="9"/>
    <s v="Lektor"/>
    <d v="2024-09-01T00:00:00"/>
    <x v="2"/>
    <m/>
    <s v="Ilmu Hubungan Internasional UGM Tahun 2014"/>
    <m/>
    <m/>
    <s v="2023019102"/>
    <d v="2056-02-01T00:00:00"/>
    <s v="Sosiologi (S1)"/>
    <s v="Sosiologi Politik"/>
    <m/>
    <m/>
    <m/>
  </r>
  <r>
    <n v="59"/>
    <s v="Maya Sandra Rosita Dewi, M.I.Kom."/>
    <x v="2"/>
    <m/>
    <s v="Boyolali"/>
    <d v="1987-04-28T00:00:00"/>
    <s v="198704282019032010 "/>
    <s v="3309076804870002"/>
    <s v="III/b"/>
    <d v="2019-03-01T00:00:00"/>
    <n v="0"/>
    <n v="0"/>
    <s v="Asisten Ahli"/>
    <d v="2021-03-01T00:00:00"/>
    <x v="2"/>
    <s v="UII Tahun 2009"/>
    <s v="Ilmu Komunikasi UNS Surakarta Tahun 2016"/>
    <m/>
    <m/>
    <n v="2128048703"/>
    <d v="2052-05-01T00:00:00"/>
    <s v="Ilmu Komunikasi (S1)"/>
    <s v="Komunikasi dan Media Digital"/>
    <m/>
    <m/>
    <m/>
  </r>
  <r>
    <n v="60"/>
    <s v="dr. Murtafiqoh Hasanah"/>
    <x v="2"/>
    <m/>
    <s v="Pekalongan"/>
    <d v="1979-06-29T00:00:00"/>
    <s v="197906292005012007"/>
    <s v="3401066906790001"/>
    <s v="III/d"/>
    <s v="01-04-2015"/>
    <n v="10"/>
    <n v="3"/>
    <s v="Asisten Ahli"/>
    <d v="2021-10-01T00:00:00"/>
    <x v="2"/>
    <s v=" "/>
    <s v="Pendidikan Spesialis Syaraf Tahun 2017"/>
    <m/>
    <m/>
    <n v="2029067904"/>
    <d v="2044-07-01T00:00:00"/>
    <s v="Psikologi (S1)"/>
    <m/>
    <m/>
    <m/>
    <m/>
  </r>
  <r>
    <n v="61"/>
    <s v="Nisrina Muthahari, M.A."/>
    <x v="2"/>
    <m/>
    <s v="Yogyakarta"/>
    <d v="1990-09-04T00:00:00"/>
    <s v="‌199009042020122012"/>
    <s v="3471144409900001"/>
    <s v="III/b"/>
    <d v="2020-12-01T00:00:00"/>
    <n v="0"/>
    <n v="0"/>
    <s v="Asisten Ahli"/>
    <d v="2022-11-01T00:00:00"/>
    <x v="2"/>
    <m/>
    <s v="Sosiologi UGM Tahun 2019"/>
    <m/>
    <m/>
    <n v="2004099003"/>
    <d v="2055-10-01T00:00:00"/>
    <s v="Sosiologi (S1)"/>
    <s v="Sosiologi Komunikasi "/>
    <m/>
    <m/>
    <m/>
  </r>
  <r>
    <n v="62"/>
    <s v="Kanita Khoirun Nisa, S.Pd. MA."/>
    <x v="2"/>
    <m/>
    <s v="Cilacap"/>
    <d v="1994-06-22T00:00:00"/>
    <s v="‌199406222020122012"/>
    <s v="3301046206940009"/>
    <s v="III/b"/>
    <d v="2020-12-01T00:00:00"/>
    <n v="0"/>
    <n v="0"/>
    <s v="Asisten Ahli"/>
    <d v="2023-01-01T00:00:00"/>
    <x v="2"/>
    <m/>
    <s v="Sosiologi UGM Tahun 2019"/>
    <m/>
    <m/>
    <n v="2022069401"/>
    <d v="2059-07-01T00:00:00"/>
    <s v="Sosiologi (S1)"/>
    <s v="Dosen Sosiologi"/>
    <m/>
    <m/>
    <m/>
  </r>
  <r>
    <n v="63"/>
    <s v="Latifa Zahra, M.A."/>
    <x v="2"/>
    <s v=" "/>
    <s v="Lampung Utara"/>
    <d v="1990-03-27T00:00:00"/>
    <s v="199003272022032001"/>
    <s v="'3471126703900001"/>
    <s v="III/b"/>
    <d v="2022-03-01T00:00:00"/>
    <n v="0"/>
    <n v="0"/>
    <s v="Asisten Ahli"/>
    <d v="2023-01-01T00:00:00"/>
    <x v="2"/>
    <m/>
    <s v="Ilmu Komunikasi Universitas Gadjah Mada Tahun 2017"/>
    <m/>
    <m/>
    <s v="2027039002"/>
    <d v="2055-04-01T00:00:00"/>
    <s v="Ilmu Komunikasi (S1)"/>
    <s v="Dosen Ilmu Komunikasi"/>
    <m/>
    <m/>
    <m/>
  </r>
  <r>
    <n v="64"/>
    <s v="Ratna Mustika Handayani, M.Psi."/>
    <x v="2"/>
    <m/>
    <s v="Pelaihari (Kab. Tanah Laut)"/>
    <d v="1985-01-10T00:00:00"/>
    <s v="198501102019032011 "/>
    <s v="6371015001850012"/>
    <s v="III/b"/>
    <d v="2019-03-01T00:00:00"/>
    <n v="0"/>
    <n v="0"/>
    <s v="Asisten Ahli"/>
    <d v="2022-12-01T00:00:00"/>
    <x v="2"/>
    <s v="UGM Tahun 2007"/>
    <s v="Profesi Psikologi UGM Tahun 2014"/>
    <m/>
    <m/>
    <s v="0510018501"/>
    <d v="2050-02-01T00:00:00"/>
    <s v="Psikologi (S1)"/>
    <s v="Psikologi Perkembangan"/>
    <m/>
    <m/>
    <m/>
  </r>
  <r>
    <n v="65"/>
    <s v="Krysna Yudy Nusantari, M.Psi."/>
    <x v="2"/>
    <m/>
    <s v="Sleman"/>
    <d v="1991-03-28T00:00:00"/>
    <s v="199103282022032002"/>
    <s v="'3404116803910001"/>
    <s v="III/b"/>
    <d v="2022-03-01T00:00:00"/>
    <n v="0"/>
    <n v="0"/>
    <s v="Cados"/>
    <d v="2022-03-01T00:00:00"/>
    <x v="2"/>
    <m/>
    <s v=" Psikologi Profesi UGM Tahun 2016"/>
    <m/>
    <m/>
    <n v="2028039104"/>
    <d v="2056-04-01T00:00:00"/>
    <s v="Psikologi (S1)"/>
    <s v="Asisten Ahli - Dosen Psikologi"/>
    <m/>
    <m/>
    <m/>
  </r>
  <r>
    <s v="H. FAKULTAS EKONOMI DAN BISNIS ISLAM"/>
    <m/>
    <x v="0"/>
    <m/>
    <m/>
    <m/>
    <m/>
    <m/>
    <m/>
    <m/>
    <m/>
    <m/>
    <m/>
    <m/>
    <x v="0"/>
    <m/>
    <m/>
    <m/>
    <m/>
    <m/>
    <m/>
    <m/>
    <m/>
    <m/>
    <m/>
    <m/>
  </r>
  <r>
    <n v="1"/>
    <s v="Prof. Dr. Misnen Ardiansyah, SE, M.Si., AK.CA., ACPA."/>
    <x v="1"/>
    <s v="J. 090949"/>
    <s v="Kuningan"/>
    <d v="1971-09-29T00:00:00"/>
    <s v="197109292000031001"/>
    <s v="3471132909710003"/>
    <s v="IV/b"/>
    <d v="2023-04-01T00:00:00"/>
    <n v="23"/>
    <n v="1"/>
    <s v="Guru Besar"/>
    <d v="2022-12-01T00:00:00"/>
    <x v="1"/>
    <s v="Akuntansi STIE Widya Wiwaha Tahun 1996"/>
    <s v="Ilmu Akuntansi UGM Tahun 2003"/>
    <s v="Ilmu Ekonomi UNAIR Tahun 2009"/>
    <n v="102100504691"/>
    <n v="2029097101"/>
    <d v="2041-10-01T00:00:00"/>
    <s v="Ekonomi Syari'ah (S2)"/>
    <s v="Akuntansi"/>
    <s v="Dekan Fakultas Ekonomi dan Bisnis Islam Masa Jabatan 2024-2028"/>
    <d v="2024-09-18T00:00:00"/>
    <m/>
  </r>
  <r>
    <n v="2"/>
    <s v="Prof. Dr. H. Syafiq Mahmadah Hanafi, S.Ag, M.Ag."/>
    <x v="1"/>
    <s v="H.068458"/>
    <s v="Yogyakarta"/>
    <d v="1967-05-18T00:00:00"/>
    <s v="196705181997031003"/>
    <s v="3471131805670001"/>
    <s v="IV/c"/>
    <d v="2023-10-01T00:00:00"/>
    <n v="26"/>
    <n v="7"/>
    <s v="Guru Besar"/>
    <d v="2022-12-01T00:00:00"/>
    <x v="1"/>
    <s v="Peradilan Agama IAIN Sunan Kalijaga Tahun 1994"/>
    <s v="Hukum Islam IAIN Sunan Kalijaga Tahun  2003"/>
    <s v="Ilmu Ekonomi UII Yogyakarta Tahun 2010"/>
    <s v="092100500259"/>
    <n v="2018056701"/>
    <d v="2037-06-01T00:00:00"/>
    <s v="Ekonomi Syari'ah (S2)"/>
    <s v="Manajemen"/>
    <m/>
    <m/>
    <m/>
  </r>
  <r>
    <n v="3"/>
    <s v="Dr. Slamet Haryono, SE, M.Si."/>
    <x v="1"/>
    <s v="J. 090950"/>
    <s v="Temanggung"/>
    <d v="1976-12-31T00:00:00"/>
    <s v="197612312000031005"/>
    <s v="3323163112760003"/>
    <s v="IV/c"/>
    <d v="2024-06-01T00:00:00"/>
    <n v="24"/>
    <n v="3"/>
    <s v="Lektor Kepala"/>
    <d v="2008-11-01T00:00:00"/>
    <x v="1"/>
    <s v="Akuntansi STIE Widya Wiwaha Tahun  "/>
    <s v="Akuntansi UGM Tahun "/>
    <s v="Akuntansi UNDIP Tahun  2008"/>
    <s v="092100500285"/>
    <n v="2031127603"/>
    <d v="2042-01-01T00:00:00"/>
    <s v="Ekonomi Syari'ah (S2)"/>
    <s v="Ilmu Akuntansi"/>
    <m/>
    <m/>
    <m/>
  </r>
  <r>
    <n v="4"/>
    <s v="Sunarsih, SE, M.Si."/>
    <x v="2"/>
    <s v="J. 050006"/>
    <s v="Bantul"/>
    <d v="1974-09-11T00:00:00"/>
    <s v="197409111999032001"/>
    <s v="3402105109740002"/>
    <s v="IV/b"/>
    <d v="2024-04-01T00:00:00"/>
    <n v="25"/>
    <n v="1"/>
    <s v="Lektor Kepala"/>
    <d v="2010-01-01T00:00:00"/>
    <x v="2"/>
    <s v="Manajemen UMY Tahun 1997"/>
    <s v="Manajemen UGM Tahun 2003"/>
    <m/>
    <n v="102100504760"/>
    <n v="2011097401"/>
    <d v="2039-10-01T00:00:00"/>
    <s v="Manajemen Keuangan Syari'ah (S1)"/>
    <s v="Manajemen"/>
    <m/>
    <m/>
    <m/>
  </r>
  <r>
    <n v="5"/>
    <s v="Dr. Muhammad Ghafur Wibowo, SE., M.Sc."/>
    <x v="1"/>
    <m/>
    <s v="Sleman"/>
    <d v="1980-03-14T00:00:00"/>
    <s v="198003142003121003"/>
    <s v="1306151403800001"/>
    <s v="IV/c"/>
    <d v="2024-04-01T00:00:00"/>
    <n v="20"/>
    <n v="4"/>
    <s v="Lektor Kepala"/>
    <d v="2014-09-01T00:00:00"/>
    <x v="1"/>
    <s v="Ilmu Ekonomi dan Studi Pembangunan UGM Tahun 2003"/>
    <s v="Ilmu Ekonomi UGM Tahun 2008"/>
    <s v="Studi Islam Konsentrasi Ekonomi Islam UIN Sunan Kalijaga Tahun 2020"/>
    <n v="102100504695"/>
    <n v="2014039001"/>
    <d v="2045-04-01T00:00:00"/>
    <s v="Ekonomi Syari'ah (S1)"/>
    <s v="Ekonomi Pembangunan"/>
    <s v="Ketua Program Studi Magister Studi Ekonomi Syari'ah"/>
    <d v="2024-10-23T00:00:00"/>
    <m/>
  </r>
  <r>
    <n v="6"/>
    <s v="Drs. Akhmad Yusuf Khoiruddin, SE, M.Si."/>
    <x v="1"/>
    <s v="E.946971"/>
    <s v="Yogyakarta"/>
    <d v="1966-11-19T00:00:00"/>
    <s v="196611191992031002"/>
    <s v="3404061211660002"/>
    <s v="III/c"/>
    <d v="2000-10-01T00:00:00"/>
    <n v="8"/>
    <n v="7"/>
    <s v="Lektor"/>
    <d v="2001-01-01T00:00:00"/>
    <x v="2"/>
    <s v="Sosiologi UGM Tahun 1991 /_x000a_Manajemen Perusahaan UII Tahun 1993_x000a_"/>
    <s v="Sosiologi UGM Tahun 2003"/>
    <m/>
    <s v="092100500221"/>
    <n v="2019116601"/>
    <d v="2031-12-01T00:00:00"/>
    <s v="Perbankan Syari'ah (S1)"/>
    <s v="Managemen"/>
    <m/>
    <m/>
    <m/>
  </r>
  <r>
    <n v="7"/>
    <s v="Drs. Slamet Khilmi, M.Si"/>
    <x v="1"/>
    <s v="F.106446"/>
    <s v="Brebes"/>
    <d v="1963-10-14T00:00:00"/>
    <s v="196310141992031002"/>
    <s v="3302261410630002"/>
    <s v="III/c"/>
    <d v="2007-04-01T00:00:00"/>
    <n v="15"/>
    <n v="1"/>
    <s v="Lektor"/>
    <d v="2007-04-01T00:00:00"/>
    <x v="2"/>
    <s v="Bahasa Arab IAIN Sunan Kalijaga Tahun 1990"/>
    <s v="Hukum Islam Konsentrasi Muamalah UIN Sunan Kalijaga Tahun 2006"/>
    <m/>
    <n v="102100504750"/>
    <n v="2014106301"/>
    <d v="2028-11-01T00:00:00"/>
    <s v="Ekonomi Syari'ah (S1)"/>
    <s v="Fiqh Mu'amalah"/>
    <m/>
    <m/>
    <m/>
  </r>
  <r>
    <n v="8"/>
    <s v="Mukhamad Yazid Afandi, M.Ag"/>
    <x v="1"/>
    <s v="M 263434"/>
    <s v="Tulungagung"/>
    <d v="1972-09-13T00:00:00"/>
    <s v="197209132003121001"/>
    <s v="3471141309720002"/>
    <s v="III/d"/>
    <d v="2024-06-01T00:00:00"/>
    <n v="20"/>
    <n v="6"/>
    <s v="Lektor Kepala"/>
    <d v="2023-09-01T00:00:00"/>
    <x v="2"/>
    <s v="Muamalat Jinayat IAIN Sunan Kalijaga Tahun 1997"/>
    <s v="Hukum Islam Kons. Muamalat Tahun 2001"/>
    <m/>
    <n v="102100504706"/>
    <n v="2013097201"/>
    <d v="2037-10-01T00:00:00"/>
    <s v="Manajemen Keuangan Syari'ah (S1)"/>
    <s v="Ekonomi Islam"/>
    <s v="Wakil Dekan Bidang Administrasi Umum, Perencanaan dan Keuangan  Fakultas Ekonomi dan Bisnis Islam Masa Jabatan 2024-2028"/>
    <d v="2024-10-14T00:00:00"/>
    <m/>
  </r>
  <r>
    <n v="9"/>
    <s v="Dr. Sunaryati, SE, M.Si."/>
    <x v="2"/>
    <s v="L 046292"/>
    <s v="Yogyakarta"/>
    <d v="1975-11-11T00:00:00"/>
    <s v="197511112002122002"/>
    <s v="3471125111750001"/>
    <s v="III/d"/>
    <d v="2011-04-01T00:00:00"/>
    <n v="7"/>
    <n v="1"/>
    <s v="Lektor"/>
    <d v="2008-09-01T00:00:00"/>
    <x v="1"/>
    <s v="Univ.Wangsa Manggala, Ekonomi Pembangunan Tahun 1998"/>
    <s v="Ilmu Ekonomi dan Studi Pembangunan UGM Tahun 2001"/>
    <s v="Ilmu Ekonomi UGM Tahun 2018"/>
    <n v="102100504761"/>
    <n v="2011117501"/>
    <d v="2040-12-01T00:00:00"/>
    <s v="Ekonomi Syari'ah (S1)"/>
    <s v="Ilmu Ekonomi"/>
    <s v="Wakil Dekan Bidang Akademik Fakultas Ekonomi dan Bisnis Islam Masa Jabatan 2024-2028"/>
    <d v="2024-10-14T00:00:00"/>
    <m/>
  </r>
  <r>
    <n v="10"/>
    <s v="Dr. Joko Setyono, SE, M.Si."/>
    <x v="1"/>
    <s v="L 046291"/>
    <s v="Grobogan"/>
    <d v="1973-07-02T00:00:00"/>
    <s v="197307022002121003"/>
    <s v="3502170207730002"/>
    <s v="IV/a"/>
    <d v="2024-06-01T00:00:00"/>
    <n v="21"/>
    <n v="6"/>
    <s v="Lektor Kepala"/>
    <d v="2023-08-01T00:00:00"/>
    <x v="1"/>
    <s v="Manajemen Perusahaan STIE Kerjasama Tahun 1997"/>
    <s v="Manajemen UGM Tahun 2002"/>
    <s v="Studi Islam  UIN Sunan Kalijaga   Tahun 2021"/>
    <n v="102100504673"/>
    <n v="2002077301"/>
    <d v="2038-08-01T00:00:00"/>
    <s v="Perbankan Syari'ah (S1)"/>
    <s v="Manajemen"/>
    <m/>
    <m/>
    <m/>
  </r>
  <r>
    <n v="11"/>
    <s v="Dr. Abdul Haris, M.Ag."/>
    <x v="1"/>
    <s v="I. 104922"/>
    <s v="Kudus"/>
    <d v="1971-04-24T00:00:00"/>
    <s v="197104231999031001"/>
    <s v="3404102504710001"/>
    <s v="III/d"/>
    <d v="2009-10-01T00:00:00"/>
    <n v="10"/>
    <n v="7"/>
    <s v="Lektor"/>
    <d v="2009-10-01T00:00:00"/>
    <x v="1"/>
    <s v="Tafsir Hadis IAIN Sunan Kalijaga Tahun 1996"/>
    <s v="Agama dan Filsafat IAIN Sunan Kalijaga Tahun 2001"/>
    <s v="Studi Islam UIN Sunan Kalijaga Tahun 2012"/>
    <s v="102 1112 5551"/>
    <s v="2023087203"/>
    <d v="2036-05-01T00:00:00"/>
    <s v="Ekonomi Syari'ah (S2)"/>
    <s v="Tafsir Hadis "/>
    <m/>
    <m/>
    <m/>
  </r>
  <r>
    <n v="12"/>
    <s v="Ruspita Rani Pertiwi, S.Psi, M.M"/>
    <x v="2"/>
    <s v="M 264525"/>
    <s v="Yogyakarta"/>
    <d v="1976-06-16T00:00:00"/>
    <s v="197606162005012002"/>
    <s v="3404105606760007"/>
    <s v="III/d"/>
    <d v="2018-04-01T00:00:00"/>
    <n v="13"/>
    <n v="3"/>
    <s v="Lektor"/>
    <d v="2010-04-01T00:00:00"/>
    <x v="2"/>
    <s v="Psikologi UGM Tahun 1999"/>
    <s v="Magister Manajemen UGM Tahun 2004"/>
    <m/>
    <n v="102100504734"/>
    <n v="2016067602"/>
    <d v="2041-07-01T00:00:00"/>
    <s v="Perbankan Syari'ah (S1)"/>
    <s v="Manajemen SDM"/>
    <s v="Koordinator Pusat Kurikulum dan Pembelajaran pada LPM Masa Jabatan 2024 - 2028"/>
    <d v="2024-10-14T00:00:00"/>
    <m/>
  </r>
  <r>
    <n v="13"/>
    <s v="Dr. Ibi Satibi, S.H.I., M.Si."/>
    <x v="1"/>
    <m/>
    <s v="Majalengka"/>
    <d v="1977-09-10T00:00:00"/>
    <s v="197709102009011011"/>
    <s v="3205261009770016"/>
    <s v="III/d"/>
    <d v="2024-04-01T00:00:00"/>
    <n v="15"/>
    <n v="3"/>
    <s v="Lektor Kepala"/>
    <d v="2023-08-01T00:00:00"/>
    <x v="1"/>
    <s v="Perbandingan Mazhab dan Hukum IAIN Sunan Kalijaga Tahun 2002"/>
    <s v="Ilmu Politik UGM Tahun 2005"/>
    <s v="Studi Islam Konsentrasi Sejarah Kebudayaan Islam UIN Sunan Kalijaga Yogyakarta Tahun 2018"/>
    <n v="112102714102135"/>
    <s v="2010097701"/>
    <d v="2042-10-01T00:00:00"/>
    <s v="Akuntansi Syari'ah (S1)"/>
    <s v="Politik Islam"/>
    <s v="Wakil Dekan  Bid. Kemahasiswaan dan Kerjasama Fakultas  Ekonomi dan Bisnis Islam Masa Jabatan 2024-2028"/>
    <d v="2024-10-14T00:00:00"/>
    <m/>
  </r>
  <r>
    <n v="14"/>
    <s v="Jauhar Faradis, S.H.I., M.A."/>
    <x v="1"/>
    <s v="P. 684471"/>
    <s v="Pekalongan"/>
    <d v="1984-05-23T00:00:00"/>
    <s v="198405232011011008"/>
    <s v="3326172305840003"/>
    <s v="III/d"/>
    <d v="2024-04-01T00:00:00"/>
    <n v="13"/>
    <n v="3"/>
    <s v="Lektor"/>
    <d v="2017-05-01T00:00:00"/>
    <x v="2"/>
    <s v="al-Ahwal al-Syakhsiyyah UIN Sunan Kalijaga Tahun  2008"/>
    <s v="Ilmu Agama dan Lintas Budaya UGM Tahun 2010"/>
    <s v=" "/>
    <s v="152100513472"/>
    <s v="2023058401"/>
    <d v="2049-06-01T00:00:00"/>
    <s v="Perbankan Syari'ah (S1)"/>
    <s v="Ilmu Ekonomi Islam"/>
    <m/>
    <m/>
    <m/>
  </r>
  <r>
    <n v="15"/>
    <s v="Dr. Darmawan, SPd.,MAB"/>
    <x v="1"/>
    <m/>
    <s v="Tasikmalaya "/>
    <d v="1976-08-27T00:00:00"/>
    <s v="197608272005011006"/>
    <s v="3204122708760013"/>
    <s v="III/d"/>
    <d v="2022-10-01T00:00:00"/>
    <n v="12"/>
    <n v="9"/>
    <s v="Lektor"/>
    <d v="2018-03-01T00:00:00"/>
    <x v="1"/>
    <s v="Matematikan UNINUS Bandung Tahun 2007"/>
    <s v="Manajemen Keuangan Negara STIA LAN Jakarta Tahun 2010_x000a_  "/>
    <s v="Ilmu Manajemen Kons. Manajemen Keuangan UPI Bandung  Tahun 2014"/>
    <s v="182100516026"/>
    <s v="2027087605"/>
    <d v="2041-09-01T00:00:00"/>
    <s v="Manajemen Keuangan Syari'ah (S1)"/>
    <s v="Statistik Induktif / Statistik Diskriptif"/>
    <s v="Ketua Program Studi Manajemen Keuangan Syariah"/>
    <d v="2024-10-23T00:00:00"/>
    <m/>
  </r>
  <r>
    <n v="16"/>
    <s v="Abdul Qoyum, S.E.I., M.Sc.Fin."/>
    <x v="1"/>
    <m/>
    <s v="Rembang "/>
    <d v="1985-06-30T00:00:00"/>
    <s v="198506302015031007"/>
    <s v="3317063006850002"/>
    <s v="IV/a"/>
    <d v="2024-04-01T00:00:00"/>
    <n v="9"/>
    <n v="1"/>
    <s v="Lektor Kepala"/>
    <d v="2023-03-01T00:00:00"/>
    <x v="2"/>
    <s v=" Keuangan Islam UIN Sunan Kalijaga Tahun 2009"/>
    <s v="Finance, International Islamic University Malaysia, 2013"/>
    <m/>
    <s v="172100514771"/>
    <s v="2030068501"/>
    <d v="2050-07-01T00:00:00"/>
    <s v="Manajemen Keuangan Syari'ah (S1)"/>
    <s v="Ekonomi Islam"/>
    <s v="Ketua Lembaga Penelitian dan Pengabdian kepada Masyarakat  Masa Jabatan 2024-2028"/>
    <d v="2024-09-18T00:00:00"/>
    <m/>
  </r>
  <r>
    <n v="17"/>
    <s v="M. Arsyadi Ridha, SE., M.Sc., Ak.CA, ACPA."/>
    <x v="1"/>
    <m/>
    <s v="Aceh Tenggara "/>
    <d v="1983-04-19T00:00:00"/>
    <s v="198304192015031002"/>
    <s v="3404071904830024"/>
    <s v="III/c"/>
    <d v="2020-04-01T00:00:00"/>
    <n v="5"/>
    <n v="1"/>
    <s v="Lektor"/>
    <d v="2019-09-01T00:00:00"/>
    <x v="2"/>
    <s v="Akuntansi UGM Tahun 2006"/>
    <s v="Akuntansi UGM Tahun 2012"/>
    <m/>
    <s v="182100516033"/>
    <s v="2019048301"/>
    <d v="2048-05-01T00:00:00"/>
    <s v="Akuntansi Syari'ah (S1)"/>
    <s v="Akuntansi"/>
    <m/>
    <m/>
    <s v=" "/>
  </r>
  <r>
    <n v="18"/>
    <s v="Dian Nuriyah Solissa, SHI, M.Si."/>
    <x v="2"/>
    <m/>
    <s v="Sleman"/>
    <d v="1984-02-16T00:00:00"/>
    <s v="198402162009122004"/>
    <s v="2404105602840001"/>
    <s v="III/c"/>
    <d v="2020-04-01T00:00:00"/>
    <n v="10"/>
    <n v="4"/>
    <s v="Lektor"/>
    <d v="2020-01-01T00:00:00"/>
    <x v="2"/>
    <s v="Muamalat UIN Sunan Kalijaga Tahun 2006 "/>
    <s v="Kajian Wilayah Timur Tengah dan Islam UI Tahun 2009 "/>
    <s v=" "/>
    <n v="142100512844"/>
    <s v="2016028401"/>
    <d v="2049-03-01T00:00:00"/>
    <s v="Perbankan Syari'ah (S1)"/>
    <s v="Manajemen Perbankan Syari'ah"/>
    <m/>
    <m/>
    <s v="TUGAS BELAJAR"/>
  </r>
  <r>
    <n v="19"/>
    <s v="Dr. Ibnu Muhdir, M.Ag."/>
    <x v="1"/>
    <s v="F. 108905"/>
    <s v="Purworejo"/>
    <d v="1964-11-12T00:00:00"/>
    <s v="196411121992031006"/>
    <s v="3402171211640001"/>
    <s v="III/c"/>
    <d v="2023-04-01T00:00:00"/>
    <n v="31"/>
    <n v="1"/>
    <s v="Lektor"/>
    <d v="2022-08-01T00:00:00"/>
    <x v="1"/>
    <s v="Bahasa Arab IAIN Sunan Kalijaga Tahun 1990"/>
    <s v="Aqidah dan Filsafat IAIN Sunan Kalijaga 1997"/>
    <s v="Studi Islam UIN Sunan Kalijaga 2013"/>
    <n v="102100504664"/>
    <n v="2012116402"/>
    <d v="2029-12-01T00:00:00"/>
    <s v="Ekonomi Syari'ah (S2)"/>
    <s v="Hadis"/>
    <m/>
    <m/>
    <m/>
  </r>
  <r>
    <n v="20"/>
    <s v="Yayu Putri Senjani, SE., M.Sc., ACPA.,CATr. "/>
    <x v="2"/>
    <m/>
    <s v="Jakarta "/>
    <d v="1987-10-07T00:00:00"/>
    <s v="198710072015032002"/>
    <s v="3175064710870009"/>
    <s v="III/d"/>
    <d v="2024-04-01T00:00:00"/>
    <n v="9"/>
    <n v="1"/>
    <s v="Lektor"/>
    <d v="2021-01-01T00:00:00"/>
    <x v="2"/>
    <s v="Akuntansi UIN Syarif Hidayatullah Tahun 2009"/>
    <s v="Akuntansi UGM Tahun 2012"/>
    <m/>
    <s v="182100516031"/>
    <s v="2007108701"/>
    <d v="2052-11-01T00:00:00"/>
    <s v="Akuntansi Syari'ah (S1)"/>
    <s v="Akuntansi"/>
    <s v="Koordinator Divisi Unit Remunerasi"/>
    <d v="2021-02-03T00:00:00"/>
    <s v=" "/>
  </r>
  <r>
    <n v="21"/>
    <s v="Rosyid Nur Anggara Putra, SPd., M.Si."/>
    <x v="1"/>
    <m/>
    <s v="Wonogiri "/>
    <d v="1988-05-24T00:00:00"/>
    <s v="198805242015031010"/>
    <s v="3312072405880001"/>
    <s v="III/d"/>
    <d v="2024-04-01T00:00:00"/>
    <n v="9"/>
    <n v="1"/>
    <s v="Lektor"/>
    <d v="2020-10-01T00:00:00"/>
    <x v="2"/>
    <s v="Pendidikan Ekonomi UNS Tahun 2010"/>
    <s v="Akuntansi UNS Tahun 2014"/>
    <m/>
    <s v="182100516036"/>
    <s v="2024058801"/>
    <d v="2053-06-01T00:00:00"/>
    <s v="Perbankan Syari'ah (S1)"/>
    <s v="Akuntansi"/>
    <m/>
    <m/>
    <m/>
  </r>
  <r>
    <n v="22"/>
    <s v="Farid Hidayat, S.H., M.S.I."/>
    <x v="1"/>
    <m/>
    <s v="Temanggung "/>
    <d v="1981-07-26T00:00:00"/>
    <s v="198107262015031002"/>
    <s v="3323032607810001"/>
    <s v="III/d"/>
    <d v="2024-04-01T00:00:00"/>
    <n v="9"/>
    <n v="1"/>
    <s v="Lektor"/>
    <d v="2021-01-01T00:00:00"/>
    <x v="2"/>
    <s v="Ilmu Hukum UMY Tahun 2003"/>
    <s v="Hukum Islam UIN Sunan Kalijaga Tahun 2008"/>
    <m/>
    <s v="182100516038"/>
    <s v="2126078101"/>
    <d v="2046-08-01T00:00:00"/>
    <s v="Perbankan Syari'ah (S1)"/>
    <s v="Manajemen"/>
    <m/>
    <m/>
    <m/>
  </r>
  <r>
    <n v="23"/>
    <s v="Muhfiatun, S.E.I., M.E.I."/>
    <x v="2"/>
    <m/>
    <s v="Cilacap "/>
    <d v="1989-09-19T00:00:00"/>
    <s v="198909192015032009"/>
    <s v="3301055909890002"/>
    <s v="III/c"/>
    <d v="2023-04-01T00:00:00"/>
    <n v="8"/>
    <n v="1"/>
    <s v="Lektor"/>
    <d v="2022-02-01T00:00:00"/>
    <x v="2"/>
    <s v="Keuangan Islam UIN Sunan Kalijaga Tahun 2011"/>
    <s v="Hukum Islam UIN Sunan Kalijaga Tahun 2013"/>
    <m/>
    <s v="182100516032"/>
    <s v="2019098901"/>
    <d v="2054-10-01T00:00:00"/>
    <s v="Manajemen Keuangan Syari'ah (S1)"/>
    <s v="Ilmu Ekonomi"/>
    <s v="Ketua Laboratorium Bahasa"/>
    <d v="2021-03-01T00:00:00"/>
    <m/>
  </r>
  <r>
    <n v="24"/>
    <s v="Lailatis Syarifah,  M.A."/>
    <x v="2"/>
    <m/>
    <s v="Hulu Sungai Selatan "/>
    <d v="1982-07-09T00:00:00"/>
    <s v="198207092015032002"/>
    <s v="6371014907820004"/>
    <s v="III/c"/>
    <d v="2022-10-01T00:00:00"/>
    <n v="7"/>
    <n v="7"/>
    <s v="Lektor"/>
    <d v="2022-06-01T00:00:00"/>
    <x v="2"/>
    <s v="Syari'ah Islamiyah Universitas Al-Azhar Tahun 2006"/>
    <s v="Ilmu Agama dan Lintas Budaya (Kajian Timur Tengah)  Tahun 2010"/>
    <m/>
    <s v="182100516035"/>
    <s v="2009078201"/>
    <d v="2047-08-01T00:00:00"/>
    <s v="Ekonomi Syari'ah (S1)"/>
    <s v="Ekonomi Islam"/>
    <m/>
    <m/>
    <s v="TUGAS BELAJAR"/>
  </r>
  <r>
    <n v="25"/>
    <s v="Izra Berakon, M.Sc. "/>
    <x v="1"/>
    <m/>
    <s v="Binjai"/>
    <d v="1990-09-27T00:00:00"/>
    <s v="199009272018011001"/>
    <s v="1275042709900002"/>
    <s v="III/c"/>
    <d v="2023-04-01T00:00:00"/>
    <n v="6"/>
    <n v="8"/>
    <s v="Lektor"/>
    <d v="2022-09-01T00:00:00"/>
    <x v="2"/>
    <s v=" "/>
    <s v="Manajemen Universitas Gadjah Mada Tahun 2016"/>
    <m/>
    <s v="222100517763"/>
    <s v="2027099001"/>
    <d v="2055-10-01T00:00:00"/>
    <s v="Manajemen Keuangan Syari'ah (S1)"/>
    <s v="Manajemen"/>
    <s v="Koordinator Divisi Unit Remunerasi"/>
    <d v="2021-02-03T00:00:00"/>
    <m/>
  </r>
  <r>
    <n v="26"/>
    <s v="Dwi Marlina Wijayanti, M.Sc."/>
    <x v="2"/>
    <m/>
    <s v="Yogyakarta"/>
    <s v="16/03/1992"/>
    <s v="199203162019032018 "/>
    <s v="1603015603920001"/>
    <s v="III/c"/>
    <d v="2023-10-01T00:00:00"/>
    <n v="7"/>
    <n v="2"/>
    <s v="Lektor"/>
    <d v="2022-12-01T00:00:00"/>
    <x v="2"/>
    <s v="UNY Tahun 2014"/>
    <s v="Akuntansi UGM Tahun 2016"/>
    <m/>
    <m/>
    <s v="2016039201"/>
    <d v="2057-04-01T00:00:00"/>
    <s v="Akuntansi Syariah (S1)"/>
    <s v="Akuntansi"/>
    <m/>
    <m/>
    <s v="TUGAS BELAJAR"/>
  </r>
  <r>
    <n v="27"/>
    <s v="Dr. Taosige Wau"/>
    <x v="1"/>
    <m/>
    <s v="Nias Selatan"/>
    <d v="1984-09-19T00:00:00"/>
    <s v="198409192019031008 "/>
    <s v="1214061909840007"/>
    <s v="III/c"/>
    <d v="2019-03-01T00:00:00"/>
    <n v="0"/>
    <n v="0"/>
    <s v="Lektor Kepala"/>
    <d v="2023-08-01T00:00:00"/>
    <x v="1"/>
    <s v="Univ. Bung Hatta Padang Tahun 2007"/>
    <s v="Univ. Andalas Padang Tahun 2011"/>
    <s v="Ilmu Ekonomi Universitas Andalas Padang Tahun 2016"/>
    <m/>
    <s v="0119098401"/>
    <d v="2049-10-01T00:00:00"/>
    <s v="Ekonomi Syari'ah (S1)"/>
    <s v="Ilmu Ekonomi"/>
    <m/>
    <m/>
    <m/>
  </r>
  <r>
    <n v="28"/>
    <s v="Muh. Rudi Nugroho, S.E., M.Sc."/>
    <x v="1"/>
    <m/>
    <s v="Klaten "/>
    <d v="1982-02-19T00:00:00"/>
    <s v="198202192015031002"/>
    <s v="3310071902820001"/>
    <s v="III/b"/>
    <d v="2015-03-01T00:00:00"/>
    <n v="0"/>
    <n v="0"/>
    <s v="Lektor"/>
    <d v="2023-01-01T00:00:00"/>
    <x v="2"/>
    <s v="Ekonomi Pembangunan UNS Tahun 2004"/>
    <s v="Ilmu Ekonomi UGM Tahun 2010"/>
    <m/>
    <s v="172100514770"/>
    <s v="0619028201"/>
    <d v="2047-03-01T00:00:00"/>
    <s v="Ekonomi Syari'ah (S1)"/>
    <s v="Ilmu Ekonomi"/>
    <m/>
    <m/>
    <s v=" "/>
  </r>
  <r>
    <n v="29"/>
    <s v="Sofyan Hadinata, , SE., M.Sc., Ak., CA"/>
    <x v="1"/>
    <m/>
    <s v="Karanganyar "/>
    <d v="1985-11-21T00:00:00"/>
    <s v="198511212015031005"/>
    <s v="3313012111850003"/>
    <s v="III/b"/>
    <d v="2015-03-01T00:00:00"/>
    <n v="0"/>
    <n v="0"/>
    <s v="Lektor"/>
    <d v="2023-01-01T00:00:00"/>
    <x v="2"/>
    <s v="Akuntansi UGM Tahun 2012"/>
    <s v="Ekonomi UNS Tahun 2012"/>
    <m/>
    <s v="172100514773"/>
    <s v="0621118501"/>
    <d v="2050-12-01T00:00:00"/>
    <s v="Akuntansi Syari'ah (S1)"/>
    <s v="Akuntansi"/>
    <s v="Ketua Program Studi Akuntansi Syari'ah"/>
    <d v="2024-10-23T00:00:00"/>
    <m/>
  </r>
  <r>
    <n v="30"/>
    <s v="Dr. Siti Nur Azizah, S.E.I., M.E.I."/>
    <x v="2"/>
    <m/>
    <s v="Cilacap "/>
    <d v="1991-09-19T00:00:00"/>
    <s v="199109192015032008"/>
    <s v="3301205909910001"/>
    <s v="III/c"/>
    <d v="2024-04-01T00:00:00"/>
    <n v="5"/>
    <n v="1"/>
    <s v="Lektor"/>
    <d v="2023-01-01T00:00:00"/>
    <x v="1"/>
    <s v="Ekonomi Islam STAIN Purwokerto Tahun 2012"/>
    <s v="Keuangan dan Perbankan Syariah UIN Sunan Kalijaga Tahun 2014"/>
    <s v="Doktor Perekonomian Islam dan Industri Halal, UGM Tahun 2022"/>
    <n v="192100517426"/>
    <n v="2019099101"/>
    <d v="2056-09-01T00:00:00"/>
    <s v="Perbankan Syari'ah (S1)"/>
    <s v=" Ekonomi Syari'ah"/>
    <s v="Sekretaris Program Magister Program Studi Ekonomi Syari'ah  "/>
    <d v="2024-10-23T00:00:00"/>
    <s v=" "/>
  </r>
  <r>
    <n v="31"/>
    <s v="Dr. Prasojo, S.E., M.Si."/>
    <x v="1"/>
    <m/>
    <s v="Pati "/>
    <d v="1987-03-22T00:00:00"/>
    <s v="198703222015031004"/>
    <s v="3318172203870002"/>
    <s v="III/c"/>
    <d v="2024-04-01T00:00:00"/>
    <n v="9"/>
    <n v="1"/>
    <s v="Lektor"/>
    <d v="2023-01-01T00:00:00"/>
    <x v="1"/>
    <s v="Akuntansi Universitas Teknologi Yogyakarta Tahun 2009"/>
    <s v="Akuntansi Tahun 2012"/>
    <s v="Ilmu Akuntasi Universitas Padjadjaran Tahun 2022"/>
    <s v="182100516027"/>
    <n v="2028038701"/>
    <d v="2052-04-01T00:00:00"/>
    <s v="Akuntansi Syari'ah (S1)"/>
    <s v="Akuntansi"/>
    <m/>
    <m/>
    <s v=" "/>
  </r>
  <r>
    <n v="32"/>
    <s v="Dr. Miftakhul Choiri, S.Sos.I., M.S.I."/>
    <x v="1"/>
    <m/>
    <s v="Blitar "/>
    <d v="1982-10-09T00:00:00"/>
    <s v="198210092015031003"/>
    <s v="3505110910820006"/>
    <s v="III/c"/>
    <d v="2024-10-01T00:00:00"/>
    <n v="9"/>
    <n v="7"/>
    <s v="Lektor"/>
    <d v="2023-01-01T00:00:00"/>
    <x v="1"/>
    <s v="Manajemen Dakwah UIN Sunan Kalijaga Tahun 2006"/>
    <s v="Ekonomi Islam UII Tahun 2008"/>
    <s v="Ekonomi Konsentrasi Ilmu Ekonomi UNDIP Tahun 2022"/>
    <s v="182100516048"/>
    <n v="2009108202"/>
    <d v="2047-11-01T00:00:00"/>
    <s v="Ekonomi Syari'ah (S1)"/>
    <s v="Ekonomi Industri/Ekonomi Indonesia"/>
    <s v="Ketua Program Studi Ekonomi Syariah"/>
    <d v="2024-10-23T00:00:00"/>
    <m/>
  </r>
  <r>
    <n v="33"/>
    <s v="Agus Faisal, S.E.I., M.E.I."/>
    <x v="1"/>
    <m/>
    <s v="Magelang "/>
    <d v="1990-08-17T00:00:00"/>
    <s v="199008172015031008"/>
    <s v="3308191708900007"/>
    <s v="III/b"/>
    <d v="2015-03-01T00:00:00"/>
    <n v="0"/>
    <n v="0"/>
    <s v="Lektor"/>
    <d v="2023-01-01T00:00:00"/>
    <x v="2"/>
    <s v="Keuangan Islam UIN Sunan Kalijaga Tahun 2012"/>
    <s v="Keuangan dan Perbankan Syariah UIN Sunan Kalijaga Tahun 2014"/>
    <m/>
    <n v="192100517422"/>
    <n v="2017089001"/>
    <d v="2055-09-01T00:00:00"/>
    <s v="Manajemen Keuangan Syari'ah (S1)"/>
    <s v="Ekonomi Islam"/>
    <m/>
    <m/>
    <s v=" "/>
  </r>
  <r>
    <n v="34"/>
    <s v="Riswanti Budi Sekaringsih, M.Sc."/>
    <x v="2"/>
    <m/>
    <s v="Yogyakarta "/>
    <d v="1985-10-09T00:00:00"/>
    <s v="198510092018012001"/>
    <s v="3471084910850001"/>
    <s v="III/c"/>
    <d v="2024-04-01T00:00:00"/>
    <n v="5"/>
    <n v="1"/>
    <s v="Lektor"/>
    <d v="2023-01-01T00:00:00"/>
    <x v="2"/>
    <s v=" "/>
    <s v="Ilmu Ekonomi Universitas Gadjah Mada Tahun 2013"/>
    <m/>
    <m/>
    <s v="2009108502"/>
    <d v="2050-11-01T00:00:00"/>
    <s v="Ekonomi Syari'ah (S1)"/>
    <s v="Ilmu Ekonomi  "/>
    <m/>
    <m/>
    <m/>
  </r>
  <r>
    <n v="35"/>
    <s v="Dr. Jeihan Ali Azhar, M.E.I."/>
    <x v="1"/>
    <m/>
    <s v="Kediri"/>
    <d v="1987-12-07T00:00:00"/>
    <s v="198712072019031009 "/>
    <s v="3506100712870002"/>
    <s v="III/c"/>
    <d v="2024-04-01T00:00:00"/>
    <n v="5"/>
    <n v="1"/>
    <s v="Lektor"/>
    <d v="2023-04-01T00:00:00"/>
    <x v="1"/>
    <s v="UIN Sunan Kalijaga Tahun 2012"/>
    <s v="Hukum Islam Kons. Keuangan dan Perbankan Syari'ah UIN Sunan Kalijaga Tahun 2014"/>
    <s v="Studi Islam Konsentrasi Ekonomi Islam UIN Sunan Kalijaga Tahun 2022"/>
    <s v="232100519188"/>
    <s v="0507128701"/>
    <d v="2053-01-01T00:00:00"/>
    <s v="Perbankan Syariah (S1)"/>
    <s v="Manajemen Keuangan Islam"/>
    <s v="Ketua Program Studi Perbankan Syariah"/>
    <d v="2024-10-23T00:00:00"/>
    <m/>
  </r>
  <r>
    <n v="36"/>
    <s v="Mahfud Asyari, M.M."/>
    <x v="1"/>
    <m/>
    <s v="Pati"/>
    <d v="1988-01-15T00:00:00"/>
    <s v="198801152019031004 "/>
    <s v="3318151501880003"/>
    <s v="III/c"/>
    <d v="2024-04-01T00:00:00"/>
    <n v="5"/>
    <n v="1"/>
    <s v="Lektor"/>
    <d v="2023-04-01T00:00:00"/>
    <x v="2"/>
    <s v="UII Tahun 2011"/>
    <s v="Magister Manajemen UII Tahun 2017"/>
    <m/>
    <m/>
    <s v="2015018801"/>
    <d v="2053-02-01T00:00:00"/>
    <s v="Perbankan Syariah (S1)"/>
    <s v="Manajemen Sumber Daya Manusia"/>
    <s v="Anggota Divisi SPI"/>
    <d v="2021-01-07T00:00:00"/>
    <m/>
  </r>
  <r>
    <n v="37"/>
    <s v="Furqonul Haq, M.E.I."/>
    <x v="1"/>
    <m/>
    <s v="Cianjur"/>
    <d v="1990-05-25T00:00:00"/>
    <s v="199005252019031009 "/>
    <s v="3203012505900018"/>
    <s v="III/c"/>
    <d v="2023-10-01T00:00:00"/>
    <n v="6"/>
    <n v="6"/>
    <s v="Lektor"/>
    <d v="2023-01-01T00:00:00"/>
    <x v="2"/>
    <s v="Universitas Djuanda Bogor Tahun 2012"/>
    <s v="Ekonomi Islam Univ. Ibn Khaldun Bogor Tahun 2015"/>
    <m/>
    <m/>
    <s v="0425059001"/>
    <d v="2055-06-01T00:00:00"/>
    <s v="Manajemen Keuangan Sya'riah (S1)"/>
    <s v="Ekonomi Islam"/>
    <s v="Sekretaris Program Studi Akuntansi Syari'ah"/>
    <d v="2024-10-23T00:00:00"/>
    <m/>
  </r>
  <r>
    <n v="38"/>
    <s v="Rizaldi Yusfiarto, M.M."/>
    <x v="1"/>
    <m/>
    <s v="Semarang"/>
    <d v="1990-11-22T00:00:00"/>
    <s v="199011222019031012 "/>
    <s v="3375012211900004"/>
    <s v="III/c"/>
    <d v="2024-04-01T00:00:00"/>
    <n v="5"/>
    <n v="1"/>
    <s v="Lektor"/>
    <d v="2023-01-01T00:00:00"/>
    <x v="2"/>
    <s v="IKIP PGRI Semarang Tahun 2013"/>
    <s v="Magister Manajemen Kons. Manajemen Stratejik UNDIP Tahun 2017"/>
    <m/>
    <m/>
    <s v="2022119003"/>
    <d v="2055-12-01T00:00:00"/>
    <s v="Manajemen Keuangan Sya'riah (S1)"/>
    <s v="Manajemen"/>
    <m/>
    <m/>
    <m/>
  </r>
  <r>
    <n v="39"/>
    <s v="Ratna Sofiana, M.S.I."/>
    <x v="2"/>
    <m/>
    <s v="Bojonegoro"/>
    <d v="1991-07-16T00:00:00"/>
    <s v="199107162019032018 "/>
    <s v="3522105607910001"/>
    <s v="III/c"/>
    <d v="2024-04-01T00:00:00"/>
    <n v="5"/>
    <n v="1"/>
    <s v="Lektor"/>
    <d v="2023-09-01T00:00:00"/>
    <x v="2"/>
    <s v="UIN Sunan Kalijaga Tahun 2013"/>
    <s v="Hukum Islam Kons. Hukum Bisnis Syariah UIN Sunan Kalijaga Tahun 2015"/>
    <m/>
    <m/>
    <n v="2116079102"/>
    <d v="2056-08-01T00:00:00"/>
    <s v="Manajemen Keuangan Sya'riah (S1)"/>
    <s v="Dosen Ilmu Agama Islam"/>
    <s v="Sekretaris Program Studi Manajemen Keuangan Syariah"/>
    <d v="2024-10-23T00:00:00"/>
    <m/>
  </r>
  <r>
    <n v="40"/>
    <s v="Galuh Tri Pambekti, M.E.K."/>
    <x v="2"/>
    <m/>
    <s v="Tulungagung"/>
    <d v="1992-06-06T00:00:00"/>
    <s v="199206062019032020 "/>
    <s v="3504164606920004"/>
    <s v="III/b"/>
    <d v="2019-03-01T00:00:00"/>
    <n v="0"/>
    <n v="0"/>
    <s v="Lektor"/>
    <d v="2023-01-01T00:00:00"/>
    <x v="2"/>
    <s v="UIN Sunan Kalijaga Tahun 2014"/>
    <s v="Ilmu Ekonomi UII Tahun 2016"/>
    <m/>
    <m/>
    <s v="2006069201"/>
    <d v="2057-07-01T00:00:00"/>
    <s v="Akuntansi Syariah (S1)"/>
    <s v="Ekonomi Islam"/>
    <m/>
    <m/>
    <s v=" "/>
  </r>
  <r>
    <n v="41"/>
    <s v="Rifaatul Indana, M.E."/>
    <x v="2"/>
    <m/>
    <s v="Bojonegoro"/>
    <d v="1987-04-12T00:00:00"/>
    <s v="198704122019032006 "/>
    <s v="3522045204870004"/>
    <s v="III/c"/>
    <d v="2024-04-01T00:00:00"/>
    <n v="14"/>
    <n v="11"/>
    <s v="Lektor"/>
    <d v="2023-06-01T00:00:00"/>
    <x v="2"/>
    <s v="UIN Sunan Kalijaga Tahun 2010"/>
    <s v="Hukum Islam Kons. Keuangan dan Perbankan Syari'ah UIN Sunan Kalijaga Tahun 2018"/>
    <m/>
    <m/>
    <s v="2012048703"/>
    <d v="2052-05-01T00:00:00"/>
    <s v="Perbankan Syariah (S1)"/>
    <s v="Manajemen Pemasaran Perbankan "/>
    <s v="Anggota Admisi"/>
    <d v="2024-12-06T00:00:00"/>
    <m/>
  </r>
  <r>
    <n v="42"/>
    <s v="Defi Insani Saibil, M.E.K."/>
    <x v="1"/>
    <m/>
    <s v="Bengkulu"/>
    <d v="1988-12-04T00:00:00"/>
    <s v="198812042019031014 "/>
    <s v="1771020412880011"/>
    <s v="III/c"/>
    <d v="2024-04-01T00:00:00"/>
    <n v="5"/>
    <n v="1"/>
    <s v="Lektor"/>
    <d v="2023-04-01T00:00:00"/>
    <x v="2"/>
    <s v="UMY Tahun 2011"/>
    <s v="Ilmu Ekonomi UII Tahun 2015"/>
    <m/>
    <m/>
    <s v="2004128802"/>
    <d v="2054-01-01T00:00:00"/>
    <s v="Perbankan Syariah (S1)"/>
    <s v=" Sistem Informasi Perbankan"/>
    <s v="Sekretaris Program Studi Perbankan Syariah"/>
    <d v="2024-10-23T00:00:00"/>
    <m/>
  </r>
  <r>
    <n v="43"/>
    <s v="Hilmy Baroroh, M.E.K."/>
    <x v="2"/>
    <m/>
    <s v="Pacitan"/>
    <d v="1991-11-03T00:00:00"/>
    <s v="199111032019032019 "/>
    <s v="3501044311910002"/>
    <s v="III/c"/>
    <d v="2024-04-01T00:00:00"/>
    <n v="5"/>
    <n v="1"/>
    <s v="Lektor"/>
    <d v="2023-01-01T00:00:00"/>
    <x v="2"/>
    <s v="UIN Sunan Kalijaga Tahun 2014"/>
    <s v="Ilmu Ekonomi UII Tahun 2017"/>
    <m/>
    <m/>
    <s v="2003119102"/>
    <d v="2056-12-01T00:00:00"/>
    <s v="Manajemen Keuangan Sya'riah (S1)"/>
    <s v="Ekonomi Islam"/>
    <m/>
    <m/>
    <m/>
  </r>
  <r>
    <n v="44"/>
    <s v="Achmad Nurdany, S.E.I., S.E., M.E.K."/>
    <x v="1"/>
    <m/>
    <s v="Magelang"/>
    <d v="1990-05-25T00:00:00"/>
    <s v="‌199005252020121007"/>
    <s v="3308202505900003"/>
    <s v="III/c"/>
    <d v="2024-10-01T00:00:00"/>
    <n v="3"/>
    <n v="10"/>
    <s v="Lektor"/>
    <d v="2023-01-01T00:00:00"/>
    <x v="2"/>
    <m/>
    <s v="Ilmu Ekonomi UII Tahun 2016"/>
    <m/>
    <m/>
    <n v="2025059002"/>
    <d v="2055-06-01T00:00:00"/>
    <s v="Ekonomi Syari'ah (S1)"/>
    <s v="Ilmu Ekonomi"/>
    <m/>
    <m/>
    <m/>
  </r>
  <r>
    <n v="45"/>
    <s v="Shulhah Nurullaily, S.H.I., M.E.I."/>
    <x v="2"/>
    <m/>
    <s v="Rembang "/>
    <d v="1983-06-08T00:00:00"/>
    <s v="198306082015032003"/>
    <s v="3402134806830003"/>
    <s v="III/b"/>
    <d v="2015-03-01T00:00:00"/>
    <n v="0"/>
    <n v="0"/>
    <s v="Asisten Ahli"/>
    <d v="2017-10-01T00:00:00"/>
    <x v="2"/>
    <s v="Jinayah Siyasah UIN Sunan Kalijaga Tahun 2006"/>
    <s v="Hukum Islam UIN Sunan Kalijaga Tahun 2012"/>
    <m/>
    <s v="182100516029"/>
    <s v="2008068301"/>
    <d v="2048-07-01T00:00:00"/>
    <s v="Ekonomi Syari'ah (S1)"/>
    <s v="Lembaga Keuangan"/>
    <m/>
    <m/>
    <s v=" "/>
  </r>
  <r>
    <n v="46"/>
    <s v="Fitri Zaelina, M.E.K."/>
    <x v="2"/>
    <m/>
    <s v="Ambarawa"/>
    <s v="18/04/1992"/>
    <s v="199204182019032015 "/>
    <s v="1801065804920002"/>
    <s v="III/b"/>
    <d v="2019-03-01T00:00:00"/>
    <n v="0"/>
    <n v="0"/>
    <s v="Asisten Ahli"/>
    <d v="2022-03-01T00:00:00"/>
    <x v="2"/>
    <s v="STEI Hamfara Yogyakarta Tahun 2013"/>
    <s v="Ilmu Ekonomi UII Tahun 2017"/>
    <m/>
    <m/>
    <s v="2118049201"/>
    <d v="2057-05-01T00:00:00"/>
    <s v="Perbankan Syariah (S1)"/>
    <s v="Manajemen Resiko Lembaga Keuangan Islam"/>
    <s v="Anggota Divisi SPI"/>
    <d v="2021-06-03T00:00:00"/>
    <m/>
  </r>
  <r>
    <n v="47"/>
    <s v="Egha Ezar Junaeka Putra Hassany, M.E."/>
    <x v="1"/>
    <m/>
    <s v="Yogyakarta"/>
    <d v="1991-06-03T00:00:00"/>
    <s v="199106032019031006 "/>
    <s v="3471140306910002"/>
    <s v="III/b"/>
    <d v="2019-03-01T00:00:00"/>
    <n v="0"/>
    <n v="0"/>
    <s v="Asisten Ahli"/>
    <d v="2022-08-01T00:00:00"/>
    <x v="2"/>
    <s v="UIN Sunan Kalijaga Tahun 2013"/>
    <s v="Hukum Islam Konsentrasi Keuangan dan Perbankan Syari'ah UIN Sunan Kalijaga Tahun 2017"/>
    <m/>
    <m/>
    <s v="2003069102"/>
    <d v="2056-07-01T00:00:00"/>
    <s v="Akuntansi Syariah (S1)"/>
    <s v="Dosen Sistem Informasi Perbankan"/>
    <m/>
    <m/>
    <m/>
  </r>
  <r>
    <s v="I. PASCASARJANA"/>
    <m/>
    <x v="0"/>
    <m/>
    <m/>
    <m/>
    <m/>
    <m/>
    <m/>
    <m/>
    <m/>
    <m/>
    <m/>
    <m/>
    <x v="0"/>
    <m/>
    <m/>
    <m/>
    <m/>
    <m/>
    <m/>
    <m/>
    <m/>
    <m/>
    <m/>
    <m/>
  </r>
  <r>
    <n v="1"/>
    <s v="Prof. Dr. H. Machasin, M.A."/>
    <x v="1"/>
    <m/>
    <s v="Purworejo"/>
    <d v="1956-10-13T00:00:00"/>
    <s v="195610131981031003"/>
    <s v="3471031310560001"/>
    <s v="IV/e"/>
    <d v="2008-04-01T00:00:00"/>
    <m/>
    <m/>
    <s v="Guru Besar"/>
    <d v="2001-01-01T00:00:00"/>
    <x v="1"/>
    <s v="Sastra Arab IAIN Sunan Kalijaga Tahun  1979"/>
    <s v="Kajian Islam IAIN Sunan Kalijaga Tahun 1988"/>
    <s v="Program Doktor IAIN Sunan Kalijaga Tahun 1994"/>
    <s v="09210050069"/>
    <n v="2013105601"/>
    <d v="2026-11-01T00:00:00"/>
    <s v="Studi Islam (S3) "/>
    <s v="Sejarah Kebudayaan Islam"/>
    <m/>
    <m/>
    <m/>
  </r>
  <r>
    <n v="2"/>
    <s v="Prof. Dr. Khoiruddin, MA"/>
    <x v="1"/>
    <s v="E.943213"/>
    <s v="Simangambat, Tapanuli"/>
    <d v="1964-10-08T00:00:00"/>
    <s v="196410081991031002"/>
    <s v="3402080810640001"/>
    <s v="IV/e"/>
    <d v="2014-10-01T00:00:00"/>
    <n v="23"/>
    <n v="7"/>
    <s v="Guru Besar"/>
    <d v="2004-08-01T00:00:00"/>
    <x v="1"/>
    <s v=" Peradilan Agama IAIN Sunan Kalijaga Tahun 1989"/>
    <s v="McGill Islamic Studies, 1995"/>
    <s v="Studi Islam IAIN Sunan Kalijaga Tahun 2001"/>
    <s v="09210050083"/>
    <n v="2008106401"/>
    <d v="2034-11-01T00:00:00"/>
    <s v="Studi Islam (S3) "/>
    <s v="Fiqh Muqorin"/>
    <m/>
    <m/>
    <m/>
  </r>
  <r>
    <n v="3"/>
    <s v="Prof. Dr. Muhammad Abdul Karim, MA., MA."/>
    <x v="1"/>
    <s v="J. 012478"/>
    <s v="Jessore, Bangladesh"/>
    <d v="1955-05-01T00:00:00"/>
    <s v="195505011998121002"/>
    <s v="3404212010555004"/>
    <s v="IV/e"/>
    <d v="2020-04-01T00:00:00"/>
    <n v="35"/>
    <n v="0"/>
    <s v="Guru Besar"/>
    <d v="2008-09-01T00:00:00"/>
    <x v="1"/>
    <s v="Sejarah Kebudayaan Islam IAIN Sunan Kalijaga Tahun 1983"/>
    <s v="Sejarah Kebudayaan Islam IAIN Sunan Kalijaga Tahun 1987"/>
    <s v="Program Doktor IAIN Sunan Kalijaga Tahun 2003"/>
    <s v="09210050299"/>
    <n v="2001055502"/>
    <d v="2025-06-01T00:00:00"/>
    <s v="Interdiciplinary Islamic Studies (S2)"/>
    <s v="Sejarah Peradaban Islam"/>
    <m/>
    <m/>
    <m/>
  </r>
  <r>
    <n v="4"/>
    <s v="Prof. Noorhaidi, S.Ag, MA, M.Phil., Ph.D"/>
    <x v="1"/>
    <s v="G.274233"/>
    <s v="Amuntai"/>
    <d v="1971-12-07T00:00:00"/>
    <s v="197112071995031002"/>
    <s v="3674060712710002"/>
    <s v="IV/e"/>
    <d v="2024-06-01T00:00:00"/>
    <n v="29"/>
    <n v="3"/>
    <s v="Guru Besar"/>
    <d v="2014-03-01T00:00:00"/>
    <x v="1"/>
    <s v=" Peradilan Agama IAIN Sunan Kalijaga Tahun 1994"/>
    <s v="Islamic Studies Leiden University,  1999_x000a_Sosiologi Leiden University,  2000_x000a_"/>
    <s v="Universiteit Utrecht Netherlands, Sociale Antrhopologie, Belanda 2005"/>
    <n v="102100504717"/>
    <n v="2007127103"/>
    <d v="2041-01-01T00:00:00"/>
    <s v="Studi Islam (S3) "/>
    <s v="Ilmu Politik Islam Kontemporer"/>
    <s v="Rektor"/>
    <d v="2024-08-09T00:00:00"/>
    <m/>
  </r>
  <r>
    <n v="5"/>
    <s v="Prof. Dr. H. Waryono, M.Ag"/>
    <x v="1"/>
    <s v="J.009922"/>
    <s v="Guwa Cirebon"/>
    <d v="1970-10-10T00:00:00"/>
    <s v="197010101999031002"/>
    <s v="3404121010700004"/>
    <s v="IV/c"/>
    <d v="2016-04-01T00:00:00"/>
    <n v="17"/>
    <n v="1"/>
    <s v="Guru Besar"/>
    <d v="2022-07-01T00:00:00"/>
    <x v="1"/>
    <s v="Tafsir Hadist IAIN Sunan Kalijaga Tahun 1996"/>
    <s v="Agama dan Filsafat IAIN Sunan Kalijaga Tahun 1999"/>
    <s v="Studi Islam UIN Sunan Kalijaga Tahun 2008"/>
    <s v="092100500280"/>
    <n v="2010107002"/>
    <d v="2040-11-01T00:00:00"/>
    <s v="Studi Islam (S3) "/>
    <s v="Ilmu Tafsir"/>
    <m/>
    <m/>
    <s v="Direktur Pemberdayaan Zakat dan Wakaf Kemenag RI"/>
  </r>
  <r>
    <n v="6"/>
    <s v="Prof. Dr. Aziz Muslim, M.Pd"/>
    <x v="1"/>
    <s v="G.142961"/>
    <s v="Banyuwangi"/>
    <d v="1970-05-28T00:00:00"/>
    <s v="197005281994031002"/>
    <s v="3404102805700002"/>
    <s v="IV/c"/>
    <d v="2024-08-01T00:00:00"/>
    <n v="30"/>
    <n v="5"/>
    <s v="Guru Besar"/>
    <d v="2023-10-01T00:00:00"/>
    <x v="1"/>
    <s v="Bimbingan dan Penyuluhan Agama Islam IAIN Sunan Kalijaga Tahun 1993"/>
    <s v="Pendidikan Luar Sekolah UNY Tahun 2001"/>
    <s v="Penyuluhan Pembangunan/Pemberdayaan Masyarakat UNS Tahun 2014"/>
    <s v="092100500242"/>
    <n v="2025057001"/>
    <d v="2035-06-01T00:00:00"/>
    <s v="Studi Islam (S3) "/>
    <s v="Metodologi Pengembangan Masyarakat Islam"/>
    <m/>
    <m/>
    <m/>
  </r>
  <r>
    <n v="7"/>
    <s v="Prof. Zulkipli Lessy, S.Ag, S.Pd, M.Ag, MSW, Ph.D."/>
    <x v="1"/>
    <s v="K.018930"/>
    <s v="Liang"/>
    <s v="08-12-1968"/>
    <s v="196812082000031001"/>
    <s v="3471030812680001"/>
    <s v="III/d"/>
    <d v="2016-04-01T00:00:00"/>
    <n v="16"/>
    <n v="1"/>
    <s v="Guru Besar"/>
    <d v="2023-09-01T00:00:00"/>
    <x v="1"/>
    <s v="Bahasa Arab IAIN Ar Raniri Tahun 1995 / Pend. Bhs. Inggris UNY Tahun 2002"/>
    <s v="Pendidikan Islam Konsentrasi Pemikiran Pendidikan Islam Tahun 1999"/>
    <s v="Univ. Indianapolis, Indiana, USA, Social Work"/>
    <n v="142100512840"/>
    <n v="2008126803"/>
    <d v="2038-01-01T00:00:00"/>
    <s v="Interdiciplinary Islamic Studies (S2)"/>
    <s v="Pekerjaan Sosial"/>
    <m/>
    <m/>
    <m/>
  </r>
  <r>
    <n v="8"/>
    <s v="Prof. Dr. Moch. Nur Ichwan, S.Ag, MA"/>
    <x v="1"/>
    <s v="M. 048364"/>
    <s v="Ponorogo"/>
    <d v="1970-10-24T00:00:00"/>
    <s v="197010242001121001"/>
    <s v="3404082410700001"/>
    <s v="III/d"/>
    <d v="2011-10-01T00:00:00"/>
    <n v="9"/>
    <n v="10"/>
    <s v="Guru Besar"/>
    <d v="2023-03-01T00:00:00"/>
    <x v="1"/>
    <s v="Tafsir Hadis IAIN Sunan Kalijaga Tahun 1995"/>
    <s v="Rijksuninversiteit Te Leiden FaculTeiten Der Letteren En Der Godgeleerdheid, '1999"/>
    <s v="Tilburg University Netherlands, Religious Studies and Theology, 2006"/>
    <s v="092100500289"/>
    <n v="2024107001"/>
    <d v="2035-11-01T00:00:00"/>
    <s v="Studi Islam (S3) "/>
    <s v="Ilmu Sosial Politik Islam"/>
    <s v=" "/>
    <s v=" "/>
    <m/>
  </r>
  <r>
    <n v="9"/>
    <s v="Dr. Ita Rodiah, M.Hum."/>
    <x v="2"/>
    <m/>
    <s v="Bogor"/>
    <d v="1984-02-02T00:00:00"/>
    <s v="198402022019032009 "/>
    <s v="3201274202840001"/>
    <s v="III/d"/>
    <d v="2024-04-01T00:00:00"/>
    <n v="5"/>
    <n v="1"/>
    <s v="Lektor"/>
    <d v="2020-09-01T00:00:00"/>
    <x v="1"/>
    <s v="UIN Syarif Hidayatullah Tahun 2008"/>
    <s v="Universitas Indonesia Tahun 2010"/>
    <s v="Pengkajian Islam Konsentrasi Bahasa dan Sastra Arab UIN Syarif Hidayatullah Tahun 2014"/>
    <n v="212100516588"/>
    <n v="2002028404"/>
    <d v="2049-03-01T00:00:00"/>
    <s v="Interdisciplinary Islamic Studies (S2)"/>
    <s v="Dosen Bahasa dan Sastra Arab"/>
    <m/>
    <m/>
    <m/>
  </r>
  <r>
    <n v="10"/>
    <s v="Dr. Ramadhanita Mustika Sari"/>
    <x v="2"/>
    <m/>
    <s v="Palembang"/>
    <d v="1986-06-07T00:00:00"/>
    <s v="198606072019032018 "/>
    <s v="1671064706860006"/>
    <s v="III/d"/>
    <d v="2024-04-01T00:00:00"/>
    <n v="5"/>
    <n v="1"/>
    <s v="Lektor"/>
    <d v="2020-09-01T00:00:00"/>
    <x v="1"/>
    <s v="IAIN Raden Fatah Palembang Tahun 2009"/>
    <s v="UIN Syarif Hidayatullah Tahun 2015"/>
    <s v="Pengkajian Islam Kons. Antropologi dan Sosiologi Agama UIN Syarif Hidayatullah Jakarta Tahun 2015"/>
    <n v="212100516589"/>
    <s v="0207068602"/>
    <d v="2051-07-01T00:00:00"/>
    <s v="Interdisciplinary Islamic Studies (S2)"/>
    <s v="Sosiologi Agama"/>
    <m/>
    <m/>
    <m/>
  </r>
  <r>
    <n v="11"/>
    <s v="Dr. Jafar Assagaf, MA"/>
    <x v="1"/>
    <m/>
    <s v="Ternate "/>
    <d v="1976-02-20T00:00:00"/>
    <s v="197602202002121005"/>
    <s v="8271062002760001"/>
    <s v="IV/b"/>
    <d v="2024-06-01T00:00:00"/>
    <n v="21"/>
    <n v="6"/>
    <s v="Lektor Kepala"/>
    <d v="2018-10-01T00:00:00"/>
    <x v="1"/>
    <s v="Pendidikan Bahasa Arab STAIN Ternate Tahun 1996"/>
    <s v="Tafsir Hadis UIN Syarif Hidayatullah Tahun 2002"/>
    <s v="Tafsir Hadis UIN Syarif Hidayatullah Tahun 2008"/>
    <s v="092104900143"/>
    <n v="2020027601"/>
    <d v="2041-03-01T00:00:00"/>
    <s v="Interdisciplinary Islamic Studies (S2)"/>
    <m/>
    <m/>
    <m/>
    <m/>
  </r>
  <r>
    <n v="12"/>
    <s v="Dr. Subaidi, S. Ag., M.Si."/>
    <x v="1"/>
    <s v="M 068084"/>
    <s v="Sumenep"/>
    <d v="1975-05-17T00:00:00"/>
    <s v="197505172005011004"/>
    <s v="3402121705750003"/>
    <s v="IV/a"/>
    <d v="2018-04-01T00:00:00"/>
    <n v="13"/>
    <n v="3"/>
    <s v="Lektor Kepala"/>
    <d v="2017-04-01T00:00:00"/>
    <x v="1"/>
    <s v="Peradilan Agama IAIN Sunan Kalijaga Tahun 1999"/>
    <s v="Ilmu Politik UGM Tahun 2003"/>
    <s v="Ilmu Politik UGM Tahun 2014"/>
    <n v="102100504756"/>
    <n v="2017057502"/>
    <d v="2040-06-01T00:00:00"/>
    <s v="Interdiciplinary Islamic Studies (S2)"/>
    <s v="Pengantar Ilmu Politik"/>
    <m/>
    <m/>
    <m/>
  </r>
  <r>
    <n v="13"/>
    <s v="Ahmad Rafiq, S.Ag M.Ag., Ph.D."/>
    <x v="1"/>
    <s v="J. 050008"/>
    <s v="Banjarmasin"/>
    <d v="1974-12-14T00:00:00"/>
    <s v="197412141999031002"/>
    <s v="3404011402740003"/>
    <s v="III/d"/>
    <d v="2011-10-01T00:00:00"/>
    <n v="12"/>
    <n v="7"/>
    <s v="Lektor Kepala"/>
    <d v="2023-08-01T00:00:00"/>
    <x v="1"/>
    <s v="Tafsir Hadist IAIN Antasari  Tahun 1997"/>
    <s v="Agama dan Filsafat Konsentrasi Hubungan Antar Agama IAIN Sunan Kalijaga Tahun 2003 / IIS Konsentrasi Social Work UIN Sunan Kalijaga Tahun 2005"/>
    <s v="Departement of Religion Tempel University, Pennsylvania "/>
    <n v="132100511941"/>
    <n v="2014127402"/>
    <d v="2040-01-01T00:00:00"/>
    <s v="Studi Islam (S3)"/>
    <s v="Studi Al-Qur'an"/>
    <s v="Wakil Direktur Pascasarjana / Plt. Direktur Pascasarjana"/>
    <d v="2024-10-14T00:00:00"/>
    <m/>
  </r>
  <r>
    <n v="14"/>
    <s v="Dr. Munirul Ikhwan"/>
    <x v="1"/>
    <m/>
    <s v="Kudus"/>
    <d v="1984-06-20T00:00:00"/>
    <s v="198406202018011001"/>
    <s v="3319042006840005"/>
    <s v="III/d"/>
    <d v="2024-06-01T00:00:00"/>
    <n v="6"/>
    <n v="5"/>
    <s v="Lektor Kepala"/>
    <d v="2023-08-01T00:00:00"/>
    <x v="1"/>
    <s v="Tafsir dan Ilmu Al-Qur'an Universitas Al Azhar Tahun 2006"/>
    <s v="Studi Islam Universitas Leiden Tahun 2010"/>
    <s v="Islamic Sciences The Faculty Of Historical And Cultural Sciences Of The Free University Berlin Tahun 2015"/>
    <n v="212100516587"/>
    <s v="2020068401"/>
    <d v="2049-07-01T00:00:00"/>
    <s v="Interdiciplinary Islamic Studies (S2)"/>
    <s v="Studi Islam"/>
    <s v="Ketua Program Studi Program Doktor (S3)"/>
    <d v="2024-10-25T00:00:00"/>
    <m/>
  </r>
  <r>
    <n v="15"/>
    <s v="Dr. Moh. Mufid"/>
    <x v="1"/>
    <m/>
    <s v="Lamongan"/>
    <d v="1983-11-11T00:00:00"/>
    <s v="198311112019031003 "/>
    <s v="3524151111830002"/>
    <s v="III/d"/>
    <d v="2024-08-01T00:00:00"/>
    <n v="8"/>
    <n v="5"/>
    <s v="Lektor Kepala"/>
    <d v="2023-08-01T00:00:00"/>
    <x v="1"/>
    <s v="Al Ahgaff University Tahun 2010"/>
    <s v="IAIN Antasari Banjarmasin Tahun 2013"/>
    <s v="Program Doktor Kons. Syariah/ Hukum Islam UIN Alauddin Makasar Tahun 2017"/>
    <n v="212100516583"/>
    <s v="2011118301"/>
    <d v="2048-12-01T00:00:00"/>
    <s v="Interdisciplinary Islamic Studies (S2)"/>
    <s v="Hukum Islam"/>
    <s v="Koordinator Pusat Penelitian dan Penerbitan pada LP2M Masa Jabatan 2024-2028"/>
    <d v="2024-10-14T00:00:00"/>
    <m/>
  </r>
  <r>
    <n v="16"/>
    <s v="Dr. Subi Nur Isnaini"/>
    <x v="2"/>
    <m/>
    <s v="Pati"/>
    <d v="1986-08-18T00:00:00"/>
    <s v="198608182019032010 "/>
    <s v="3318155808860003"/>
    <s v="III/d"/>
    <d v="2024-08-01T00:00:00"/>
    <n v="5"/>
    <n v="5"/>
    <s v="Lektor Kepala"/>
    <d v="2023-08-01T00:00:00"/>
    <x v="1"/>
    <s v="Univ. Al Azhar Kairo Mesir Tahun 2009"/>
    <s v="Univ. Sidi Mohammad Penabdelah Maroko 2011"/>
    <s v="Studi Islam Konsentrasi Tafsir Ayat Suci : Masalah dan Metodologi Universitas Moulay Ismail MEKNES Tahun 2018"/>
    <n v="212100516582"/>
    <s v="2018088602"/>
    <d v="2051-09-01T00:00:00"/>
    <s v="Interdisciplinary Islamic Studies (S2)"/>
    <s v="Dosen ilmu Al-Qur'an dan Tafsir"/>
    <s v="Sekretaris Program Studi Program Magister (S2) "/>
    <d v="2024-10-25T00:00: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s v="138.18 Tahun 2023"/>
    <s v="31 Juli 2023"/>
    <s v="Dewi Dwi Utari, S.Pd."/>
    <x v="0"/>
    <s v="Kulon Progo, 5 Februari 1994"/>
    <s v="199402052023212045"/>
    <s v="IX"/>
    <s v="S1"/>
    <s v="S1 Pendidikan Akuntansi Universitas Negeri Yogyakarta Tahun 2016"/>
    <s v="Ahli Pertama-Perencana"/>
    <s v="3401014502940001"/>
    <s v="Biro Administrasi Akademik Kemahasiswaan dan Kerjasama"/>
    <s v="01 Agustus 2023 s.d. 31 Juli 2028"/>
  </r>
  <r>
    <n v="2"/>
    <s v="138.4 Tahun 2023"/>
    <s v="31 Juli 2023"/>
    <s v="Hasan Latif, S.IP."/>
    <x v="1"/>
    <s v="Magelang, 22 Februari 1983"/>
    <s v="198302222023211009"/>
    <s v="IX"/>
    <s v="S1"/>
    <s v="S1 Ilmu Perpustakaan UIN Sunan Kalijaga Tahun 2011"/>
    <s v="Ahli Pertama-Pustakawan"/>
    <s v="3308042202830003"/>
    <s v="Subbag. Tata Usaha Pascasarjana"/>
    <s v="01 Agustus 2023 s.d. 31 Juli 2028"/>
  </r>
  <r>
    <n v="3"/>
    <s v="138.7 Tahun 2023"/>
    <s v="31 Juli 2023"/>
    <s v="Riyanto, S.Si."/>
    <x v="1"/>
    <s v="Boyolali, 29 Mei 1987"/>
    <s v="198705292023211016"/>
    <s v="IX"/>
    <s v="S1"/>
    <s v="S1 Matematika UIN Sunan Kalijaga Yogyakarta Tahun 2014"/>
    <s v="Ahli Pertama - Pranata Lab. Pendidikan"/>
    <s v="3309122905870011"/>
    <s v="Bagian Tata Usaha Fakultas Sains dan Teknologi"/>
    <s v="01 Agustus 2023 s.d. 31 Juli 2028"/>
  </r>
  <r>
    <n v="4"/>
    <s v="138.8 Tahun 2023"/>
    <s v="31 Juli 2023"/>
    <s v="M. Habib Ridwan, S.E.I."/>
    <x v="1"/>
    <s v="Kudus, 4 Mei 1990"/>
    <s v="199005042023211027"/>
    <s v="IX"/>
    <s v="S1"/>
    <s v="S1 Ekonomi Syari'ah STIA ALMA ATA Yogyakarta Tahun 2012"/>
    <s v="Ahli Pertama-Pranata Lab.Pendidikan"/>
    <s v="3319060405900008"/>
    <s v="Bagian Tata Usaha Fakultas Ekonomi dan Bisnis Islam"/>
    <s v="01 Agustus 2023 s.d. 31 Juli 2028"/>
  </r>
  <r>
    <n v="5"/>
    <s v="138.13 Tahun 2023"/>
    <s v="31 Juli 2023"/>
    <s v="Widiyastuti, S.IP."/>
    <x v="0"/>
    <s v="Bantul, 7 Juli 1983"/>
    <s v="198307072023212034"/>
    <s v="IX"/>
    <s v="S1"/>
    <s v="S1 Ilmu Perpustakaan UIN Sunan Kalijaga YK Tahun 2006"/>
    <s v="Ahli Pertama-Pustakawan"/>
    <s v="3402134707830006"/>
    <s v="Biro Administrasi Akademik, Kemahasiswaan dan Kerjasama ditugaskan pada UPT Pusat Perpustakaan "/>
    <s v="01 Agustus 2023 s.d. 31 Juli 2028"/>
  </r>
  <r>
    <n v="6"/>
    <s v="138.12 Tahun 2023"/>
    <s v="31 Juli 2023"/>
    <s v="Nurul Fatwa Wati, A.Md."/>
    <x v="0"/>
    <s v="Yogyakarta, 22 November 1984"/>
    <s v="198411222023212032"/>
    <s v="VII"/>
    <s v="D3"/>
    <s v="Akuntansi Tahun 2006"/>
    <s v="Terampil-Arsiparis"/>
    <s v="3308096211840001"/>
    <s v="Subbag. Tata Usaha dan Rumah Tangga Bagian Umum Biro AUK"/>
    <s v="01 Agustus 2023 s.d. 31 Juli 2028"/>
  </r>
  <r>
    <n v="7"/>
    <s v="223.7 Tahun 2023"/>
    <s v="30 November 2023"/>
    <s v="Herwin Ardicahyo, S.Kom."/>
    <x v="1"/>
    <s v="Kulon Progo, 20 Februari 1994"/>
    <s v="199402202023211020"/>
    <s v="IX"/>
    <s v="S1"/>
    <s v="S1 Teknik Informatika STMIK AMIKOM Yogyakarta Tahun 2016"/>
    <s v="Ahli Pertama-Pranata Komputer"/>
    <s v="3401112002940003"/>
    <s v="Biro Administrasi Akademik, Kemahasiswaan dan Kerjasama  "/>
    <s v="01 Desember 2023 s.d. 30 November 2028"/>
  </r>
  <r>
    <n v="8"/>
    <s v="223.13 Tahun 2023"/>
    <s v="30 November 2023"/>
    <s v="Novita Praci Putri, S.Kom."/>
    <x v="0"/>
    <s v="Wonogiri, 19 November 1988"/>
    <s v="198811192023212035"/>
    <s v="IX"/>
    <s v="S1"/>
    <s v="S1 Teknik Informatika UIN Sunan Kalijaga Yogyakarta Tahun 2013"/>
    <s v="Ahli Pertama-Pranata Komputer"/>
    <s v="7373055911880001"/>
    <s v="Biro Administrasi Akademik, Kemahasiswaan dan Kerjasama  "/>
    <s v="01 Desember 2023 s.d. 30 November 2028"/>
  </r>
  <r>
    <n v="9"/>
    <s v="223.12 Tahun 2023"/>
    <s v="30 November 2023"/>
    <s v="Arizal Ashar Fauzi, S.Kom."/>
    <x v="1"/>
    <s v="Magelang, 27 Juni 1989"/>
    <s v="198906272023211030"/>
    <s v="IX"/>
    <s v="S1"/>
    <s v="S1 Sistem Informasi AMIKOM Yogyakarta Tahun 2013"/>
    <s v="Ahli Pertama-Pranata Komputer"/>
    <s v="3308202706890004"/>
    <s v="Biro Administrasi Umum dan Keuangan"/>
    <s v="01 Desember 2023 s.d. 30 November 2028"/>
  </r>
  <r>
    <n v="10"/>
    <s v="223.6 Tahun 2023"/>
    <s v="30 November 2023"/>
    <s v="Danang Aji Bimantoro, S.Kom."/>
    <x v="1"/>
    <s v="Kulon Progo, 5 Oktober 1995"/>
    <s v="199510052023211016"/>
    <s v="IX"/>
    <s v="S1"/>
    <s v="S1 Teknik Informatika UIN Sunan Kalijaga Yogyakarta Tahun 2017"/>
    <s v="Ahli Pertama-Pranata Komputer"/>
    <s v="3401110510950003"/>
    <s v="Biro Administrasi Umum dan Keuangan"/>
    <s v="01 Desember 2023 s.d. 30 November 2028"/>
  </r>
  <r>
    <n v="11"/>
    <s v="223.5 Tahun 2023"/>
    <s v="30 November 2023"/>
    <s v="Ervan Yogi Arifianto, S.Kom."/>
    <x v="1"/>
    <s v="Kotabaru, 11 Juni 1989"/>
    <s v="198906112023211025"/>
    <s v="IX"/>
    <s v="S1"/>
    <s v="S1 Teknik Irfomatika UIN Sunan Kalijaga Tahun 2014"/>
    <s v="Ahli Pertama-Pranata Komputer"/>
    <s v="6302151106890001"/>
    <s v="Biro Administrasi Umum dan Keuangan"/>
    <s v="01 Desember 2023 s.d. 30 November 2028"/>
  </r>
  <r>
    <n v="12"/>
    <s v="223.9 Tahun 2023"/>
    <s v="30 November 2023"/>
    <s v="Amalia Ratna Rahmaani, S.Kom."/>
    <x v="0"/>
    <s v="Sleman, 4 Maret 1988"/>
    <s v="198803042023212035"/>
    <s v="IX"/>
    <s v="S1"/>
    <s v="S1 Teknik Informatika UIN Sunan Kalijaga Yogyakarta Tahun 2014"/>
    <s v="Ahli Pertama-Pranata Komputer"/>
    <s v="3310104403880001"/>
    <s v="Biro Administrasi Umum dan Keuangan"/>
    <s v="01 Desember 2023 s.d. 30 November 2028"/>
  </r>
  <r>
    <n v="13"/>
    <s v="223.10 Tahun 2023"/>
    <s v="30 November 2023"/>
    <s v="Maulana Fiqi Ilhami, S.E.I."/>
    <x v="1"/>
    <s v="Ngawi, 8 Januari 1991"/>
    <s v="199101082023211020"/>
    <s v="IX"/>
    <s v="S1"/>
    <s v="S1 Keuangan Islam UIN Sunan Kalijaga Yogyakarta Tahun 2013"/>
    <s v="Ahli Pertama-Perencana"/>
    <s v="3521100801910002"/>
    <s v="Biro Administrasi Umum dan Keuangan"/>
    <s v="01 Desember 2023 s.d. 30 November 2028"/>
  </r>
  <r>
    <n v="14"/>
    <s v="223.11 Tahun 2023"/>
    <s v="30 November 2023"/>
    <s v="Adi Widyawinata, S.Kom."/>
    <x v="1"/>
    <s v="Jombang, 11 Desember 1987"/>
    <s v="198712112023211015"/>
    <s v="IX"/>
    <s v="S1"/>
    <s v="S1 Teknik Informatika STMIK Akakom Yogyakarta Tahun 2010"/>
    <s v="Ahli Pertama-Pranata Komputer"/>
    <s v="3404101112870002"/>
    <s v="Lembaga Penelitian dan Pengabdian kepada Masyarakat (LP2M)"/>
    <s v="01 Desember 2023 s.d. 30 November 2028"/>
  </r>
  <r>
    <n v="15"/>
    <s v="223.8 Tahun 2023"/>
    <s v="30 November 2023"/>
    <s v="Prasna Hestu Swasta, S.Akun"/>
    <x v="0"/>
    <s v="Bantul, 13 Mei 1996"/>
    <s v="199605132023212041"/>
    <s v="IX"/>
    <s v="S1"/>
    <s v="S1 Akuntansi Syariah UIN Sunan Kalijaga Yogyakarta Tahun 2019"/>
    <s v="Ahli Pertama-Perencana"/>
    <s v="3402125305960001"/>
    <s v="Biro Administrasi Umum dan Keuangan "/>
    <s v="01 Desember 2023 s.d. 30 November 2028"/>
  </r>
  <r>
    <n v="16"/>
    <s v="223.18 Tahun 2023"/>
    <s v="30 November 2023"/>
    <s v="Siti Fatimah, S.Kom."/>
    <x v="0"/>
    <s v="Bantul, 13 Juli 1992"/>
    <s v="199207132023212037"/>
    <s v="IX"/>
    <s v="S1"/>
    <s v="S1 Teknik Informatika UIN Sunan Kalijaga Yogyakarta Tahun 2017"/>
    <s v="Ahli Pertama-Perencana"/>
    <s v="3402135307920004"/>
    <s v="Bagian Tata Usaha Fakultas Syari'ah dan Hukum"/>
    <s v="01 Desember 2023 s.d. 30 November 2028"/>
  </r>
  <r>
    <n v="17"/>
    <s v="223.17 Tahun 2023"/>
    <s v="30 November 2023"/>
    <s v="Miftakhul Intan Naimah, S.Pd."/>
    <x v="0"/>
    <s v="Kebumen, 29 Agustus 1993"/>
    <s v="199308292023212048"/>
    <s v="IX"/>
    <s v="S1"/>
    <s v="S1 Pendidikan Kimia, UIN Sunan Kalijaga Yogyakarta Tahun 2016"/>
    <s v="Ahli Pertama-Arsiparis"/>
    <s v="3305106908930001"/>
    <s v="Bagian Tata Usaha Fakultas Ushuluddin dan Pemikiran Islam"/>
    <s v="01 Desember 2023 s.d. 30 November 2028"/>
  </r>
  <r>
    <n v="18"/>
    <s v="40.10 Tahun 2024"/>
    <s v="29 Februari 2024"/>
    <s v="Wahyu Santoso, S.M"/>
    <x v="1"/>
    <s v="Kab. Bantul, 27 November 1995"/>
    <s v="199511272024211023"/>
    <s v="IX"/>
    <s v="S1"/>
    <s v="S-1 MANAJEMEN SUMBER DAYA MANUSIA Tahun 2021"/>
    <s v="Analis Sumber Daya Manusia Aparatur Ahli Pertama"/>
    <s v="‌3402132711950001"/>
    <s v="Biro Administrasi Umum dan Keuangan"/>
    <s v="01 Maret 2024 sampai dengan 28 Februari 2029"/>
  </r>
  <r>
    <n v="19"/>
    <s v="40.11 Tahun 2024"/>
    <s v="29 Februari 2024"/>
    <s v="Sholichatun Muslich, S. Sos."/>
    <x v="0"/>
    <s v="Kab. Temanggung, 02 Maret 1996"/>
    <s v="199603022024212033"/>
    <s v="IX"/>
    <s v="S1"/>
    <s v="S-1 ILMU ADMINISTRASI NEGARA Tahun 2018"/>
    <s v="Analis Sumber Daya Manusia Aparatur Ahli Pertama"/>
    <s v="‌3323104202960001"/>
    <s v="Biro Administrasi Umum dan Keuangan"/>
    <s v="01 Maret 2024 sampai dengan 28 Februari 2029"/>
  </r>
  <r>
    <n v="20"/>
    <s v="40.12 Tahun 2024"/>
    <s v="29 Februari 2024"/>
    <s v="Roger Bayuki Sofyan, S.Kom."/>
    <x v="1"/>
    <s v="Kab. Banyuwangi, 6 April 1989"/>
    <s v="198904062024211025"/>
    <s v="IX"/>
    <s v="S1"/>
    <s v="S1 Teknik Informatika STMIK Amikom Yogyakarta Tahun 2012"/>
    <s v="Analis Sumber Daya Manusia Aparatur Ahli Pertama"/>
    <s v="3510130604890002"/>
    <s v="Biro Administrasi Umum dan Keuangan"/>
    <s v="01 Maret 2024 sampai dengan 28 Februari 2029"/>
  </r>
  <r>
    <n v="21"/>
    <s v="40.14 Tahun 2024"/>
    <s v="29 Februari 2024"/>
    <s v="Banny Suryani, A.Md.KL."/>
    <x v="0"/>
    <s v="Kab. Sleman, 05 Juli 1993"/>
    <s v="199307052024212043"/>
    <s v="VII"/>
    <s v="D3"/>
    <s v="D-III KESEHATAN LINGKUNGAN Tahun 2014"/>
    <s v="Arsiparis Terampil"/>
    <s v="‌3404054507930001"/>
    <s v="Biro Administrasi Umum dan Keuangan"/>
    <s v="01 Maret 2024 sampai dengan 28 Februari 2029"/>
  </r>
  <r>
    <n v="22"/>
    <s v="40.16 Tahun 2024"/>
    <s v="29 Februari 2024"/>
    <s v="Arif Kurniyawan, SE."/>
    <x v="1"/>
    <s v="Kab. Sleman, 25 Juli 1989"/>
    <s v="198907252024211018"/>
    <s v="IX"/>
    <s v="S1"/>
    <s v="Manajemen, Universitas Mercu Buana Yogyakarta Tahun 2014"/>
    <s v="Pranata Hubungan Masyarakat Ahli Pertama"/>
    <s v="3404072507890004"/>
    <s v="Biro Administrasi Umum dan Keuangan"/>
    <s v="01 Maret 2024 sampai dengan 28 Februari 2029"/>
  </r>
  <r>
    <n v="23"/>
    <s v="40.23 Tahun 2024"/>
    <s v="29 Februari 2024"/>
    <s v="Ira Nurhasanah, S.Hum."/>
    <x v="0"/>
    <s v="Kab. Ciamis, 5 Februari 1992"/>
    <s v="199202052024212049"/>
    <s v="IX"/>
    <s v="S1"/>
    <s v="S1  Bahasa dan Sastra Arab UIN Sunan Kalijaga Yogyakarta Tahun 2015"/>
    <s v="Pranata Hubungan Masyarakat Ahli Pertama"/>
    <s v="‌3207194502920004"/>
    <s v="Biro Administrasi Umum dan Keuangan"/>
    <s v="01 Maret 2024 sampai dengan 28 Februari 2029"/>
  </r>
  <r>
    <n v="24"/>
    <s v="40.6 Tahun 2024"/>
    <s v="29 Februari 2024"/>
    <s v="dr. Lukluk Al Ulya"/>
    <x v="0"/>
    <s v="Yogyakarta, 28 Mei 1995"/>
    <s v="199505282024212037"/>
    <s v="X"/>
    <s v="S1"/>
    <s v="S1 Kedokteran UNS Tahun 2019"/>
    <s v="Dokter Ahli Pertama / Dokter (UMUM)"/>
    <s v="‌3404086805950001"/>
    <s v="Pusat Poliklinik UIN Sunan Kalijaga Yogyakarta"/>
    <s v="01 Maret 2024 sampai dengan 28 Februari 2029"/>
  </r>
  <r>
    <n v="25"/>
    <s v="40.22 Tahun 2024"/>
    <s v="29 Februari 2024"/>
    <s v="drg. Chintia Arifa Priyanti"/>
    <x v="0"/>
    <s v="Kab. Gunung Kidul, 21 Maret 1996"/>
    <s v="199603212024212039 "/>
    <s v="X"/>
    <s v="S1"/>
    <s v="PROFESI DOKTER GIGI Tahun 2020"/>
    <s v="Dokter Gigi Ahli Pertama / Dokter Gigi (Umum)"/>
    <s v="‌3403016103960002"/>
    <s v="Pusat Poliklinik UIN Sunan Kalijaga Yogyakarta"/>
    <s v="01 Maret 2024 sampai dengan 28 Februari 2029"/>
  </r>
  <r>
    <n v="26"/>
    <s v="40.5 Tahun 2024"/>
    <s v="29 Februari 2024"/>
    <s v="Nova Listia Dewi, A.Md.Keb."/>
    <x v="0"/>
    <s v="Kab. Gunungkidul, 29 April 1991"/>
    <s v="199104292024212039"/>
    <s v="VII"/>
    <s v="D3"/>
    <s v="D3 Kebidanan, STIKES Aisyiyah Yogyakarta Tahun 2012"/>
    <s v="Bidan Terampil"/>
    <s v="3402166904910001"/>
    <s v="Pusat Poliklinik UIN Sunan Kalijaga Yogyakarta"/>
    <s v="01 Maret 2024 sampai dengan 28 Februari 2029"/>
  </r>
  <r>
    <n v="27"/>
    <s v="40.8 Tahun 2024"/>
    <s v="29 Februari 2024"/>
    <s v="Westry Prastiwi Gristie., A.Md.,RMIK"/>
    <x v="0"/>
    <s v="Kab. Klaten, 7 Juni 1993"/>
    <s v="199306072024212047"/>
    <s v="VII"/>
    <s v="D3"/>
    <s v="D3 Rekam Medis dan Informasi Kesehatan Politeknik Kesehatan Permata Indonesia Tahun 2014 "/>
    <s v="Perekam Medis Terampil"/>
    <s v="3301094706930007"/>
    <s v="Pusat Poliklinik UIN Sunan Kalijaga Yogyakarta"/>
    <s v="01 Maret 2024 sampai dengan 28 Februari 2029"/>
  </r>
  <r>
    <n v="28"/>
    <s v="40.9 Tahun 2024"/>
    <s v="29 Februari 2024"/>
    <s v="Asti Anindita, A.Md. AK."/>
    <x v="0"/>
    <s v="Kab. Sleman, 20 Agustus 1992"/>
    <s v="199208202024212042"/>
    <s v="VII"/>
    <s v="D3"/>
    <s v="D3 Analis Kesehatan Politeknik Kesehatan Kementerian Kesehatan Yogyakarta Tahun 2014"/>
    <s v="Pranata Laboratorium Kesehatan Terampil"/>
    <s v="3404076008920002"/>
    <s v="Pusat Poliklinik UIN Sunan Kalijaga Yogyakarta"/>
    <s v="01 Maret 2024 sampai dengan 28 Februari 2029"/>
  </r>
  <r>
    <n v="29"/>
    <s v="40.4 Tahun 2024"/>
    <s v="29 Februari 2024"/>
    <s v="Sri Purwati, S.K.M"/>
    <x v="0"/>
    <s v="Kab. Magetan, 20 November 1994"/>
    <s v="199411202024212039"/>
    <s v="IX"/>
    <s v="S1"/>
    <s v="S-1 KESEHATAN MASYARAKAT Tahun 2023"/>
    <s v="Administrator Kesehatan Ahli Pertama"/>
    <s v="‌3520016011940001"/>
    <s v="Pusat Poliklinik UIN Sunan Kalijaga Yogyakarta"/>
    <s v="01 Maret 2024 sampai dengan 28 Februari 2029"/>
  </r>
  <r>
    <n v="30"/>
    <s v="40.7 Tahun 2024"/>
    <s v="29 Februari 2024"/>
    <s v="Rizal Kadir, A.Md.Kep"/>
    <x v="1"/>
    <s v="Kab. Halmahera Utara, 24 April 1992"/>
    <s v="199204242024211027"/>
    <s v="VII"/>
    <s v="D3"/>
    <s v="D-III KEPERAWATAN Tahun 2012"/>
    <s v="Perawat Terampil "/>
    <s v="‌8203082404920001"/>
    <s v="Pusat Poliklinik UIN Sunan Kalijaga Yogyakarta"/>
    <s v="01 Maret 2024 sampai dengan 28 Februari 2029"/>
  </r>
  <r>
    <n v="31"/>
    <s v="40.20 Tahun 2024"/>
    <s v="29 Februari 2024"/>
    <s v="Nur Hidayah, S.IP."/>
    <x v="0"/>
    <s v="Kab. Semarang, 13 April 1998"/>
    <s v="199804132024212030"/>
    <s v="IX"/>
    <s v="S1"/>
    <s v="S-1 ILMU PERPUSTAKAAN Tahun 2020"/>
    <s v="Pustakawan Ahli Pertama"/>
    <s v="‌3404165304980001"/>
    <s v="UPT Pusat Perpustakaan UIN Sunan Kalijaga"/>
    <s v="01 Maret 2024 sampai dengan 28 Februari 2029"/>
  </r>
  <r>
    <n v="32"/>
    <s v="40.21 Tahun 2024"/>
    <s v="29 Februari 2024"/>
    <s v="M. Faris Ulinnuha, S.I.Pust."/>
    <x v="1"/>
    <s v="Kab. Kebumen, 09 September 1991"/>
    <s v="199109092024211026"/>
    <s v="IX"/>
    <s v="S1"/>
    <s v="S-1 ILMU PERPUSTAKAAN Tahun 2017"/>
    <s v="Pustakawan Ahli Pertama"/>
    <s v="‌3305110909910002"/>
    <s v="UPT Pusat Perpustakaan UIN Sunan Kalijaga"/>
    <s v="01 Maret 2024 sampai dengan 28 Februari 2029"/>
  </r>
  <r>
    <n v="33"/>
    <s v="40.17 Tahun 2024"/>
    <s v="29 Februari 2024"/>
    <s v="Feruzzi Graha Nursatria, S.Kom"/>
    <x v="1"/>
    <s v="Kota Yogyakarta, 27 Februari 1997"/>
    <s v="199702272024211014"/>
    <s v="IX"/>
    <s v="S1"/>
    <s v="S-1 INFORMATIKA Tahun 2021"/>
    <s v="Pranata Komputer Ahli Pertama"/>
    <s v="‌3471092702970001"/>
    <s v="UPT Pusat Teknologi Informasi dan Pangkalan Data"/>
    <s v="01 Maret 2024 sampai dengan 28 Februari 2029"/>
  </r>
  <r>
    <n v="34"/>
    <s v="40.18 Tahun 2024"/>
    <s v="29 Februari 2024"/>
    <s v="Heni Hapsari, S.Kom."/>
    <x v="0"/>
    <s v="Kab. Kebumen, 1 Agustus 1987"/>
    <s v="198708012024212025"/>
    <s v="IX"/>
    <s v="S1"/>
    <s v="S1 Teknik Informatika UIN Sunan Kalijaga Yogyakarta Tahun 2011"/>
    <s v="Pranata Komputer Ahli Pertama"/>
    <s v="3305074108870003"/>
    <s v="UPT Pusat Teknologi Informasi dan Pangkalan Data"/>
    <s v="01 Maret 2024 sampai dengan 28 Februari 2029"/>
  </r>
  <r>
    <n v="35"/>
    <s v="40.19 Tahun 2024"/>
    <s v="29 Februari 2024"/>
    <s v="Ulfa Septi Muslimah, S.Kom."/>
    <x v="0"/>
    <s v="Kab. Bogor, 24 September 1994"/>
    <s v="199409242024212052"/>
    <s v="IX"/>
    <s v="S1"/>
    <s v="S1 Teknik Informatika, UIN Sunan Kalijaga Yogyakarta Tahun  2016"/>
    <s v="Pranata Komputer Ahli Pertama"/>
    <s v="3309066409949002"/>
    <s v="UPT Pusat Teknologi Informasi dan Pangkalan Data"/>
    <s v="01 Maret 2024 sampai dengan 28 Februari 2029"/>
  </r>
  <r>
    <n v="36"/>
    <s v="40.25 Tahun 2024"/>
    <s v="29 Februari 2024"/>
    <s v="Ida Lusi Parwati, S.Pd."/>
    <x v="0"/>
    <s v="Klaten, 24 Juni 1995"/>
    <s v="199506242024212045"/>
    <s v="IX"/>
    <s v="S1"/>
    <s v="S1 Manajemen Pendidikan Islam UIN Sunan Kalijaga Tahun 2018"/>
    <s v="Arsiparis Ahli Pertama"/>
    <s v="3310026406950001"/>
    <s v="Subbag. Tata Usaha dan Rumah Tangga"/>
    <s v="01 Maret 2024 sampai dengan 28 Februari 2029"/>
  </r>
  <r>
    <n v="37"/>
    <s v="40.26 Tahun 2024"/>
    <s v="29 Februari 2024"/>
    <s v="Tantri Yuniarti, A.Md."/>
    <x v="0"/>
    <s v="Yogyakarta, 6 Juni 1984"/>
    <s v="198406062024212033"/>
    <s v="VII"/>
    <s v="D3"/>
    <s v="D3 Ilmu Perpustakaan &amp; Informasi Islam UIN Sunan Kalijaga YK Tahun 2006"/>
    <s v="Arsiparis Terampil"/>
    <s v="3401114606840001"/>
    <s v="Subbag. Tata Usaha dan Rumah Tangga"/>
    <s v="01 Maret 2024 sampai dengan 28 Februari 2029"/>
  </r>
  <r>
    <n v="38"/>
    <s v="40.15 Tahun 2024"/>
    <s v="29 Februari 2024"/>
    <s v="Yan Suryo Sumirat, S.Kom."/>
    <x v="1"/>
    <s v="Kab. Wonogiri, 15 Januari 1993"/>
    <s v="199301152024211019"/>
    <s v="IX"/>
    <s v="S1"/>
    <s v="S1 Teknik Informatika Universitas Ahmad Dahlan Yogyakarta Tahun 2016"/>
    <s v="Pengelola Pengadaan Barang/Jasa Ahli Pertama"/>
    <s v="3404021501930003"/>
    <s v="Subbagian Perlengkapan dan Pengadaan Barang/Jasa"/>
    <s v="01 Maret 2024 sampai dengan 28 Februari 2029"/>
  </r>
  <r>
    <n v="39"/>
    <s v="40.13 Tahun 2024"/>
    <s v="29 Februari 2024"/>
    <s v="Irma Agustina, S.Ak"/>
    <x v="0"/>
    <s v="Kab. Sleman, 25 Agustus 1997"/>
    <s v="199708252024212042"/>
    <s v="IX"/>
    <s v="S1"/>
    <s v="S1 Akuntansi, Universitas Mercu Buana Tahun 2023"/>
    <s v="Arsiparis Ahli Pertama"/>
    <s v="‌3404016508970001"/>
    <s v="Subbagian Tata Usaha dan Rumah Tangga Bagian Umum"/>
    <s v="01 Maret 2024 sampai dengan 28 Februari 202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Husnul Khitam, Lc.,MH."/>
    <s v="198103162023211005"/>
    <x v="0"/>
    <s v="Bojonegoro "/>
    <d v="1981-03-16T00:00:00"/>
    <s v="Asisten Ahli - Dosen Hukum Islam di Indonesia"/>
    <s v="1 Agustus 2023 s.d. 31 Juli 2028"/>
    <s v="X"/>
    <m/>
    <m/>
    <x v="0"/>
    <s v="Hukum Keluarga, UIN Sunan Kalijaga, 2016"/>
    <s v="2016038103"/>
    <m/>
    <s v="3522121603810008"/>
    <s v="Fakultas Syari'ah dan Hukum"/>
    <s v="Perbandingan Madzhab (S1)"/>
    <s v="Fiqh Indonesia"/>
  </r>
  <r>
    <n v="2"/>
    <s v="Izzatin Kamala, S.Pd.,M.Pd."/>
    <s v="198807012023212038"/>
    <x v="1"/>
    <s v="Pati "/>
    <d v="1988-07-01T00:00:00"/>
    <s v="Asisten Ahli - Dosen Sains dan Pembelajaran"/>
    <s v="1 Agustus 2023 s.d. 31 Juli 2028"/>
    <s v="X"/>
    <m/>
    <m/>
    <x v="0"/>
    <s v="Pendidikan Sains, Universitas Sebelas Maret, 2014"/>
    <s v="0701078802"/>
    <s v="222100517745"/>
    <s v="3318164107880090"/>
    <s v="Fakultas Ilmu Tarbiyah dan Keguruan"/>
    <s v="Pendidikan Guru Madrasah Ibtidaiyah (S1)"/>
    <s v="Dosen IPA MI/SD"/>
  </r>
  <r>
    <n v="3"/>
    <s v="Dinik Fitri Rahajeng Pangestuti, SE., M.Ak."/>
    <s v="198108022023212011"/>
    <x v="1"/>
    <s v="Blora "/>
    <d v="1981-08-02T00:00:00"/>
    <s v="Asisten Ahli-Dosen Akuntansi"/>
    <s v="1 Agustus 2023 s.d. 31 Juli 2028"/>
    <s v="X"/>
    <s v="Koordinator Divisi Keuangan dan Audit"/>
    <d v="2021-06-03T00:00:00"/>
    <x v="0"/>
    <s v="Akuntansi, Universitas Indonesia, 2010"/>
    <s v="0502088101"/>
    <s v="222100517756"/>
    <s v="3374134208810008"/>
    <s v="Fakultas Ekonomi dan Bisnis Islam"/>
    <s v="Akuntansi Syari'ah  (S1)"/>
    <s v="Akuntansi"/>
  </r>
  <r>
    <n v="4"/>
    <s v="Anggari Marya Kresnowati, SE,ME."/>
    <s v="199201072023212042"/>
    <x v="1"/>
    <s v="Trenggalek "/>
    <d v="1992-01-07T00:00:00"/>
    <s v="Asisten Ahli-Dosen Ilmu Ekonomi"/>
    <s v="1 Agustus 2023 s.d. 31 Juli 2028"/>
    <s v="X"/>
    <s v="Plt. Sekretaris Program Studi Ekonomi Syari'ah"/>
    <d v="2024-10-23T00:00:00"/>
    <x v="0"/>
    <s v="Ilmu Ekonomi, Universitas Brawijaya, 2016"/>
    <s v="2007019202"/>
    <m/>
    <s v=" 3503114701920001"/>
    <s v="Fakultas Ekonomi dan Bisnis Islam"/>
    <s v="Ekonomi Syari'ah  (S1)"/>
    <s v="Ilmu Ekonomi"/>
  </r>
  <r>
    <n v="5"/>
    <s v="Dr. Suhadi, S.Ag., M.A."/>
    <s v="197709132023211002"/>
    <x v="0"/>
    <s v="Kediri "/>
    <d v="1977-09-13T00:00:00"/>
    <s v="Lektor-Dosen Antropplogi Agama"/>
    <s v="1 Agustus 2023 s.d. 31 Juli 2028"/>
    <s v="XII"/>
    <m/>
    <m/>
    <x v="1"/>
    <s v="Religious Studies, Radboud Universiteit Nijmegen, Belanda, 2014"/>
    <s v="2013097703"/>
    <s v="222100517764"/>
    <s v="3404111309770003"/>
    <s v="Pascasarjana"/>
    <s v="Interdiciplinary Islamic Studies (S2)"/>
    <s v="Studi Agama Agama"/>
  </r>
  <r>
    <n v="6"/>
    <s v="Dr. Nasiruddin, S.Pd.I., M.Pd."/>
    <s v="198207112023211012"/>
    <x v="0"/>
    <s v="Bangkalan "/>
    <d v="1982-07-11T00:00:00"/>
    <s v="Lektor-Dosen Bahasa Arab"/>
    <s v="1 Agustus 2023 s.d. 31 Juli 2028"/>
    <s v="XII"/>
    <s v="Sekretaris Program Studi Magister Pendidikan Bahasa Arab"/>
    <d v="2024-10-21T00:00:00"/>
    <x v="1"/>
    <s v="Pendidikan Islam, UIN Sunan Ampel Surabaya, 2015"/>
    <s v="2111078201"/>
    <n v="212100516584"/>
    <s v="3404071107820017"/>
    <s v="Fakultas Ilmu Tarbiyah dan Keguruan"/>
    <s v="Pendidikan Bahasa Arab (S3)"/>
    <s v="Bahasa Arab"/>
  </r>
  <r>
    <n v="7"/>
    <s v="Dr. Nina Mariani Noor, SS., MA."/>
    <s v="197606112023212010"/>
    <x v="1"/>
    <s v="Pati "/>
    <d v="1976-06-11T00:00:00"/>
    <s v="Lektor-Dosen Islam Dan Moderitas"/>
    <s v="1 Agustus 2023 s.d. 31 Juli 2028"/>
    <s v="XII"/>
    <s v="Sekretaris Program Studi Program Doktor (S3) "/>
    <d v="2024-10-25T00:00:00"/>
    <x v="1"/>
    <s v="Agama dan Lintas Budaya, Universitas Gadjah Mada, 2016"/>
    <s v="2011067603"/>
    <n v="212100516581"/>
    <s v="3404125106760002"/>
    <s v="Pascasarjana"/>
    <s v="Interdiciplinary Islamic Studies (S2)"/>
    <s v="Agama dan Lintas Budaya"/>
  </r>
  <r>
    <n v="8"/>
    <s v="Dr. Sunarwoto, S.Ag.,M.A."/>
    <s v="197508052023211007"/>
    <x v="0"/>
    <s v="Demak "/>
    <d v="1975-08-05T00:00:00"/>
    <s v="Lektor-Dosen Sosiologi Agama"/>
    <s v="1 Agustus 2023 s.d. 31 Juli 2028"/>
    <s v="XII"/>
    <m/>
    <m/>
    <x v="1"/>
    <s v="Humanities, Tilburg University, Belanda 2015"/>
    <s v="2005087503"/>
    <n v="212100516590"/>
    <s v="3321090508750001"/>
    <s v="Pascasarjana"/>
    <s v="Interdiciplinary Islamic Studies (S2)"/>
    <s v="Sosiologi Islam"/>
  </r>
  <r>
    <n v="9"/>
    <s v="Mohammad Yunus, Lc., MA., Ph.D"/>
    <s v="198009032023211011"/>
    <x v="0"/>
    <s v="Pati "/>
    <d v="1980-09-03T00:00:00"/>
    <s v="Lektor-Dosen Sosiologi Agama"/>
    <s v="1 Agustus 2023 s.d. 31 Juli 2028"/>
    <s v="XII"/>
    <m/>
    <m/>
    <x v="1"/>
    <s v="Ushuluddin/Akidah Filsafat, Universitas Al Azhar Kairo, 2016"/>
    <s v="2003098003"/>
    <n v="212100516592"/>
    <s v="3318150309800001"/>
    <s v="Pascasarjana"/>
    <s v="Interdiciplinary Islamic Studies (S2)"/>
    <s v="Teologi dan Filsafat Islam"/>
  </r>
  <r>
    <n v="10"/>
    <s v="Gilang Kresnanda Annas, M.H."/>
    <s v="199109252023211022"/>
    <x v="0"/>
    <s v="Pemalang "/>
    <d v="1991-09-25T00:00:00"/>
    <s v="Asisten Ahli-Dosen Hukum Pidana"/>
    <s v="01 Desember 2023 s.d. 30 November 2028"/>
    <s v="X"/>
    <m/>
    <m/>
    <x v="0"/>
    <s v="Ilmu Hukum, Universitas Islam Indonesia, 2016"/>
    <s v="2025109101"/>
    <m/>
    <s v="3402152509910001"/>
    <s v="Fakultas Syari'ah dan Hukum"/>
    <s v="Ilmu Hukum (S1)"/>
    <s v="Hukum Pidana"/>
  </r>
  <r>
    <n v="11"/>
    <s v="Abdul Jalil, M.S.I."/>
    <s v="198108312023211009"/>
    <x v="0"/>
    <s v="Mekkah "/>
    <d v="1981-08-31T00:00:00"/>
    <s v="Asisten Ahli-Dosen Ilmu Tafsir"/>
    <s v="01 Desember 2023 s.d. 30 November 2028"/>
    <s v="X"/>
    <m/>
    <m/>
    <x v="0"/>
    <s v="Ilmu Al-qur'an, UNSIQ Jawa tengah di wonososbo, 2011"/>
    <s v="2031088101"/>
    <s v=" "/>
    <s v="3329053108810001"/>
    <s v="Fakultas Ushuluddin dan Pemikiran Islam"/>
    <s v="Ilmu Al-Qur'an dan Tafsir (S1)"/>
    <s v="Ilmu Tafsir"/>
  </r>
  <r>
    <n v="12"/>
    <s v="Najib Kailani, S.Fil.I.,MA, Ph.D."/>
    <s v="197809242023211009"/>
    <x v="0"/>
    <s v="Kab. Hulu Sungai Utara"/>
    <d v="1978-09-24T00:00:00"/>
    <s v="Lektor-Dosen Perkembangan Pemikiran Islam"/>
    <s v="01 Desember 2023 s.d. 30 November 2028"/>
    <s v="XII"/>
    <s v="Ketua Program Studi Program Magister (S2)"/>
    <d v="2024-10-25T00:00:00"/>
    <x v="1"/>
    <s v="Southeast Asian Social Inquiry, University of New South Wales, Australia, 2015"/>
    <s v="2024097801"/>
    <n v="212100516585"/>
    <s v="3471032409780003"/>
    <s v="Pascasarjana"/>
    <s v="Interdiciplinary Islamic Studies (S2)"/>
    <s v="Antropologi Islam"/>
  </r>
  <r>
    <n v="13"/>
    <s v="Zaen Musyrifin, S.Sos.I, M.Pd.I."/>
    <s v="199004282023211029"/>
    <x v="0"/>
    <s v="Purbalingga "/>
    <d v="1990-04-28T00:00:00"/>
    <s v="Asisten Ahli-Dosen Bimbingan dan Konseling Islam"/>
    <s v="01 Desember 2023 s.d. 30 November 2028"/>
    <s v="X"/>
    <s v="Plt. Ketua Prodi Bimbingan Konseling Islam"/>
    <d v="2024-10-21T00:00:00"/>
    <x v="0"/>
    <s v="Pendidikan Islam Konsentrasi Bimbingan dan konseling Islam, UIN Sunan Kalijaga, 2014"/>
    <s v="2028049002"/>
    <s v="222100517753"/>
    <s v="3303062804900001"/>
    <s v="Fakultas Dakwah dan Komunikasi"/>
    <s v="Bimbingan dan Konseling Islam (S1)"/>
    <s v="Bimbingan &amp; Konseling Islam"/>
  </r>
  <r>
    <n v="14"/>
    <s v="Fitri Atur Arum, S.H., M.H., M.Sc."/>
    <s v="199103242023212037"/>
    <x v="1"/>
    <s v="Bantul "/>
    <d v="1991-03-24T00:00:00"/>
    <s v="Asisten Ahli-Dosen Hukum Tata Negara"/>
    <s v="01 Desember 2023 s.d. 30 November 2028"/>
    <s v="X"/>
    <m/>
    <m/>
    <x v="0"/>
    <s v="Ilmu Hukum, Universitas Islam Indonesia, 2016"/>
    <s v="2024039101"/>
    <m/>
    <s v="340204603910002"/>
    <s v="Fakultas Syari'ah dan Hukum"/>
    <s v="Hukum Tata Negara (Siyasah) (S1)"/>
    <s v="Hukum Tata Negara"/>
  </r>
  <r>
    <n v="15"/>
    <s v="Mahmudah, Lc., M.S.I"/>
    <s v="197809222024212005"/>
    <x v="1"/>
    <s v="Kab. Cirebon"/>
    <d v="1978-09-22T00:00:00"/>
    <s v="Asisten Ahli"/>
    <s v="01 Maret 2024 sampai dengan 28 Februari 2029"/>
    <s v="X"/>
    <m/>
    <m/>
    <x v="0"/>
    <s v="S2 Pendidikan Islam Konsentrasi Manajemen dan Kebijakan Pendidikan Islam UIN Sunan Kalijaga Yogyakarta Tahun 2009"/>
    <s v="2122097801"/>
    <m/>
    <s v="‌3209266209780001"/>
    <s v="Fak. Ilmu Tarbiyah dan Keguruan"/>
    <s v="Pendidikan Bahasa Arab (S1)"/>
    <s v="Pendidikan Bahasa Arab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m/>
    <m/>
    <x v="0"/>
    <m/>
    <m/>
    <m/>
    <m/>
    <m/>
    <m/>
    <m/>
    <s v="JABATAN"/>
    <m/>
    <s v="GOL"/>
    <s v="MASA KERJA"/>
    <m/>
    <x v="0"/>
    <m/>
    <s v="PENSIUN"/>
    <m/>
  </r>
  <r>
    <s v="BIRO ADMINISTRASI UMUM DAN KEUANGAN"/>
    <m/>
    <x v="0"/>
    <m/>
    <m/>
    <m/>
    <m/>
    <m/>
    <s v=" "/>
    <m/>
    <m/>
    <m/>
    <m/>
    <s v=" "/>
    <m/>
    <x v="0"/>
    <m/>
    <m/>
    <m/>
  </r>
  <r>
    <n v="1"/>
    <s v="Dr. H. Ali Sodiq, S.Ag., M.A."/>
    <x v="1"/>
    <s v="Trenggalek"/>
    <s v="24-08-1971"/>
    <s v="197108241998031001"/>
    <s v="3471142408710001"/>
    <m/>
    <s v="Kepala Biro Adm. Umum dan Keuangan"/>
    <s v="Biro Administrasi Umum dan Keuangan"/>
    <d v="2023-02-15T00:00:00"/>
    <s v="IV/c"/>
    <d v="2022-04-01T00:00:00"/>
    <n v="24"/>
    <n v="1"/>
    <x v="1"/>
    <s v="Pendidikan Agama Islam, UIN Sunan Kalijaga Tahun 2022"/>
    <d v="2031-09-01T00:00:00"/>
    <s v=" "/>
  </r>
  <r>
    <n v="3"/>
    <s v="Dra. Rahmi Tri Mei Maharani, MM."/>
    <x v="2"/>
    <s v="Karanganyar"/>
    <d v="1967-05-03T00:00:00"/>
    <s v="196705031994032001"/>
    <s v="3471144305670001"/>
    <m/>
    <s v="Pranata Humas Ahli Madya"/>
    <s v="Biro Administrasi Umum dan Keuangan"/>
    <d v="2021-12-30T00:00:00"/>
    <s v="IV/b"/>
    <d v="2017-04-01T00:00:00"/>
    <n v="23"/>
    <n v="1"/>
    <x v="2"/>
    <s v="S2 STIE Mitra Indonesia 2012, Manajemen   "/>
    <s v="01-06-2027"/>
    <m/>
  </r>
  <r>
    <n v="4"/>
    <s v="Sri Puspita Murni, SE., MM."/>
    <x v="2"/>
    <s v="Sleman"/>
    <d v="1972-07-22T00:00:00"/>
    <s v="197207221998032004"/>
    <s v="3404066207720003"/>
    <m/>
    <s v="Analis SDM Aparatur Ahli Madya  "/>
    <s v="Biro Administrasi Umum dan Keuangan"/>
    <d v="2021-12-30T00:00:00"/>
    <s v="IV/b"/>
    <d v="2024-04-01T00:00:00"/>
    <n v="26"/>
    <n v="1"/>
    <x v="2"/>
    <s v="Magister Manajemen STIE Widya Wiwaha Tahun 2020"/>
    <d v="2032-08-01T00:00:00"/>
    <s v=" "/>
  </r>
  <r>
    <n v="5"/>
    <s v="Hj. Sutriyani, S.Sos., MM."/>
    <x v="2"/>
    <s v="Semarang"/>
    <d v="1967-05-01T00:00:00"/>
    <s v="196705011993032014"/>
    <s v="9171034105670003"/>
    <m/>
    <s v="Analis Organisasi dan Tata Laksana"/>
    <s v="Biro Administrasi Umum dan Keuangan"/>
    <m/>
    <s v="IV/a"/>
    <s v="01-04-2020"/>
    <n v="22"/>
    <n v="1"/>
    <x v="2"/>
    <s v="UNCEN, Manajemen, 2008"/>
    <d v="2025-06-01T00:00:00"/>
    <d v="2017-03-01T00:00:00"/>
  </r>
  <r>
    <n v="6"/>
    <s v="Ratna Windah Lestari, SIP., MM."/>
    <x v="2"/>
    <s v="Yogyakarta"/>
    <d v="1974-03-21T00:00:00"/>
    <s v="197403212006042006"/>
    <s v="3404066103740003"/>
    <m/>
    <s v="Analis Keuangan APBN Ahli Muda"/>
    <s v="Biro Administrasi Umum dan Keuangan"/>
    <d v="2020-12-18T00:00:00"/>
    <s v="IV/a"/>
    <d v="2022-04-01T00:00:00"/>
    <n v="23"/>
    <n v="5"/>
    <x v="2"/>
    <s v="Magister Manajemen Universitas Widya Wiwaha Tahun 2012"/>
    <s v="01-04-2032"/>
    <d v="2016-01-11T00:00:00"/>
  </r>
  <r>
    <n v="7"/>
    <s v="Dra. Sri Wahyuni"/>
    <x v="2"/>
    <s v="Magelang"/>
    <d v="1967-06-20T00:00:00"/>
    <s v="196706201993032002"/>
    <s v="1119162005670002"/>
    <m/>
    <s v="Analis SDM Aparatur Ahli Muda"/>
    <s v="Biro Administrasi Umum dan Keuangan"/>
    <d v="2020-12-18T00:00:00"/>
    <s v="III/d"/>
    <s v="01-04-2006"/>
    <n v="13"/>
    <n v="1"/>
    <x v="3"/>
    <s v="IKIP Semarang, Kependidikan"/>
    <d v="2025-07-01T00:00:00"/>
    <s v=" "/>
  </r>
  <r>
    <n v="8"/>
    <s v="Wiwin Esti Wulandari, SE"/>
    <x v="2"/>
    <s v="Banyuwangi "/>
    <d v="1974-10-17T00:00:00"/>
    <s v="197410172005012008"/>
    <s v="3404025710740003"/>
    <m/>
    <s v="Analis Keuangan APBN Ahli Muda"/>
    <s v="Biro Administrasi Umum dan Keuangan"/>
    <d v="2021-04-01T00:00:00"/>
    <s v="III/d"/>
    <d v="2017-04-01T00:00:00"/>
    <n v="12"/>
    <n v="3"/>
    <x v="3"/>
    <s v="Manajemen, Universitas Jember Tahun 1997"/>
    <d v="2032-11-01T00:00:00"/>
    <d v="2019-01-01T00:00:00"/>
  </r>
  <r>
    <n v="9"/>
    <s v="Lyna Rifa'ah, SE."/>
    <x v="2"/>
    <s v="Lamongan"/>
    <d v="1980-05-30T00:00:00"/>
    <s v="198005302006042012"/>
    <s v="3402157005800002"/>
    <m/>
    <s v="Analis SDM Aparatur Ahli Muda"/>
    <s v="Biro Administrasi Umum dan Keuangan"/>
    <d v="2019-07-01T00:00:00"/>
    <s v="III/d"/>
    <s v="01-04-2018"/>
    <n v="12"/>
    <n v="0"/>
    <x v="3"/>
    <s v="Ekonomi Manajemen Pemasaran Tahun 2004"/>
    <d v="2038-06-01T00:00:00"/>
    <d v="2017-02-01T00:00:00"/>
  </r>
  <r>
    <n v="10"/>
    <s v="Winarko, SIP"/>
    <x v="1"/>
    <s v="Sleman"/>
    <d v="1970-10-24T00:00:00"/>
    <s v="197010242003121001"/>
    <s v="3404042417000001"/>
    <m/>
    <s v="Analis Pengembangan SDM Aparatur"/>
    <s v="Biro Administrasi Umum dan Keuangan"/>
    <m/>
    <s v="III/d"/>
    <d v="2022-04-01T00:00:00"/>
    <n v="26"/>
    <n v="5"/>
    <x v="3"/>
    <s v="Univ. Widya Mataram Yogyakarta, Ilmu Administrasi Negara Tahun 2008"/>
    <d v="2028-11-01T00:00:00"/>
    <d v="2007-01-02T00:00:00"/>
  </r>
  <r>
    <n v="11"/>
    <s v="Aulia Mawaddah Anshory, S.E.I."/>
    <x v="2"/>
    <s v="Yogyakarta"/>
    <d v="1984-04-18T00:00:00"/>
    <s v="198404182009122004"/>
    <s v="3471015804840007"/>
    <m/>
    <s v="Bendahara"/>
    <s v="Biro Administrasi Umum dan Keuangan"/>
    <m/>
    <s v="III/d"/>
    <d v="2022-04-01T00:00:00"/>
    <n v="12"/>
    <n v="4"/>
    <x v="3"/>
    <s v="UIN Suka Muamalat Tahun 2009"/>
    <d v="2042-05-01T00:00:00"/>
    <d v="2010-06-01T00:00:00"/>
  </r>
  <r>
    <n v="12"/>
    <s v="Yuli Triwahyuningsih, A.Md"/>
    <x v="2"/>
    <s v="Yogyakarta"/>
    <d v="1971-07-05T00:00:00"/>
    <s v="197107051994032004"/>
    <s v="3471074507710001"/>
    <m/>
    <s v="Pranata Keuangan Anggaran Pendapatan dan Belanja Negara"/>
    <s v="Biro Administrasi Umum dan Keuangan"/>
    <d v="2021-04-01T00:00:00"/>
    <s v="III/d"/>
    <d v="2022-10-01T00:00:00"/>
    <n v="23"/>
    <n v="7"/>
    <x v="4"/>
    <m/>
    <d v="2029-08-01T00:00:00"/>
    <d v="2011-07-01T00:00:00"/>
  </r>
  <r>
    <n v="13"/>
    <s v="Erna Susilastuti, S.E."/>
    <x v="2"/>
    <s v="Sleman"/>
    <d v="1978-09-29T00:00:00"/>
    <s v="197809292011012007"/>
    <s v="3311126909780010"/>
    <m/>
    <s v="Bendahara"/>
    <s v="Biro Administrasi Umum dan Keuangan"/>
    <m/>
    <s v="III/d"/>
    <d v="2023-04-01T00:00:00"/>
    <n v="12"/>
    <n v="3"/>
    <x v="3"/>
    <s v="UPN Veteran Yogyakarta, Akuntasi Tahun 2003"/>
    <d v="2036-10-01T00:00:00"/>
    <d v="2011-04-01T00:00:00"/>
  </r>
  <r>
    <n v="14"/>
    <s v="Esensiana Rabbul'izati Al Fikriah, S.E."/>
    <x v="2"/>
    <s v="Magelang"/>
    <d v="1988-03-31T00:00:00"/>
    <s v="198803312011012011"/>
    <s v="3308087103880002"/>
    <m/>
    <s v="Pengolah Daftar Gaji"/>
    <s v="Biro Administrasi Umum dan Keuangan"/>
    <m/>
    <s v="III/d"/>
    <d v="2023-04-01T00:00:00"/>
    <n v="12"/>
    <n v="3"/>
    <x v="3"/>
    <s v="Akuntasi Tahun 2010"/>
    <d v="2046-04-01T00:00:00"/>
    <d v="2019-04-15T00:00:00"/>
  </r>
  <r>
    <n v="15"/>
    <s v="Luthfi Aji Asmoro, S.H., M.H."/>
    <x v="1"/>
    <s v="Yogyakarta"/>
    <s v="16-08-1976"/>
    <s v="197608162011011005"/>
    <s v="3404042417000001"/>
    <m/>
    <s v="Analis Hukum Ahli Muda"/>
    <s v="Biro Administrasi Umum dan Keuangan"/>
    <s v=" "/>
    <s v="III/c"/>
    <d v="2019-04-01T00:00:00"/>
    <n v="8"/>
    <n v="3"/>
    <x v="2"/>
    <s v="S2, Ilmu Hukum, UII Yogyakarta, Tahun 2009"/>
    <d v="2034-09-01T00:00:00"/>
    <d v="2017-06-01T00:00:00"/>
  </r>
  <r>
    <n v="16"/>
    <s v="Galih  Pusantoro, SE"/>
    <x v="1"/>
    <s v="Cilacap"/>
    <d v="1979-06-26T00:00:00"/>
    <s v="197906282011011003"/>
    <s v="3175062806791004"/>
    <m/>
    <s v="Analis SDM Aparatur Ahli Muda"/>
    <s v="Biro Administrasi Umum dan Keuangan"/>
    <d v="2024-10-01T00:00:00"/>
    <s v="III/c"/>
    <d v="2019-10-01T00:00:00"/>
    <n v="8"/>
    <n v="9"/>
    <x v="3"/>
    <s v="Ekonomi UGM Tahun 2004"/>
    <d v="2037-07-01T00:00:00"/>
    <d v="2021-08-02T00:00:00"/>
  </r>
  <r>
    <n v="17"/>
    <s v="Subagio, M.Sn."/>
    <x v="1"/>
    <s v="Jakarta"/>
    <d v="1978-10-09T00:00:00"/>
    <s v="197810091999031001"/>
    <s v="3402120910780001"/>
    <m/>
    <s v="Analis Keuangan APBN Ahli Muda"/>
    <s v="Biro Administrasi Umum dan Keuangan"/>
    <d v="2023-11-01T00:00:00"/>
    <s v="III/c"/>
    <d v="2020-04-01T00:00:00"/>
    <n v="16"/>
    <n v="1"/>
    <x v="3"/>
    <s v="Universitas Terbuka, Manajemen, Tahun 2010"/>
    <d v="2036-11-01T00:00:00"/>
    <d v="2017-08-28T00:00:00"/>
  </r>
  <r>
    <n v="18"/>
    <s v="Yuni Sulistyowati, A. Md."/>
    <x v="2"/>
    <s v="Yogyakarta"/>
    <d v="1982-06-01T00:00:00"/>
    <s v="198206012005012017"/>
    <s v="3471114106820001"/>
    <m/>
    <s v="Analis Organisasi dan Tata Laksana"/>
    <s v="Biro Administrasi Umum dan Keuangan"/>
    <m/>
    <s v="III/c"/>
    <s v="01-04-2021"/>
    <n v="14"/>
    <n v="3"/>
    <x v="4"/>
    <s v="Politeknik PPKP Yogyakarta, Manajemen Informatika"/>
    <d v="2040-07-01T00:00:00"/>
    <d v="2005-01-01T00:00:00"/>
  </r>
  <r>
    <n v="19"/>
    <s v="Nur Fitriyanto, S.E.I., M.E."/>
    <x v="1"/>
    <s v="Sukoharjo"/>
    <s v="27-04-1990"/>
    <s v="199004272015031006"/>
    <s v="3311012704900001"/>
    <m/>
    <s v="Perencana Ahli Pertama"/>
    <s v="Biro Administrasi Umum dan Keuangan"/>
    <d v="2024-05-01T00:00:00"/>
    <s v="III/c"/>
    <d v="2023-04-01T00:00:00"/>
    <n v="8"/>
    <n v="1"/>
    <x v="2"/>
    <s v="Ekonomi Syari'ah UIN Sunan Kalijaga Tahun 2020"/>
    <d v="2048-05-01T00:00:00"/>
    <d v="2022-01-01T00:00:00"/>
  </r>
  <r>
    <n v="20"/>
    <s v="Fitria Dwi Rahayu, S.Pd., M.Pd."/>
    <x v="2"/>
    <s v="Grobogan"/>
    <s v="08-01-1987"/>
    <s v="198701082015032004"/>
    <s v="3315064801870004"/>
    <m/>
    <s v="Bendahara"/>
    <s v="Biro Administrasi Umum dan Keuangan"/>
    <m/>
    <s v="III/c"/>
    <d v="2023-04-01T00:00:00"/>
    <n v="8"/>
    <n v="1"/>
    <x v="2"/>
    <s v="Magister Pengkajian Bahasa UMS Tahun 2011"/>
    <d v="2045-02-01T00:00:00"/>
    <d v="2022-01-01T00:00:00"/>
  </r>
  <r>
    <n v="21"/>
    <s v="Abdul Azis Widagdo"/>
    <x v="1"/>
    <s v="Sleman"/>
    <s v="23-06-1970"/>
    <s v="197006232007011025"/>
    <s v="3404172306700001"/>
    <m/>
    <s v="Penyusun Bahan Informasi"/>
    <s v="Biro Administrasi Umum dan Keuangan"/>
    <m/>
    <s v="III/a"/>
    <d v="2023-04-01T00:00:00"/>
    <n v="24"/>
    <n v="3"/>
    <x v="5"/>
    <s v="SMA IPS Tahun 1990"/>
    <d v="2028-07-01T00:00:00"/>
    <d v="2009-03-02T00:00:00"/>
  </r>
  <r>
    <n v="22"/>
    <s v="Basuki"/>
    <x v="1"/>
    <s v="Bantul"/>
    <s v="18-09-1977"/>
    <s v="197709182009101001"/>
    <s v="3402141612820002"/>
    <m/>
    <s v="Pengadministrasi Umum"/>
    <s v="Biro Administrasi Umum dan Keuangan"/>
    <m/>
    <s v="II/d"/>
    <d v="2021-10-01T00:00:00"/>
    <n v="20"/>
    <n v="9"/>
    <x v="6"/>
    <s v="Piri 3 Yogyakarta"/>
    <d v="2035-10-01T00:00:00"/>
    <d v="2024-01-02T00:00:00"/>
  </r>
  <r>
    <n v="23"/>
    <s v="Tasya Rifanis Shovia, A.Md. Ak."/>
    <x v="2"/>
    <s v="Temanggung"/>
    <d v="1999-06-06T00:00:00"/>
    <s v="199906062022032002"/>
    <s v="'3374124606990005"/>
    <m/>
    <s v="Verifikator Anggaran"/>
    <s v="Biro Administrasi Umum dan Keuangan"/>
    <m/>
    <s v="II/c"/>
    <d v="2022-03-01T00:00:00"/>
    <n v="0"/>
    <n v="0"/>
    <x v="4"/>
    <s v="Akuntansi Politeknik Negeri Semarang"/>
    <d v="2057-07-01T00:00:00"/>
    <d v="2020-01-01T00:00:00"/>
  </r>
  <r>
    <n v="24"/>
    <s v="Amir Hadi"/>
    <x v="1"/>
    <s v="Sleman"/>
    <d v="1968-04-12T00:00:00"/>
    <s v="196804122014111006"/>
    <s v="3404101204680001"/>
    <m/>
    <s v="Pengadministrasi Persuratan"/>
    <s v="Biro Administrasi Umum dan Keuangan"/>
    <m/>
    <s v="II/c"/>
    <d v="2023-04-01T00:00:00"/>
    <n v="19"/>
    <n v="3"/>
    <x v="7"/>
    <s v="Perkantoran"/>
    <d v="2026-05-01T00:00:00"/>
    <d v="2017-07-03T00:00:00"/>
  </r>
  <r>
    <s v="BAGIAN UMUM"/>
    <m/>
    <x v="0"/>
    <m/>
    <m/>
    <m/>
    <m/>
    <m/>
    <m/>
    <m/>
    <m/>
    <m/>
    <m/>
    <m/>
    <m/>
    <x v="0"/>
    <m/>
    <m/>
    <m/>
  </r>
  <r>
    <n v="1"/>
    <s v="Radiman, ST., M.T."/>
    <x v="1"/>
    <s v="Cilacap"/>
    <s v="27-12-1978"/>
    <s v="197812272009011007"/>
    <s v="3404062712780006"/>
    <m/>
    <s v="Kepala Bagian Umum Biro AUK"/>
    <s v="Bagian umum Biro AUK"/>
    <d v="2023-04-03T00:00:00"/>
    <s v="III/d"/>
    <d v="2021-04-01T00:00:00"/>
    <n v="12"/>
    <n v="3"/>
    <x v="2"/>
    <s v="UII, Magister Teknik, 2016 "/>
    <d v="2037-01-01T00:00:00"/>
    <d v="2010-03-01T00:00:00"/>
  </r>
  <r>
    <n v="2"/>
    <s v="Agus Suroso, SE."/>
    <x v="1"/>
    <s v="Bantul"/>
    <d v="1974-02-07T00:00:00"/>
    <s v="197402072002121002"/>
    <s v="3402120702740001"/>
    <m/>
    <s v="Kepala Sub. Bagian Perlengkapan dan Pengadaan Barang/Jasa Bagian Umum Biro AUK"/>
    <s v="Bagian umum Biro AUK"/>
    <d v="2023-04-03T00:00:00"/>
    <s v="III/d"/>
    <d v="2015-04-01T00:00:00"/>
    <n v="12"/>
    <n v="4"/>
    <x v="3"/>
    <s v="S1, STIE Widya Wiwaha Fak. Ekonomi Akuntansi Tahun 1997 "/>
    <d v="2032-03-01T00:00:00"/>
    <s v=" "/>
  </r>
  <r>
    <n v="3"/>
    <s v="Suswini, S.E., M.Acc."/>
    <x v="2"/>
    <s v="Jakarta"/>
    <s v="16-05-1977"/>
    <s v="197705162006042001"/>
    <s v="3402125605770005"/>
    <m/>
    <s v="Kasubbag Tata Usaha dan Rumah Tangga Bagian Umum Biro AUK"/>
    <s v="Bagian umum Biro AUK"/>
    <d v="2022-04-01T00:00:00"/>
    <s v="IV/a"/>
    <d v="2022-04-01T00:00:00"/>
    <n v="16"/>
    <n v="0"/>
    <x v="2"/>
    <s v="UGM, Magister Akuntansi, 2016"/>
    <d v="2035-06-01T00:00:00"/>
    <s v=" "/>
  </r>
  <r>
    <n v="4"/>
    <s v="Yudhi Risti Purnomo, S.A.P."/>
    <x v="1"/>
    <s v="Kulon Progo"/>
    <s v="27-01-1988"/>
    <s v="198801272009122003"/>
    <s v="3301106701880008"/>
    <m/>
    <s v="Arsiparis Ahli Muda  "/>
    <s v="Bagian umum Biro AUK"/>
    <d v="2020-03-01T00:00:00"/>
    <s v="III/d"/>
    <d v="2024-06-01T00:00:00"/>
    <n v="12"/>
    <n v="6"/>
    <x v="3"/>
    <s v="Ilmu Administrasi Negara  Kons. Manajemen Pembangunan Daerah Sekolah Tinggi Ilmu Administrasi Lembaga Administrasi Negara Tahun 2017"/>
    <d v="2046-02-01T00:00:00"/>
    <d v="2023-01-02T00:00:00"/>
  </r>
  <r>
    <n v="5"/>
    <s v="Wahyu Setianingsih, S.H, MM."/>
    <x v="2"/>
    <s v="Sleman"/>
    <d v="1978-11-22T00:00:00"/>
    <s v="197811222005012005"/>
    <s v="3471016211780001"/>
    <m/>
    <s v="Arsiparis Ahli Muda  "/>
    <s v="Bagian umum Biro AUK"/>
    <d v="2018-12-01T00:00:00"/>
    <s v="III/d"/>
    <s v="01-04-2021"/>
    <n v="12"/>
    <n v="3"/>
    <x v="2"/>
    <s v="Manajemen SDM STIE Widya Wiwaha Tahun 2020"/>
    <d v="2036-12-01T00:00:00"/>
    <s v="01-01-2005"/>
  </r>
  <r>
    <n v="6"/>
    <s v="Faozi Barkah, S.Ag, SH"/>
    <x v="1"/>
    <s v="Garut"/>
    <d v="1973-04-21T00:00:00"/>
    <s v="197304212000031002"/>
    <s v="3471032104730003"/>
    <m/>
    <s v="Pranata Humas Ahli Muda "/>
    <s v="Bagian umum Biro AUK"/>
    <d v="2021-12-30T00:00:00"/>
    <s v="III/d"/>
    <d v="2017-04-01T00:00:00"/>
    <n v="12"/>
    <n v="1"/>
    <x v="3"/>
    <s v="Peradilan Islam 1999/UMY Ilmu Hukum 2003"/>
    <d v="2031-05-01T00:00:00"/>
    <s v=" "/>
  </r>
  <r>
    <n v="7"/>
    <s v="Sri Nurtini, S.IP"/>
    <x v="2"/>
    <s v="Bantul"/>
    <d v="1967-04-21T00:00:00"/>
    <s v="196704211989032004"/>
    <s v="3402096104670006"/>
    <m/>
    <s v="Pengadministrasi Umum"/>
    <s v="Subbag. Tata Usaha dan Rumah Tangga pada Bagian Umum Biro AUK"/>
    <m/>
    <s v="III/d"/>
    <s v="01-04-2019"/>
    <n v="25"/>
    <n v="1"/>
    <x v="3"/>
    <s v="UNPROK 45 Yogyakarta Administrasi Negara 2009"/>
    <d v="2025-05-01T00:00:00"/>
    <d v="2009-03-02T00:00:00"/>
  </r>
  <r>
    <n v="8"/>
    <s v="Sukandar Purnomo, SIP."/>
    <x v="1"/>
    <s v="Bantul"/>
    <d v="1967-02-03T00:00:00"/>
    <s v="196702031992011001"/>
    <s v="3402020302670001"/>
    <m/>
    <s v="Pengadministrasi Umum"/>
    <s v="Subbag. Tata Usaha dan Rumah Tangga pada Bagian Umum Biro AUK"/>
    <m/>
    <s v="III/d"/>
    <d v="2020-04-01T00:00:00"/>
    <n v="23"/>
    <n v="3"/>
    <x v="3"/>
    <s v="Universitas Proklamasi Yogyakarta, Administrasi Negara 2008"/>
    <d v="2025-03-01T00:00:00"/>
    <d v="2005-01-01T00:00:00"/>
  </r>
  <r>
    <n v="9"/>
    <s v="Dra. Weni Hidayati"/>
    <x v="2"/>
    <s v="Wonogiri"/>
    <d v="1967-05-03T00:00:00"/>
    <s v="196705031993032004"/>
    <s v="3404024305670004"/>
    <m/>
    <s v="Penyusun Bahan Publikasi"/>
    <s v="Subbag. Tata Usaha dan Rumah Tangga pada Bagian Umum Biro AUK"/>
    <m/>
    <s v="III/d"/>
    <d v="2006-10-01T00:00:00"/>
    <n v="13"/>
    <n v="1"/>
    <x v="3"/>
    <s v="UNS Surakarta, Komunikasi Massa"/>
    <d v="2025-06-01T00:00:00"/>
    <d v="2017-07-03T00:00:00"/>
  </r>
  <r>
    <n v="10"/>
    <s v="Zaim Shiddiq, S.Si"/>
    <x v="1"/>
    <s v="Kebumen"/>
    <d v="1982-09-05T00:00:00"/>
    <s v="198209052006041004"/>
    <s v="3402120406660003"/>
    <m/>
    <s v="Pengelola Unit Layanan Pengadaan"/>
    <s v="Subbag. Perlengkapan dan Pengadaan Barang/Jasa pada Bagian Umum Biro AUK"/>
    <m/>
    <s v="III/d"/>
    <d v="2018-04-01T00:00:00"/>
    <n v="12"/>
    <n v="0"/>
    <x v="3"/>
    <s v="UGM, Kimia"/>
    <d v="2040-10-01T00:00:00"/>
    <d v="2022-01-01T00:00:00"/>
  </r>
  <r>
    <n v="11"/>
    <s v="Baharuddin"/>
    <x v="1"/>
    <s v="Yogyakarta"/>
    <d v="1969-10-28T00:00:00"/>
    <s v="196910281990021001"/>
    <s v="3471032810690001"/>
    <m/>
    <s v="Teknisi Mesin"/>
    <s v="Subbag. Tata Usaha dan Rumah Tangga pada Bagian Umum Biro AUK"/>
    <m/>
    <s v="III/b"/>
    <d v="2009-10-01T00:00:00"/>
    <n v="15"/>
    <n v="9"/>
    <x v="8"/>
    <s v="Negeri I Yogyakarta, Mesin Produksi"/>
    <d v="2027-11-01T00:00:00"/>
    <d v="2011-03-30T00:00:00"/>
  </r>
  <r>
    <n v="12"/>
    <s v="Sri Budihartati"/>
    <x v="2"/>
    <s v="Sleman"/>
    <d v="1967-05-18T00:00:00"/>
    <s v="196705181992022001"/>
    <s v="3404085805670001"/>
    <m/>
    <s v="Pengadministrasi Umum"/>
    <s v="Subbag. Tata Usaha dan Rumah Tangga pada Bagian Umum Biro AUK"/>
    <m/>
    <s v="III/b"/>
    <d v="2012-04-01T00:00:00"/>
    <n v="16"/>
    <n v="5"/>
    <x v="5"/>
    <s v="Panca Marga Bhakti Kutoarjo"/>
    <d v="2025-06-01T00:00:00"/>
    <d v="2011-05-16T00:00:00"/>
  </r>
  <r>
    <n v="13"/>
    <s v="Haryanto, SIP"/>
    <x v="1"/>
    <s v="Sleman"/>
    <s v="08-05-1970"/>
    <s v="197005082007011028"/>
    <s v="3404050805700001"/>
    <m/>
    <s v="Pengadministrasi Umum"/>
    <s v="Subbag. Perlengkapan dan Pengadaan Barang/Jasa pada Bagian Umum Biro AUK"/>
    <m/>
    <s v="III/b"/>
    <d v="2023-04-01T00:00:00"/>
    <n v="21"/>
    <n v="5"/>
    <x v="3"/>
    <s v="Ilmu Politik Tahun 2017"/>
    <d v="2028-06-01T00:00:00"/>
    <d v="2023-01-09T00:00:00"/>
  </r>
  <r>
    <n v="14"/>
    <s v="Asri Wuryani, A.Md."/>
    <x v="2"/>
    <s v="Bantul"/>
    <s v="26-09-1982"/>
    <s v="198209262010122001"/>
    <s v="3402176609820001"/>
    <m/>
    <s v="Pengelola Unit Layanan Pengadaan"/>
    <s v="Subbag. Perlengkapan dan Pengadaan Barang/Jasa pada Bagian Umum Biro AUK"/>
    <m/>
    <s v="III/b"/>
    <d v="2019-04-01T00:00:00"/>
    <n v="6"/>
    <n v="4"/>
    <x v="4"/>
    <s v="Peternakan Tahun 2003"/>
    <d v="2040-10-01T00:00:00"/>
    <d v="2022-12-01T00:00:00"/>
  </r>
  <r>
    <n v="15"/>
    <s v="Danang Moewindaka"/>
    <x v="1"/>
    <s v="Bantul"/>
    <s v="27-04-1971"/>
    <s v="197104272007011021"/>
    <s v="3402082704710004"/>
    <m/>
    <s v="Pengadministrasi Sarana dan Prasarana"/>
    <s v="Subbag. Tata Usaha dan Rumah Tangga pada Bagian Umum Biro AUK"/>
    <m/>
    <s v="III/a"/>
    <d v="2023-04-01T00:00:00"/>
    <n v="25"/>
    <n v="4"/>
    <x v="5"/>
    <m/>
    <d v="2029-05-01T00:00:00"/>
    <d v="2024-01-02T00:00:00"/>
  </r>
  <r>
    <n v="16"/>
    <s v="Hayudito"/>
    <x v="1"/>
    <s v="Sleman"/>
    <d v="1973-08-21T00:00:00"/>
    <s v="197308212007011028"/>
    <s v="3404072108730001"/>
    <m/>
    <s v="Petugas Keamanan"/>
    <s v="Subbag. Tata Usaha dan Rumah Tangga pada Bagian Umum Biro AUK"/>
    <m/>
    <s v="III/a"/>
    <d v="2023-04-01T00:00:00"/>
    <n v="21"/>
    <n v="5"/>
    <x v="9"/>
    <m/>
    <d v="2031-09-01T00:00:00"/>
    <d v="2009-05-01T00:00:00"/>
  </r>
  <r>
    <n v="17"/>
    <s v="Sukijo"/>
    <x v="1"/>
    <s v="Kulonprogo"/>
    <s v="24-02-1967"/>
    <s v="196702242007011019"/>
    <s v="3401042402670001"/>
    <m/>
    <s v="Pranata Reproduksi Arsip"/>
    <s v="Subbag. Tata Usaha dan Rumah Tangga pada Bagian Umum Biro AUK"/>
    <m/>
    <s v="III/a"/>
    <d v="2023-04-01T00:00:00"/>
    <n v="26"/>
    <n v="10"/>
    <x v="5"/>
    <s v="SMA IPS Tahun 1986"/>
    <d v="2025-03-01T00:00:00"/>
    <d v="2010-03-08T00:00:00"/>
  </r>
  <r>
    <n v="18"/>
    <s v="Wagino"/>
    <x v="1"/>
    <s v="Yogyakarta"/>
    <s v="22-09-1968"/>
    <s v="196809222007011017"/>
    <s v="3404072209680002"/>
    <m/>
    <s v="Teknisi Mesin"/>
    <s v="Subbag. Tata Usaha dan Rumah Tangga pada Bagian Umum Biro AUK"/>
    <m/>
    <s v="III/a"/>
    <d v="2023-04-01T00:00:00"/>
    <n v="26"/>
    <n v="2"/>
    <x v="8"/>
    <m/>
    <d v="2026-10-01T00:00:00"/>
    <d v="2008-05-19T00:00:00"/>
  </r>
  <r>
    <n v="19"/>
    <s v="Zuwono"/>
    <x v="1"/>
    <s v="Bantul"/>
    <s v="17-12-1974"/>
    <s v="197412172009011006"/>
    <s v="3402121712740002"/>
    <m/>
    <s v="Pengadministrasi Umum"/>
    <s v="Subbag. Tata Usaha dan Rumah Tangga pada Bagian Umum Biro AUK"/>
    <m/>
    <s v="II/d"/>
    <d v="2021-04-01T00:00:00"/>
    <n v="22"/>
    <n v="11"/>
    <x v="8"/>
    <s v="Mesin 1995"/>
    <d v="2032-01-01T00:00:00"/>
    <d v="2022-01-01T00:00:00"/>
  </r>
  <r>
    <n v="20"/>
    <s v="Sudiyono"/>
    <x v="1"/>
    <s v="Bantul"/>
    <s v="04-06-1975"/>
    <s v="197506042009011009"/>
    <s v="3402150406750003"/>
    <m/>
    <s v="Petugas Keamanan ditugaskan sebagai Komandan Keamanan"/>
    <s v="Subbag. Tata Usaha dan Rumah Tangga pada Bagian Umum Biro AUK"/>
    <m/>
    <s v="II/d"/>
    <d v="2021-04-01T00:00:00"/>
    <n v="22"/>
    <n v="11"/>
    <x v="5"/>
    <n v="1995"/>
    <d v="2033-07-01T00:00:00"/>
    <d v="2010-02-01T00:00:00"/>
  </r>
  <r>
    <n v="21"/>
    <s v="Sunardi"/>
    <x v="1"/>
    <s v="Bantul"/>
    <s v="08-02-1971"/>
    <s v="197102082009101002"/>
    <s v="3402152201620002"/>
    <m/>
    <s v="Pengadministrasi Sarana dan Prasarana"/>
    <s v="Subbag. Tata Usaha dan Rumah Tangga pada Bagian Umum Biro AUK"/>
    <m/>
    <s v="II/d"/>
    <d v="2021-10-01T00:00:00"/>
    <n v="19"/>
    <n v="8"/>
    <x v="10"/>
    <m/>
    <d v="2029-03-01T00:00:00"/>
    <d v="2024-01-02T00:00:00"/>
  </r>
  <r>
    <n v="22"/>
    <s v="Suwardjono"/>
    <x v="1"/>
    <s v="Yogyakarta"/>
    <s v="14-04-1974"/>
    <s v="197404142009011011"/>
    <s v="3471131404740001"/>
    <m/>
    <s v="Petugas Keamanan"/>
    <s v="Subbag. Tata Usaha dan Rumah Tangga pada Bagian Umum Biro AUK"/>
    <m/>
    <s v="II/d"/>
    <d v="2021-04-01T00:00:00"/>
    <n v="22"/>
    <n v="0"/>
    <x v="11"/>
    <n v="1995"/>
    <d v="2032-05-01T00:00:00"/>
    <d v="2010-03-01T00:00:00"/>
  </r>
  <r>
    <n v="23"/>
    <s v="Warsono"/>
    <x v="1"/>
    <s v="Bantul"/>
    <s v="05-06-1971"/>
    <s v="197106052009101001"/>
    <s v="3402130506710001"/>
    <m/>
    <s v="Pengadministrasi Sarana dan Prasarana"/>
    <s v="Subbag. Tata Usaha dan Rumah Tangga pada Bagian Umum Biro AUK"/>
    <m/>
    <s v="II/d"/>
    <d v="2021-10-01T00:00:00"/>
    <n v="20"/>
    <n v="5"/>
    <x v="8"/>
    <m/>
    <d v="2029-07-01T00:00:00"/>
    <d v="2024-01-02T00:00:00"/>
  </r>
  <r>
    <n v="24"/>
    <s v="Zusron"/>
    <x v="1"/>
    <s v="Bantul"/>
    <s v="27-11-1968"/>
    <s v="196811272009011005"/>
    <s v="3402012711680001"/>
    <m/>
    <s v="Petugas Keamanan"/>
    <s v="Subbag. Tata Usaha dan Rumah Tangga pada Bagian Umum Biro AUK"/>
    <m/>
    <s v="II/d"/>
    <d v="2021-04-01T00:00:00"/>
    <n v="21"/>
    <n v="7"/>
    <x v="5"/>
    <s v="Bantul"/>
    <d v="2026-12-01T00:00:00"/>
    <d v="2010-02-01T00:00:00"/>
  </r>
  <r>
    <n v="25"/>
    <s v="Nur Suhartono"/>
    <x v="1"/>
    <s v="Sleman"/>
    <s v="10-11-1981"/>
    <s v="198111102009101001"/>
    <s v="3404081011810002"/>
    <m/>
    <s v="Pengelola Barang Milik Negara"/>
    <s v="Subbag. Perlengkapan dan Pengadaan Barang/Jasa pada Bagian Umum Biro AUK"/>
    <m/>
    <s v="II/d"/>
    <d v="2022-10-01T00:00:00"/>
    <n v="17"/>
    <n v="9"/>
    <x v="12"/>
    <s v="SMK Negeri 2 Depok Sleman, Bangunan Gedung"/>
    <d v="2039-12-01T00:00:00"/>
    <d v="2010-03-01T00:00:00"/>
  </r>
  <r>
    <n v="26"/>
    <s v="Eko Widodo"/>
    <x v="1"/>
    <s v="Sleman"/>
    <s v="06-04-1973"/>
    <s v="197304062009101002"/>
    <s v="3404110604730003"/>
    <m/>
    <s v="Pengadministrasi Sarana dan Prasarana"/>
    <s v="Subbag. Tata Usaha dan Rumah Tangga pada Bagian Umum Biro AUK"/>
    <m/>
    <s v="II/d"/>
    <d v="2022-10-01T00:00:00"/>
    <n v="18"/>
    <n v="0"/>
    <x v="8"/>
    <m/>
    <d v="2031-05-01T00:00:00"/>
    <d v="2024-01-02T00:00:00"/>
  </r>
  <r>
    <n v="27"/>
    <s v="Agus Antoro"/>
    <x v="1"/>
    <s v="Yogyakarta"/>
    <d v="1973-09-30T00:00:00"/>
    <s v="197309301994031002"/>
    <s v="3471133009730002"/>
    <m/>
    <s v="Petugas Keamanan"/>
    <s v="Subbag. Tata Usaha dan Rumah Tangga pada Bagian Umum Biro AUK"/>
    <m/>
    <s v="II/c"/>
    <d v="2014-04-01T00:00:00"/>
    <n v="17"/>
    <n v="1"/>
    <x v="13"/>
    <m/>
    <d v="2031-10-01T00:00:00"/>
    <d v="2008-01-07T00:00:00"/>
  </r>
  <r>
    <s v="BIRO ADMINISTRASI AKADEMIK, KEMAHASISWAAN DAN KERJASAMA"/>
    <m/>
    <x v="0"/>
    <m/>
    <m/>
    <m/>
    <m/>
    <m/>
    <m/>
    <m/>
    <m/>
    <m/>
    <m/>
    <m/>
    <m/>
    <x v="0"/>
    <m/>
    <m/>
    <m/>
  </r>
  <r>
    <n v="1"/>
    <s v="Ir. Sunarini, M.Kom."/>
    <x v="2"/>
    <s v="Tulungaggung"/>
    <d v="1965-01-01T00:00:00"/>
    <s v="196501011989032001  "/>
    <s v="3276024101650024"/>
    <m/>
    <s v="Kepala Biro Administrasi Akademik, Kemahasiswaan dan Kerjasama"/>
    <s v="Biro Administrasi Akademik, Kemahasiswaan dan Kerjasama"/>
    <d v="2023-12-28T00:00:00"/>
    <s v="IV/c"/>
    <d v="2020-10-01T00:00:00"/>
    <n v="31"/>
    <n v="7"/>
    <x v="2"/>
    <s v="Manajemen Informatikan UI Tahun 2003"/>
    <d v="2025-02-01T00:00:00"/>
    <s v=" "/>
  </r>
  <r>
    <n v="2"/>
    <s v="Muhammad Mahyudin, SH., M.A."/>
    <x v="1"/>
    <s v="Yogyakarta"/>
    <d v="1966-12-27T00:00:00"/>
    <s v="196612271994031002"/>
    <s v="3404022712660001"/>
    <m/>
    <s v="Arsiparis Ahli Madya  "/>
    <s v="Biro Administrasi Akademik, Kemahasiswaan dan Kerjasama"/>
    <d v="2020-12-18T00:00:00"/>
    <s v="IV/b"/>
    <s v="01-10-2013"/>
    <n v="19"/>
    <n v="7"/>
    <x v="2"/>
    <s v="UII, Tahun 2003"/>
    <d v="2026-01-01T00:00:00"/>
    <d v="2024-12-02T00:00:00"/>
  </r>
  <r>
    <n v="2"/>
    <s v="Khoirul Anwar, S.Ag, MA."/>
    <x v="1"/>
    <s v="Tuban"/>
    <d v="1977-07-27T00:00:00"/>
    <s v="197707272002121003"/>
    <s v="3404112707770001"/>
    <m/>
    <s v="Kepala Bagian Akademik"/>
    <s v="Biro Administrasi Akademik, Kemahasiswaan dan Kerjasama"/>
    <d v="2023-02-17T00:00:00"/>
    <s v="IV/b"/>
    <d v="2023-10-01T00:00:00"/>
    <n v="20"/>
    <n v="10"/>
    <x v="2"/>
    <s v="UGM. Psikologi 2012"/>
    <d v="2035-08-01T00:00:00"/>
    <s v=" "/>
  </r>
  <r>
    <n v="3"/>
    <s v="Pamuji, S.Ag, S.IPI., M.IP."/>
    <x v="1"/>
    <s v="Madiun"/>
    <d v="1970-06-11T00:00:00"/>
    <s v="197006112000031001"/>
    <s v="3404051106700003"/>
    <m/>
    <s v="Pengembang Teknologi Pembelajaran Ahli Muda  "/>
    <s v="Biro Administrasi Akademik, Kemahasiswaan dan Kerjasama"/>
    <d v="2020-12-18T00:00:00"/>
    <s v="IV/a"/>
    <d v="2016-10-01T00:00:00"/>
    <n v="16"/>
    <n v="7"/>
    <x v="2"/>
    <s v="Ilmu Perpustakaan Tahun 2011"/>
    <d v="2028-07-01T00:00:00"/>
    <s v=" "/>
  </r>
  <r>
    <n v="4"/>
    <s v="Fairuz Rahmi, S. Sos, M.Si"/>
    <x v="2"/>
    <s v="Yogyakarta"/>
    <d v="1967-04-25T00:00:00"/>
    <s v="196704251997032001"/>
    <s v="3404026504670002"/>
    <m/>
    <s v="Perencana Ahli Muda"/>
    <s v="Biro Administrasi Akademik, Kemahasiswaan dan Kerjasama"/>
    <d v="2020-12-18T00:00:00"/>
    <s v="IV/a"/>
    <d v="2013-04-01T00:00:00"/>
    <n v="16"/>
    <n v="1"/>
    <x v="2"/>
    <s v="Sosiologi 2003"/>
    <d v="2025-05-01T00:00:00"/>
    <d v="2022-02-01T00:00:00"/>
  </r>
  <r>
    <n v="5"/>
    <s v="Gunadi, SH., MH."/>
    <x v="1"/>
    <s v="Sleman"/>
    <d v="1968-05-26T00:00:00"/>
    <s v="196805261993031002"/>
    <s v="3404142605680001"/>
    <m/>
    <s v="Arsiparis Ahli Muda  "/>
    <s v="Biro Administrasi Akademik, Kemahasiswaan dan Kerjasama"/>
    <d v="2020-12-18T00:00:00"/>
    <s v="IV/a"/>
    <d v="2013-10-01T00:00:00"/>
    <n v="20"/>
    <n v="7"/>
    <x v="2"/>
    <s v="UJB, Magister Hukum 2013"/>
    <d v="2026-06-01T00:00:00"/>
    <d v="2024-06-03T00:00:00"/>
  </r>
  <r>
    <n v="6"/>
    <s v="Lusiana, SE, MM."/>
    <x v="2"/>
    <s v="Yogyakarta"/>
    <d v="1969-03-01T00:00:00"/>
    <s v="196903011998032001"/>
    <s v="3404024103690002"/>
    <m/>
    <s v="Arsiparis Ahli Muda  "/>
    <s v="Biro Administrasi Akademik, Kemahasiswaan dan Kerjasama"/>
    <d v="2021-12-30T00:00:00"/>
    <s v="IV/a"/>
    <d v="2014-04-01T00:00:00"/>
    <n v="16"/>
    <n v="1"/>
    <x v="2"/>
    <s v="Magister Manajemen Tahun 2011"/>
    <d v="2027-04-01T00:00:00"/>
    <d v="2024-06-03T00:00:00"/>
  </r>
  <r>
    <n v="7"/>
    <s v="Silviana Dewi Setyasari, SE."/>
    <x v="2"/>
    <s v="Bantul"/>
    <s v="07-03-1983"/>
    <s v="198303072008012006"/>
    <s v="3402024703830008"/>
    <m/>
    <s v="Perencana Ahli Muda"/>
    <s v="Biro Administrasi Akademik, Kemahasiswaan dan Kerjasama"/>
    <d v="2020-12-18T00:00:00"/>
    <s v="III/d"/>
    <d v="2020-04-01T00:00:00"/>
    <n v="12"/>
    <n v="3"/>
    <x v="3"/>
    <s v="UNS Surakarta, Akuntansi 2005"/>
    <d v="2041-04-01T00:00:00"/>
    <s v=" "/>
  </r>
  <r>
    <n v="8"/>
    <s v="Dian Maya Noviyanti, S.T., M.Sc."/>
    <x v="2"/>
    <s v="Sleman"/>
    <s v="20-11-1984"/>
    <s v="198411202008012005"/>
    <s v="3401075711840001"/>
    <m/>
    <s v="Perencana Ahli Pertama"/>
    <s v="Biro Administrasi Akademik, Kemahasiswaan dan Kerjasama"/>
    <m/>
    <s v="III/d"/>
    <d v="2020-04-01T00:00:00"/>
    <n v="12"/>
    <n v="3"/>
    <x v="2"/>
    <s v="Manajemen Pendidikan Tinggi, UGM Tahun 2022"/>
    <d v="2042-12-01T00:00:00"/>
    <d v="2022-11-01T00:00:00"/>
  </r>
  <r>
    <n v="9"/>
    <s v="An-Nadzam, S.Kom."/>
    <x v="1"/>
    <s v="Yogyakarta"/>
    <s v="13-12-1979"/>
    <s v="197912132006041004"/>
    <s v="3471021312790001"/>
    <m/>
    <s v="Analis Data Akademik"/>
    <s v="Biro Administrasi Akademik, Kemahasiswaan dan Kerjasama"/>
    <m/>
    <s v="III/d"/>
    <d v="2018-04-01T00:00:00"/>
    <n v="12"/>
    <n v="0"/>
    <x v="3"/>
    <s v="UGM, Ilmu komputer"/>
    <d v="2037-01-01T00:00:00"/>
    <d v="2011-11-03T00:00:00"/>
  </r>
  <r>
    <n v="10"/>
    <s v="Mutaqin, SH"/>
    <x v="1"/>
    <s v="Bantul"/>
    <d v="1969-08-20T00:00:00"/>
    <s v="196908201994031006"/>
    <s v="3402132008690001"/>
    <m/>
    <s v="Pengelola Layanan Akademik"/>
    <s v="Biro Administrasi Akademik, Kemahasiswaan dan Kerjasama"/>
    <m/>
    <s v="III/d"/>
    <d v="2018-04-01T00:00:00"/>
    <n v="20"/>
    <n v="2"/>
    <x v="3"/>
    <s v="UWMY, Tahun 2003"/>
    <d v="2027-09-01T00:00:00"/>
    <d v="2008-01-07T00:00:00"/>
  </r>
  <r>
    <n v="11"/>
    <s v="Suhardi Widodo, S.IP."/>
    <x v="1"/>
    <s v="Bantul"/>
    <d v="1970-02-19T00:00:00"/>
    <s v="197002191992031001"/>
    <s v="3402171402700002"/>
    <m/>
    <s v="Pengelola Layanan Akademik"/>
    <s v="Biro Administrasi Akademik, Kemahasiswaan dan Kerjasama"/>
    <m/>
    <s v="III/d"/>
    <d v="2016-10-01T00:00:00"/>
    <n v="19"/>
    <n v="7"/>
    <x v="3"/>
    <s v="S1, UT, Tahun 2002"/>
    <d v="2028-03-01T00:00:00"/>
    <d v="2018-01-02T00:00:00"/>
  </r>
  <r>
    <n v="12"/>
    <s v="H. Nuraini Ahmad, ST."/>
    <x v="1"/>
    <s v="Ngawi"/>
    <s v="08-07-1985"/>
    <s v="198507082008011003"/>
    <s v="3521130807850005"/>
    <m/>
    <s v="Pengelola Program Minat, Bakat, Dan Penalaran Mahasiswa"/>
    <s v="Biro Administrasi Akademik, Kemahasiswaan dan Kerjasama"/>
    <m/>
    <s v="III/d"/>
    <d v="2020-04-01T00:00:00"/>
    <n v="12"/>
    <n v="4"/>
    <x v="3"/>
    <s v="UAD, Teknik Informatika  Tahun 2007          "/>
    <d v="2043-09-01T00:00:00"/>
    <d v="2017-07-03T00:00:00"/>
  </r>
  <r>
    <n v="13"/>
    <s v="Erly Yudhiasti, S.E."/>
    <x v="2"/>
    <s v="Kupang"/>
    <d v="1981-02-11T00:00:00"/>
    <s v="198102112009012003"/>
    <s v="5103065102810004"/>
    <m/>
    <s v="Pengelola Keuangan "/>
    <s v="Biro Administrasi Akademik, Kemahasiswaan dan Kerjasama"/>
    <m/>
    <s v="III/d"/>
    <d v="2021-04-01T00:00:00"/>
    <n v="12"/>
    <n v="3"/>
    <x v="3"/>
    <s v="STIE Malangkucecwara Akuntansi Tahun 2003"/>
    <d v="2039-03-01T00:00:00"/>
    <d v="2020-05-01T00:00:00"/>
  </r>
  <r>
    <n v="15"/>
    <s v="Mardi Riyanto, S.Kom., MM."/>
    <x v="1"/>
    <s v="Sleman"/>
    <s v="16-12-1978"/>
    <s v="197812162006041005"/>
    <s v="3404051612780001"/>
    <m/>
    <s v="Pranata Komputer Ahli Muda "/>
    <s v="Biro Administrasi Akademik, Kemahasiswaan dan Kerjasama ditugaskan pada Kopertais"/>
    <d v="2018-03-01T00:00:00"/>
    <s v="III/d"/>
    <d v="2024-10-01T00:00:00"/>
    <n v="16"/>
    <n v="6"/>
    <x v="2"/>
    <s v="UTY, Magister Managemen, 2015"/>
    <d v="2036-12-01T00:00:00"/>
    <d v="2023-07-01T00:00:00"/>
  </r>
  <r>
    <n v="16"/>
    <s v="Sri Kusumawati"/>
    <x v="2"/>
    <s v="Tegal"/>
    <d v="1973-09-02T00:00:00"/>
    <s v="197309021997032001"/>
    <s v="3402154209730002"/>
    <m/>
    <s v="Pengelola Surat"/>
    <s v="Biro Administrasi Akademik, Kemahasiswaan dan Kerjasama"/>
    <m/>
    <s v="III/b"/>
    <d v="2017-04-01T00:00:00"/>
    <n v="15"/>
    <n v="1"/>
    <x v="5"/>
    <s v="Negeri 4 Tegal"/>
    <d v="2031-10-01T00:00:00"/>
    <d v="2005-10-21T00:00:00"/>
  </r>
  <r>
    <n v="17"/>
    <s v="Sukarman"/>
    <x v="1"/>
    <s v="Sleman"/>
    <s v="29-02-1968"/>
    <s v="196802292007011017"/>
    <s v="3404072902680004"/>
    <m/>
    <s v="Pengadministrasi Umum  "/>
    <s v="Biro Administrasi Akademik, Kemahasiswaan dan Kerjasama"/>
    <m/>
    <s v="III/a"/>
    <d v="2023-04-01T00:00:00"/>
    <n v="25"/>
    <n v="2"/>
    <x v="5"/>
    <s v="SMA IPS Tahun 1988"/>
    <s v="01-03-2026"/>
    <d v="2021-03-16T00:00:00"/>
  </r>
  <r>
    <n v="18"/>
    <s v="Sumarni, S.I.P"/>
    <x v="2"/>
    <s v="Sleman"/>
    <s v="10-02-1978"/>
    <s v="197802102007012021"/>
    <s v="3404075002780001"/>
    <m/>
    <s v="Pengelola Keuangan"/>
    <s v="Biro Administrasi Akademik, Kemahasiswaan dan Kerjasama"/>
    <m/>
    <s v="III/a"/>
    <d v="2022-04-01T00:00:00"/>
    <n v="13"/>
    <n v="3"/>
    <x v="3"/>
    <s v="Administrasi Negara UNPROK Tahun 2017"/>
    <d v="2036-03-01T00:00:00"/>
    <d v="2021-05-10T00:00:00"/>
  </r>
  <r>
    <n v="19"/>
    <s v="Sumaryadi"/>
    <x v="1"/>
    <s v="Sleman"/>
    <s v="12-12-1970"/>
    <s v="197012122009011013"/>
    <s v="3404101212700005"/>
    <m/>
    <s v="Pengadministrasi Umum"/>
    <s v="Biro Administrasi Akademik, Kemahasiswaan dan Kerjasama ditugaskan pada Kopertais"/>
    <m/>
    <s v="II/d"/>
    <d v="2021-04-01T00:00:00"/>
    <n v="20"/>
    <n v="10"/>
    <x v="8"/>
    <s v="Listrik 1990"/>
    <d v="2029-01-01T00:00:00"/>
    <d v="2023-07-01T00:00:00"/>
  </r>
  <r>
    <s v="PASCASARJANA"/>
    <m/>
    <x v="0"/>
    <m/>
    <m/>
    <m/>
    <m/>
    <m/>
    <m/>
    <m/>
    <m/>
    <m/>
    <m/>
    <m/>
    <m/>
    <x v="0"/>
    <m/>
    <m/>
    <m/>
  </r>
  <r>
    <n v="1"/>
    <s v="Fenti Muzdalifah, SIP."/>
    <x v="2"/>
    <s v="Ngawi"/>
    <d v="1974-12-29T00:00:00"/>
    <s v="197412291998032001"/>
    <s v="3402156912740002"/>
    <m/>
    <s v="Kepala Subbag. Tata Usaha"/>
    <s v="Pascasarjana"/>
    <d v="2024-03-13T00:00:00"/>
    <s v="III/d"/>
    <d v="2022-04-01T00:00:00"/>
    <n v="22"/>
    <n v="1"/>
    <x v="3"/>
    <s v="Ilmu Perpustakaan 2010"/>
    <d v="2033-01-01T00:00:00"/>
    <d v="2000-03-01T00:00:00"/>
  </r>
  <r>
    <n v="2"/>
    <s v="Tri Suryani, SIP."/>
    <x v="2"/>
    <s v="Bantul"/>
    <d v="1967-04-10T00:00:00"/>
    <s v="196704101994032001"/>
    <s v="3402135004670002"/>
    <m/>
    <s v="Pengelola Bahan Akademik dan Pengajaran"/>
    <s v="Subbag. Tata Usaha Pasca Sarjana"/>
    <m/>
    <s v="III/d"/>
    <s v="01-04-2022"/>
    <n v="23"/>
    <n v="1"/>
    <x v="3"/>
    <s v="STISIPOL Kartika Bangsa, Tahun 2009"/>
    <s v="01-05-2025"/>
    <d v="2016-01-11T00:00:00"/>
  </r>
  <r>
    <n v="3"/>
    <s v="Mukhbarotul Haqqoniyaty, A.Md."/>
    <x v="2"/>
    <s v="Palembang"/>
    <d v="1969-09-18T00:00:00"/>
    <s v="196909181990032002"/>
    <s v="3404105809690003"/>
    <m/>
    <s v="Bendahara"/>
    <s v="Subbag. Tata Usaha Pasca Sarjana"/>
    <m/>
    <s v="III/c"/>
    <d v="2014-10-01T00:00:00"/>
    <n v="19"/>
    <n v="7"/>
    <x v="4"/>
    <s v="Ekonomi Akuntansi 1993"/>
    <d v="2027-10-01T00:00:00"/>
    <d v="2021-05-10T00:00:00"/>
  </r>
  <r>
    <n v="4"/>
    <s v="Bambang Pudjo Santoso, SIP."/>
    <x v="1"/>
    <s v="Jakarta"/>
    <d v="1971-08-15T00:00:00"/>
    <s v="197108151994031002"/>
    <s v="3404091508710002"/>
    <m/>
    <s v="Pengelola Kepegawaian"/>
    <s v="Subbag. Tata Usaha Pasca Sarjana"/>
    <m/>
    <s v="III/d"/>
    <d v="2022-04-01T00:00:00"/>
    <n v="23"/>
    <n v="1"/>
    <x v="3"/>
    <s v="UNPROK Administrasi Negara Tahun 2010"/>
    <d v="2029-09-01T00:00:00"/>
    <d v="2019-06-10T00:00:00"/>
  </r>
  <r>
    <n v="5"/>
    <s v="Pujamunarta, S.Pd."/>
    <x v="1"/>
    <s v="Sleman"/>
    <s v="03-08-1967"/>
    <s v="196708032007011040"/>
    <s v="3404070308670005"/>
    <m/>
    <s v="Pengadministrasi Umum"/>
    <s v="Subbag. Tata Usaha Pasca Sarjana"/>
    <m/>
    <s v="III/d"/>
    <d v="2019-04-01T00:00:00"/>
    <n v="21"/>
    <n v="8"/>
    <x v="3"/>
    <s v="IKIP Tahun 1993"/>
    <s v="01-09-2025"/>
    <d v="2022-01-01T00:00:00"/>
  </r>
  <r>
    <n v="6"/>
    <s v="Sutoyo"/>
    <x v="1"/>
    <s v="Bantul"/>
    <d v="1969-04-12T00:00:00"/>
    <s v="196904122003121002"/>
    <s v="3402141204690001"/>
    <m/>
    <s v="Pengelola Keuangan"/>
    <s v="Subbag. Tata Usaha Pasca Sarjana"/>
    <m/>
    <s v="III/b"/>
    <d v="2024-04-01T00:00:00"/>
    <n v="21"/>
    <n v="6"/>
    <x v="5"/>
    <s v="Muhammadiyah Piyungan"/>
    <d v="2027-05-01T00:00:00"/>
    <d v="2003-11-01T00:00:00"/>
  </r>
  <r>
    <n v="7"/>
    <s v="Bagus Dede Wahyudi"/>
    <x v="1"/>
    <s v="Bantul"/>
    <s v="16-12-1982"/>
    <s v="198212162009101001"/>
    <s v="3402121709790001"/>
    <m/>
    <s v="Pengelola Layanan Operasional"/>
    <s v="Subbag. Tata Usaha Pasca Sarjana"/>
    <m/>
    <s v="II/d"/>
    <d v="2021-10-01T00:00:00"/>
    <n v="17"/>
    <n v="6"/>
    <x v="6"/>
    <s v="IPS"/>
    <d v="2040-01-01T00:00:00"/>
    <d v="2024-06-03T00:00:00"/>
  </r>
  <r>
    <n v="8"/>
    <s v="Yoga Suganjar"/>
    <x v="1"/>
    <s v="Klaten"/>
    <d v="1974-04-19T00:00:00"/>
    <s v="197404192007011011"/>
    <s v="3310221904740001"/>
    <m/>
    <s v="Pengadministrasi Umum"/>
    <s v="Subbag. Tata Usaha Pasca Sarjana"/>
    <m/>
    <s v="III/a"/>
    <d v="2023-04-01T00:00:00"/>
    <n v="19"/>
    <n v="11"/>
    <x v="5"/>
    <m/>
    <d v="2032-05-01T00:00:00"/>
    <d v="2024-06-03T00:00:00"/>
  </r>
  <r>
    <n v="9"/>
    <s v="Heru Yusmianto"/>
    <x v="1"/>
    <s v="Bantul"/>
    <s v="03-04-1985"/>
    <s v="198504032009101001"/>
    <s v="3404070304850002"/>
    <m/>
    <s v="Pengadministrasi Akademik"/>
    <s v="Subbag. Tata Usaha Pasca Sarjana"/>
    <m/>
    <s v="II/d"/>
    <d v="2022-10-01T00:00:00"/>
    <n v="18"/>
    <n v="2"/>
    <x v="11"/>
    <s v="IPA"/>
    <d v="2043-05-01T00:00:00"/>
    <d v="2024-06-03T00:00:00"/>
  </r>
  <r>
    <s v="LEMBAGA PENELITIAN DAN PENGABDIAN KEPADA MASYARAKAT (LP2M)"/>
    <m/>
    <x v="0"/>
    <m/>
    <m/>
    <m/>
    <m/>
    <m/>
    <m/>
    <m/>
    <m/>
    <m/>
    <m/>
    <m/>
    <m/>
    <x v="0"/>
    <m/>
    <m/>
    <m/>
  </r>
  <r>
    <n v="1"/>
    <s v="Anita Sofiyati, S. Ag."/>
    <x v="2"/>
    <s v="Yogyakarta"/>
    <d v="1970-12-30T00:00:00"/>
    <s v="197012301994032001"/>
    <s v="3404117012700004"/>
    <m/>
    <s v="Arsiparis Ahli Muda  "/>
    <s v="Bagian Umum Biro AUK ditugaskan pada LP2M"/>
    <d v="2021-02-01T00:00:00"/>
    <s v="III/d"/>
    <d v="2011-04-01T00:00:00"/>
    <n v="12"/>
    <n v="1"/>
    <x v="3"/>
    <s v="PAI IAIN Sunan Kalijaga  "/>
    <d v="2029-01-01T00:00:00"/>
    <m/>
  </r>
  <r>
    <n v="2"/>
    <s v="Tasik Intani, S.AP."/>
    <x v="2"/>
    <s v="Surakarta"/>
    <d v="1972-09-29T00:00:00"/>
    <s v="197209291994032002"/>
    <s v="3402106909720001"/>
    <m/>
    <s v="Pengelola Penelitian"/>
    <s v="Biro Administrasi Akademik, Kemahasiswaan dan Kerjasama ditugaskan pada LP2M"/>
    <m/>
    <s v="III/d"/>
    <d v="2022-04-01T00:00:00"/>
    <n v="23"/>
    <n v="1"/>
    <x v="3"/>
    <s v="UT Administrasi Publik"/>
    <s v="01-10-2030"/>
    <d v="2000-11-01T00:00:00"/>
  </r>
  <r>
    <n v="3"/>
    <s v="Monica Pratiwi"/>
    <x v="2"/>
    <s v="Jakarta"/>
    <s v="20-07-1976"/>
    <s v="197607202009012003"/>
    <s v="3404076007760002"/>
    <m/>
    <s v="Pengelola Keuangan"/>
    <s v="Biro Administrasi Akademik, Kemahasiswaan dan Kerjasama ditugaskan pada LP2M"/>
    <m/>
    <s v="II/d"/>
    <d v="2021-04-01T00:00:00"/>
    <n v="21"/>
    <n v="10"/>
    <x v="5"/>
    <n v="1994"/>
    <d v="2034-08-01T00:00:00"/>
    <d v="2023-02-01T00:00:00"/>
  </r>
  <r>
    <s v="LEMBAGA PENJAMINAN MUTU"/>
    <m/>
    <x v="0"/>
    <m/>
    <m/>
    <m/>
    <m/>
    <m/>
    <m/>
    <m/>
    <m/>
    <m/>
    <m/>
    <m/>
    <m/>
    <x v="0"/>
    <m/>
    <m/>
    <m/>
  </r>
  <r>
    <n v="1"/>
    <s v="Ahmad Nasif Al Fikri, S. Ag., MM."/>
    <x v="1"/>
    <s v="Sleman"/>
    <d v="1970-06-08T00:00:00"/>
    <s v="197006082006041005"/>
    <s v="3404130806700001"/>
    <m/>
    <s v="Arsiparis Ahli Muda  "/>
    <s v="Bagian Umum Biro AUK ditugaskan pada LP2M"/>
    <d v="2020-12-18T00:00:00"/>
    <s v="IV/a"/>
    <s v="01-04-2022"/>
    <n v="23"/>
    <n v="11"/>
    <x v="2"/>
    <s v="Magister Manajemen, STIE Widya Wiwaha Tahun 2012 "/>
    <d v="2028-07-01T00:00:00"/>
    <d v="2010-03-08T00:00:00"/>
  </r>
  <r>
    <s v="SATUAN PENGAWASAN INTERNAL"/>
    <m/>
    <x v="0"/>
    <m/>
    <m/>
    <m/>
    <m/>
    <m/>
    <m/>
    <m/>
    <m/>
    <m/>
    <m/>
    <m/>
    <m/>
    <x v="0"/>
    <m/>
    <m/>
    <m/>
  </r>
  <r>
    <s v="UPT PUSAT TEKNOLOGI INFORMASI DAN PANGKALAN DATA"/>
    <m/>
    <x v="0"/>
    <m/>
    <m/>
    <m/>
    <m/>
    <m/>
    <m/>
    <m/>
    <m/>
    <m/>
    <m/>
    <m/>
    <m/>
    <x v="0"/>
    <m/>
    <m/>
    <m/>
  </r>
  <r>
    <n v="1"/>
    <s v="Hendra Hidayat, S.Kom"/>
    <x v="1"/>
    <s v="Palembang"/>
    <d v="1979-05-06T00:00:00"/>
    <s v="197905062006041003"/>
    <s v="3175014503660001"/>
    <m/>
    <s v="Pranata Komputer Ahli Muda "/>
    <s v="Biro Administrasi Umum dan Keuangan ditugaskan pada PTIPD"/>
    <d v="2021-04-01T00:00:00"/>
    <s v="III/d"/>
    <d v="2018-04-01T00:00:00"/>
    <n v="12"/>
    <n v="0"/>
    <x v="3"/>
    <s v="UGM, Ilmu Komputer"/>
    <s v="01-06-2037"/>
    <d v="2006-04-01T00:00:00"/>
  </r>
  <r>
    <n v="2"/>
    <s v="Salim Athari, S.Kom."/>
    <x v="1"/>
    <s v="Tulungaggung"/>
    <d v="1981-04-12T00:00:00"/>
    <s v="198104122009121003"/>
    <s v="3577021204800004"/>
    <m/>
    <s v="Pranata Komputer Ahli Muda "/>
    <s v="Biro Administrasi Umum dan Keuangan ditugaskan pada PTIPD"/>
    <d v="2021-03-01T00:00:00"/>
    <s v="III/d"/>
    <d v="2024-04-01T00:00:00"/>
    <n v="14"/>
    <n v="4"/>
    <x v="3"/>
    <s v="Institut Sains dan Teknologi AKPRIND"/>
    <s v="01-05-2039"/>
    <d v="2009-12-01T00:00:00"/>
  </r>
  <r>
    <n v="3"/>
    <s v="Adi Wirawan, S.Kom., M.Kom."/>
    <x v="1"/>
    <s v="Klaten"/>
    <d v="1986-03-12T00:00:00"/>
    <s v="198603122011011009"/>
    <s v="3310111203860002"/>
    <m/>
    <s v="Pranata Komputer Ahli Muda "/>
    <s v="Biro Administrasi Umum dan Keuangan ditugaskan pada PTIPD"/>
    <d v="2023-06-01T00:00:00"/>
    <s v="III/c"/>
    <d v="2023-10-01T00:00:00"/>
    <n v="12"/>
    <n v="9"/>
    <x v="3"/>
    <s v="Ilmu Komputer Tahun 2010"/>
    <d v="2044-04-01T00:00:00"/>
    <d v="2011-01-01T00:00:00"/>
  </r>
  <r>
    <n v="4"/>
    <s v="Daru Prasetyawan, S.T., M.Kom."/>
    <x v="1"/>
    <s v="Bantul"/>
    <s v="30-10-1986"/>
    <s v="198610302011011005"/>
    <s v="3402163010860002"/>
    <m/>
    <s v="Pranata Komputer Ahli Muda "/>
    <s v="Biro Administrasi Umum dan Keuangan ditugaskan pada PTIPD"/>
    <d v="2021-03-01T00:00:00"/>
    <s v="III/d"/>
    <d v="2024-04-01T00:00:00"/>
    <n v="13"/>
    <n v="3"/>
    <x v="2"/>
    <s v="Informatika UIN Sunan Kalijaga Tahun 2020"/>
    <d v="2044-11-01T00:00:00"/>
    <d v="2011-01-01T00:00:00"/>
  </r>
  <r>
    <n v="5"/>
    <s v="Prihanto Dwi Rahmanto, S.Kom."/>
    <x v="1"/>
    <s v="Klaten"/>
    <s v="29-11-1983"/>
    <s v="198311292011011007"/>
    <s v="3310082911830000"/>
    <m/>
    <s v="Pranata Komputer Ahli Muda "/>
    <s v="Biro Administrasi Umum dan Keuangan ditugaskan pada PTIPD"/>
    <d v="2023-06-01T00:00:00"/>
    <s v="III/c"/>
    <d v="2023-10-01T00:00:00"/>
    <n v="12"/>
    <n v="9"/>
    <x v="3"/>
    <s v="Sistem Informasi Tahun 2007"/>
    <d v="2041-12-01T00:00:00"/>
    <d v="2011-01-01T00:00:00"/>
  </r>
  <r>
    <n v="6"/>
    <s v="Rahmadhan Gatra, S.T., M.Kom."/>
    <x v="1"/>
    <s v="Kepur, Muara Enim"/>
    <s v="25-05-1987"/>
    <s v="198705252011011012"/>
    <s v="1603022505870004"/>
    <m/>
    <s v="Pranata Komputer Ahli Muda "/>
    <s v="Biro Administrasi Umum dan Keuangan ditugaskan pada PTIPD"/>
    <d v="2021-03-01T00:00:00"/>
    <s v="III/d"/>
    <d v="2024-04-01T00:00:00"/>
    <n v="13"/>
    <n v="3"/>
    <x v="2"/>
    <s v="Magister Komputer UIN Sunan Kalijaga Tahun 2020"/>
    <d v="2045-06-01T00:00:00"/>
    <d v="2011-01-01T00:00:00"/>
  </r>
  <r>
    <s v="UPT PUSAT PERPUSTAKAAN"/>
    <m/>
    <x v="0"/>
    <m/>
    <m/>
    <m/>
    <m/>
    <m/>
    <m/>
    <m/>
    <m/>
    <m/>
    <m/>
    <m/>
    <m/>
    <x v="0"/>
    <m/>
    <m/>
    <m/>
  </r>
  <r>
    <n v="1"/>
    <s v="Dra. Irhamny"/>
    <x v="2"/>
    <s v="Yogyakarta"/>
    <d v="1965-03-22T00:00:00"/>
    <s v="196503221993032001"/>
    <s v="3404076203550001"/>
    <m/>
    <s v="Pustakawan Ahli Madya"/>
    <s v="Biro Administrasi Akademik, Kemahasiswaan dan Kerjasama ditugaskan pada UPT Pusat Perpustakaan "/>
    <d v="2014-07-01T00:00:00"/>
    <s v="IV/b"/>
    <d v="2022-04-01T00:00:00"/>
    <n v="26"/>
    <n v="0"/>
    <x v="3"/>
    <s v="IAIN Sunan Kalijaga, Tahun 1989"/>
    <s v="01-04-2025"/>
    <m/>
  </r>
  <r>
    <n v="2"/>
    <s v="Dra. Khusnul Khotimah, SS., M.IP."/>
    <x v="2"/>
    <s v="Boyolali"/>
    <d v="1968-09-05T00:00:00"/>
    <s v="196809051998032002"/>
    <s v="3404104509680007"/>
    <m/>
    <s v="Pustakawan Ahli Madya"/>
    <s v="Biro Administrasi Akademik, Kemahasiswaan dan Kerjasama ditugaskan pada UPT Pusat Perpustakaan "/>
    <d v="2014-07-01T00:00:00"/>
    <s v="IV/c"/>
    <d v="2024-04-01T00:00:00"/>
    <n v="26"/>
    <n v="1"/>
    <x v="2"/>
    <s v="Ilmu Perpustakaan dan Informasi Islam Tahun 2013"/>
    <s v="01-10-2028"/>
    <m/>
  </r>
  <r>
    <n v="3"/>
    <s v="Isrowiyanti, S.Ag, M.A."/>
    <x v="2"/>
    <s v="Balikpapan"/>
    <d v="1970-09-14T00:00:00"/>
    <s v="197009141999032001"/>
    <s v="3471035409700001"/>
    <m/>
    <s v="Pustakawan Ahli Madya"/>
    <s v="Biro Administrasi Akademik, Kemahasiswaan dan Kerjasama ditugaskan pada UPT Pusat Perpustakaan "/>
    <d v="2019-08-01T00:00:00"/>
    <s v="IV/b"/>
    <d v="2024-04-01T00:00:00"/>
    <n v="25"/>
    <n v="1"/>
    <x v="2"/>
    <s v="Ilmu Hukum Tahun 2002"/>
    <s v="01-10-2030"/>
    <d v="2008-02-01T00:00:00"/>
  </r>
  <r>
    <n v="4"/>
    <s v="Wahyani, S.Ag, SS, MIP."/>
    <x v="2"/>
    <s v="Kebumen"/>
    <d v="1971-12-17T00:00:00"/>
    <s v="197112172000032001"/>
    <s v="3402135712710002"/>
    <m/>
    <s v="Pustakawan Ahli Muda"/>
    <s v="Biro Administrasi Akademik, Kemahasiswaan dan Kerjasama ditugaskan pada UPT Pusat Perpustakaan "/>
    <d v="2015-01-01T00:00:00"/>
    <s v="III/d"/>
    <s v="01-04-2013"/>
    <n v="13"/>
    <n v="1"/>
    <x v="2"/>
    <s v="UIN Sunan Kalijaga, Ilmu Perpustakaan"/>
    <d v="2030-01-01T00:00:00"/>
    <d v="2007-11-01T00:00:00"/>
  </r>
  <r>
    <n v="5"/>
    <s v="Suhardi, S.Sos."/>
    <x v="1"/>
    <s v="Bantul"/>
    <d v="1967-08-10T00:00:00"/>
    <s v="196708101992031004"/>
    <s v="3402121008670002"/>
    <m/>
    <s v="Pustakawan Ahli Muda"/>
    <s v="Biro Administrasi Akademik, Kemahasiswaan dan Kerjasama ditugaskan pada UPT Pusat Perpustakaan "/>
    <d v="2013-03-01T00:00:00"/>
    <s v="III/d"/>
    <d v="2017-10-01T00:00:00"/>
    <n v="20"/>
    <n v="7"/>
    <x v="3"/>
    <s v="Stisipol Kartika Bangsa            "/>
    <s v="01-09-2025"/>
    <d v="2002-01-01T00:00:00"/>
  </r>
  <r>
    <n v="6"/>
    <s v="Muchti Nurhidaya, S.Hum"/>
    <x v="2"/>
    <s v="Sleman"/>
    <d v="1980-09-08T00:00:00"/>
    <s v="198009082006042002"/>
    <s v="6271034809800005"/>
    <m/>
    <s v="Pustakawan Ahli Muda"/>
    <s v="Biro Administrasi Akademik, Kemahasiswaan dan Kerjasama ditugaskan pada UPT Pusat Perpustakaan "/>
    <d v="2023-07-01T00:00:00"/>
    <s v="III/b"/>
    <d v="2016-04-01T00:00:00"/>
    <n v="8"/>
    <n v="0"/>
    <x v="3"/>
    <s v=" S1, Universitas Diponegoro, Tahun 2013"/>
    <s v="01-10-2040"/>
    <d v="2018-01-01T00:00:00"/>
  </r>
  <r>
    <n v="7"/>
    <s v="Sri Astuti, S.IP., MIP."/>
    <x v="2"/>
    <s v="Gunungkidul"/>
    <d v="1973-11-17T00:00:00"/>
    <s v="197311171998032002"/>
    <s v="3403035711730002"/>
    <m/>
    <s v="Pustakawan Ahli Muda"/>
    <s v="Biro Administrasi Akademik, Kemahasiswaan dan Kerjasama ditugaskan pada UPT Pusat Perpustakaan "/>
    <d v="2012-07-01T00:00:00"/>
    <s v="III/d"/>
    <s v="01-06-2024"/>
    <n v="24"/>
    <n v="3"/>
    <x v="2"/>
    <s v="Ilmu Perpustakaan dan Informasi Tahun 2011"/>
    <s v="01-12-2031"/>
    <m/>
  </r>
  <r>
    <n v="8"/>
    <s v="Sri Lestari, SIP., MIP."/>
    <x v="2"/>
    <s v="Sleman"/>
    <d v="1981-07-25T00:00:00"/>
    <s v="198107252005012003"/>
    <s v="3471146404720001"/>
    <m/>
    <s v="Pustakawan Ahli Muda"/>
    <s v="Biro Administrasi Akademik, Kemahasiswaan dan Kerjasama ditugaskan pada UPT Pusat Perpustakaan "/>
    <s v="01-07-2017"/>
    <s v="III/c"/>
    <d v="2024-04-01T00:00:00"/>
    <n v="17"/>
    <n v="3"/>
    <x v="2"/>
    <s v="Ilmu Pendidikan  "/>
    <s v="01-08-2039"/>
    <d v="2005-01-02T00:00:00"/>
  </r>
  <r>
    <n v="9"/>
    <s v="Sugeng Hariyanto, SIP."/>
    <x v="1"/>
    <s v="Jember"/>
    <s v="31-07-1974"/>
    <s v="197407312009101002"/>
    <s v="3402123107740003"/>
    <m/>
    <s v="Pustakawan Ahli Muda"/>
    <s v="Biro Administrasi Akademik, Kemahasiswaan dan Kerjasama ditugaskan pada UPT Pusat Perpustakaan "/>
    <d v="2023-09-01T00:00:00"/>
    <s v="III/b"/>
    <d v="2024-04-01T00:00:00"/>
    <n v="20"/>
    <n v="7"/>
    <x v="3"/>
    <s v="Ilmu Perpustakaan"/>
    <s v="01-08-2034"/>
    <d v="2010-03-01T00:00:00"/>
  </r>
  <r>
    <n v="10"/>
    <s v="Sofwan, S.Sos"/>
    <x v="1"/>
    <s v="Bantul"/>
    <d v="1970-06-29T00:00:00"/>
    <s v="197006292002121001"/>
    <s v="3471132906700001"/>
    <m/>
    <s v="Pustakawan Ahli Muda"/>
    <s v="Biro Administrasi Akademik, Kemahasiswaan dan Kerjasama ditugaskan pada UPT Pusat Perpustakaan "/>
    <d v="2021-04-01T00:00:00"/>
    <s v="III/d"/>
    <d v="2018-04-01T00:00:00"/>
    <n v="12"/>
    <n v="0"/>
    <x v="3"/>
    <s v="STPMD APMD, Tahun 2000"/>
    <d v="2028-07-01T00:00:00"/>
    <d v="2018-01-02T00:00:00"/>
  </r>
  <r>
    <n v="11"/>
    <s v="Etty Nurhayati"/>
    <x v="2"/>
    <s v="Bandung"/>
    <d v="1970-01-15T00:00:00"/>
    <s v="197001151991032002"/>
    <s v="3402025501700002"/>
    <m/>
    <s v="Pengelola Perpustakaan"/>
    <s v="Biro Administrasi Akademik, Kemahasiswaan dan Kerjasama ditugaskan pada UPT Pusat Perpustakaan "/>
    <m/>
    <s v="III/b"/>
    <d v="2006-04-01T00:00:00"/>
    <n v="14"/>
    <n v="1"/>
    <x v="7"/>
    <s v="Sumedang Utara"/>
    <s v="01-02-2027"/>
    <d v="2002-01-01T00:00:00"/>
  </r>
  <r>
    <n v="12"/>
    <s v="Nur Arifin"/>
    <x v="1"/>
    <s v="Sleman"/>
    <d v="1967-09-27T00:00:00"/>
    <s v="196709271994031002"/>
    <s v="3404102709670001"/>
    <m/>
    <s v="Pengelola Perpustakaan"/>
    <s v="Biro Administrasi Akademik, Kemahasiswaan dan Kerjasama ditugaskan pada UPT Pusat Perpustakaan "/>
    <m/>
    <s v="III/b"/>
    <s v="01-04-2014"/>
    <n v="18"/>
    <n v="9"/>
    <x v="8"/>
    <s v="PIRI Yogyakarta"/>
    <d v="2025-10-01T00:00:00"/>
    <d v="2011-03-30T00:00:00"/>
  </r>
  <r>
    <n v="13"/>
    <s v="Umar Santoso"/>
    <x v="1"/>
    <s v="Yogyakarta"/>
    <d v="1970-02-02T00:00:00"/>
    <s v="197002021994031003"/>
    <s v="3404100272700004"/>
    <m/>
    <s v="Juru Informasi dan Komunikasi"/>
    <s v="Biro Administrasi Akademik, Kemahasiswaan dan Kerjasama ditugaskan pada UPT Pusat Perpustakaan "/>
    <m/>
    <s v="II/c"/>
    <d v="2011-04-01T00:00:00"/>
    <n v="17"/>
    <n v="1"/>
    <x v="5"/>
    <s v="Negeri 5 Yogyakarta"/>
    <s v="01-03-2028"/>
    <d v="2002-02-01T00:00:00"/>
  </r>
  <r>
    <n v="14"/>
    <s v="Ismiyatin, S.Pd."/>
    <x v="2"/>
    <s v="Bojonegoro"/>
    <s v="26-04-1981"/>
    <s v="198104262015032001"/>
    <s v="3401046604810002"/>
    <m/>
    <s v="Pustakawan Ahli Pertama"/>
    <s v="Biro Administrasi Akademik, Kemahasiswaan dan Kerjasama ditugaskan pada UPT Pusat Perpustakaan "/>
    <d v="2021-04-01T00:00:00"/>
    <s v="III/b"/>
    <d v="2019-04-01T00:00:00"/>
    <n v="4"/>
    <n v="1"/>
    <x v="3"/>
    <s v="Pendidikan Bahasa Inggris Tahun 2007"/>
    <d v="2039-05-01T00:00:00"/>
    <d v="2015-03-01T00:00:00"/>
  </r>
  <r>
    <n v="15"/>
    <s v="Adilfiya Noor Fiqis, S.IP."/>
    <x v="2"/>
    <s v="Tegal"/>
    <d v="1998-04-15T00:00:00"/>
    <s v="199804152020122007"/>
    <s v="3328125504980003"/>
    <m/>
    <s v="Pustakawan Ahli Pertama"/>
    <s v="Biro Administrasi Akademik, Kemahasiswaan dan Kerjasama ditugaskan pada UPT Pusat Perpustakaan "/>
    <d v="2022-11-01T00:00:00"/>
    <s v="III/a"/>
    <d v="2020-12-01T00:00:00"/>
    <n v="0"/>
    <n v="0"/>
    <x v="3"/>
    <s v="Ilmu Perpustakaan UIN Sunan Kalijaga Tahun 2019"/>
    <d v="2056-05-01T00:00:00"/>
    <d v="2021-01-13T00:00:00"/>
  </r>
  <r>
    <n v="16"/>
    <s v="Anik Nur Azizah, S.IP."/>
    <x v="2"/>
    <s v="Gunungkidul"/>
    <d v="1995-04-25T00:00:00"/>
    <s v="199504252020122008"/>
    <s v="3403096504950005"/>
    <m/>
    <s v="Pustakawan Ahli Pertama"/>
    <s v="Biro Administrasi Akademik, Kemahasiswaan dan Kerjasama ditugaskan pada UPT Pusat Perpustakaan "/>
    <d v="2022-11-01T00:00:00"/>
    <s v="III/a"/>
    <d v="2020-12-01T00:00:00"/>
    <n v="0"/>
    <n v="0"/>
    <x v="3"/>
    <s v="Ilmu Perpustakaan UIN Sunan Kalijaga Tahun 2017"/>
    <d v="2053-05-01T00:00:00"/>
    <d v="2021-01-13T00:00:00"/>
  </r>
  <r>
    <n v="17"/>
    <s v="Asri Yuna Chasanawati, S.IP."/>
    <x v="2"/>
    <s v="Bantul"/>
    <d v="1995-11-26T00:00:00"/>
    <s v="199511262020122009"/>
    <s v="3402036611950002"/>
    <m/>
    <s v="Pustakawan Ahli Pertama"/>
    <s v="Biro Administrasi Akademik, Kemahasiswaan dan Kerjasama ditugaskan pada UPT Pusat Perpustakaan "/>
    <d v="2022-11-01T00:00:00"/>
    <s v="III/a"/>
    <d v="2020-12-01T00:00:00"/>
    <n v="0"/>
    <n v="0"/>
    <x v="3"/>
    <s v="Ilmu Perpustakaan UIN Sunan Kalijaga Tahun 2018"/>
    <d v="2053-12-01T00:00:00"/>
    <d v="2021-01-13T00:00:00"/>
  </r>
  <r>
    <n v="18"/>
    <s v="Heru Pasuko Rini, S.IP."/>
    <x v="2"/>
    <s v="Bantul"/>
    <d v="1994-03-03T00:00:00"/>
    <s v="199403032020122006"/>
    <s v="3402044303940001"/>
    <m/>
    <s v="Pustakawan Ahli Pertama"/>
    <s v="Biro Administrasi Akademik, Kemahasiswaan dan Kerjasama ditugaskan pada UPT Pusat Perpustakaan "/>
    <d v="2022-11-01T00:00:00"/>
    <s v="III/a"/>
    <d v="2020-12-01T00:00:00"/>
    <n v="0"/>
    <n v="0"/>
    <x v="3"/>
    <s v="Ilmu Perpustakaan UIN Sunan Kalijaga Tahun 2016"/>
    <d v="2052-04-01T00:00:00"/>
    <d v="2021-01-13T00:00:00"/>
  </r>
  <r>
    <n v="19"/>
    <s v="Muh Khabib, SIP."/>
    <x v="1"/>
    <s v="Magelang"/>
    <d v="1992-03-15T00:00:00"/>
    <s v="199203152020121009"/>
    <s v="3308051503920001"/>
    <m/>
    <s v="Pustakawan Ahli Pertama"/>
    <s v="Biro Administrasi Akademik, Kemahasiswaan dan Kerjasama ditugaskan pada UPT Pusat Perpustakaan "/>
    <d v="2022-11-01T00:00:00"/>
    <s v="III/a"/>
    <d v="2020-12-01T00:00:00"/>
    <n v="0"/>
    <n v="0"/>
    <x v="3"/>
    <s v="Ilmu Perpustakaan UIN Sunan Kalijaga Tahun 2014"/>
    <d v="2050-04-01T00:00:00"/>
    <d v="2021-01-13T00:00:00"/>
  </r>
  <r>
    <n v="20"/>
    <s v="Pratiwi Pramitaningdyah, SE."/>
    <x v="2"/>
    <s v="Yogyakarta"/>
    <d v="1987-06-12T00:00:00"/>
    <s v="198706122020122007"/>
    <s v="3471045206870001"/>
    <m/>
    <s v="Penyusun Program Anggaran dan Pelaporan"/>
    <s v="Biro Administrasi Akademik, Kemahasiswaan dan Kerjasama ditugaskan pada UPT Pusat Perpustakaan "/>
    <m/>
    <s v="III/a"/>
    <d v="2020-12-01T00:00:00"/>
    <n v="0"/>
    <n v="0"/>
    <x v="3"/>
    <s v="Akuntansi Manajemen UPN Veteran Yogyakarta Tahun 2010"/>
    <d v="2045-04-01T00:00:00"/>
    <d v="2023-01-02T00:00:00"/>
  </r>
  <r>
    <n v="21"/>
    <s v="Singgih Pujiriyono"/>
    <x v="1"/>
    <s v="Surabaya"/>
    <s v="22-01-1967"/>
    <s v="196701222009011001"/>
    <s v="3471122201670001"/>
    <m/>
    <s v="Pengadministrasi Perpustakaan"/>
    <s v="Biro Administrasi Akademik, Kemahasiswaan dan Kerjasama ditugaskan pada UPT Pusat Perpustakaan "/>
    <m/>
    <s v="II/d"/>
    <d v="2021-04-01T00:00:00"/>
    <n v="19"/>
    <n v="11"/>
    <x v="5"/>
    <n v="1986"/>
    <d v="2025-02-01T00:00:00"/>
    <d v="2024-04-01T00:00:00"/>
  </r>
  <r>
    <s v="UPT PUSAT PENGEMBANGAN BISNIS"/>
    <m/>
    <x v="0"/>
    <m/>
    <m/>
    <m/>
    <m/>
    <m/>
    <m/>
    <m/>
    <m/>
    <m/>
    <m/>
    <m/>
    <m/>
    <x v="0"/>
    <m/>
    <m/>
    <m/>
  </r>
  <r>
    <n v="1"/>
    <s v="R. Moh. Fajar Himawan"/>
    <x v="1"/>
    <s v="Sleman"/>
    <d v="1968-03-30T00:00:00"/>
    <s v="196803301991031002"/>
    <s v="3471013003680002"/>
    <m/>
    <s v="Teknisi Sarana dan Prasarana"/>
    <s v="Biro Administrasi Umum dan Keuangan ditugaskan pada UPT Pusat Pengembangan Bisnis"/>
    <m/>
    <s v="III/b"/>
    <d v="2011-04-01T00:00:00"/>
    <n v="15"/>
    <n v="1"/>
    <x v="5"/>
    <s v="Negeri II Yogyakarta "/>
    <d v="2026-04-01T00:00:00"/>
    <d v="2019-07-10T00:00:00"/>
  </r>
  <r>
    <n v="2"/>
    <s v="Fachry Zainuddin, S.T."/>
    <x v="1"/>
    <s v="Pasuruan"/>
    <s v="11-05-1982"/>
    <s v="198205112011011009"/>
    <s v="3522151105820014"/>
    <m/>
    <s v="Teknisi Peralatan, Listrik dan Elektronika"/>
    <s v="Biro Administrasi Umum dan Keuangan ditugaskan pada UPT Pusat Pengembangan Bisnis"/>
    <m/>
    <s v="III/d"/>
    <d v="2024-10-01T00:00:00"/>
    <n v="13"/>
    <n v="9"/>
    <x v="3"/>
    <s v="S1 Teknik Mesin Tahun 2008"/>
    <d v="2040-02-01T00:00:00"/>
    <d v="2019-01-23T00:00:00"/>
  </r>
  <r>
    <n v="3"/>
    <s v="Tyas Fajarini"/>
    <x v="2"/>
    <s v="Kulonprogo"/>
    <d v="1971-09-30T00:00:00"/>
    <s v="197109302002122001"/>
    <s v="3404017009710001"/>
    <m/>
    <s v="Bendahara"/>
    <s v="Biro Administrasi Umum dan Keuangan ditugaskan pada UPT Pusat Pengembangan Bisnis"/>
    <m/>
    <s v="III/b"/>
    <d v="2023-04-01T00:00:00"/>
    <n v="24"/>
    <n v="6"/>
    <x v="5"/>
    <s v="SMA IPS Tahun 1990"/>
    <s v="01-10-2029"/>
    <d v="2021-06-12T00:00:00"/>
  </r>
  <r>
    <s v="UPT PUSAT PENGEMBANGAN BAHASA"/>
    <m/>
    <x v="0"/>
    <m/>
    <m/>
    <m/>
    <m/>
    <m/>
    <m/>
    <m/>
    <m/>
    <m/>
    <m/>
    <m/>
    <m/>
    <x v="0"/>
    <m/>
    <m/>
    <m/>
  </r>
  <r>
    <n v="1"/>
    <s v="Umi Saadah, SE."/>
    <x v="2"/>
    <s v="Sleman"/>
    <d v="1976-05-26T00:00:00"/>
    <s v="197605262011012003"/>
    <s v="3404036605760001"/>
    <m/>
    <s v="Pengelola Keuangan"/>
    <s v="Biro Administrasi Umum dan Keuangan ditugaskan pada UPT Pusat Pengembangan Bisnis"/>
    <m/>
    <s v="III/d"/>
    <d v="2023-04-01T00:00:00"/>
    <n v="12"/>
    <n v="3"/>
    <x v="3"/>
    <s v="UMY Ekonomi Akuntansi 1999"/>
    <d v="2034-06-01T00:00:00"/>
    <d v="2024-06-03T00:00:00"/>
  </r>
  <r>
    <n v="2"/>
    <s v="Muhamad Nurudin"/>
    <x v="1"/>
    <s v="Bantul"/>
    <s v="17-09-1979"/>
    <s v="197909172009101001"/>
    <s v="3402121709790001"/>
    <m/>
    <s v="Pengadministrasi Umum"/>
    <s v="Biro Administrasi Akademik, Kemahasiswaan dan Kerjasama ditugaskan pada UPT Pusat Pengembangan Bahasa"/>
    <m/>
    <s v="II/d"/>
    <d v="2021-10-01T00:00:00"/>
    <n v="20"/>
    <n v="5"/>
    <x v="6"/>
    <m/>
    <d v="2037-10-01T00:00:00"/>
    <d v="2023-01-09T00:00:00"/>
  </r>
  <r>
    <s v="PUSAT ADMISI"/>
    <m/>
    <x v="0"/>
    <m/>
    <m/>
    <m/>
    <m/>
    <m/>
    <m/>
    <m/>
    <m/>
    <m/>
    <m/>
    <m/>
    <m/>
    <x v="0"/>
    <m/>
    <m/>
    <m/>
  </r>
  <r>
    <n v="1"/>
    <s v="Nurul Mar’ati Saleh, S.T., M.M."/>
    <x v="2"/>
    <s v="Ketapang"/>
    <d v="1984-03-01T00:00:00"/>
    <s v="198403012008012008"/>
    <s v="3402084103840002"/>
    <m/>
    <s v="Pranata Humas Ahli Muda "/>
    <s v="Biro Administrasi Umum dan Keuangan ditugaskan pada Pusat Admisi"/>
    <d v="2021-04-01T00:00:00"/>
    <s v="III/d"/>
    <s v="01-04-2020"/>
    <n v="12"/>
    <n v="3"/>
    <x v="2"/>
    <s v="Manajemen SDM STIE Widya Wiwaha Tahun 2016"/>
    <d v="2042-04-01T00:00:00"/>
    <d v="2022-01-01T00:00:00"/>
  </r>
  <r>
    <s v="KLINIK PRATAMA"/>
    <m/>
    <x v="0"/>
    <m/>
    <m/>
    <s v=" "/>
    <m/>
    <m/>
    <m/>
    <m/>
    <m/>
    <m/>
    <m/>
    <m/>
    <m/>
    <x v="0"/>
    <m/>
    <m/>
    <m/>
  </r>
  <r>
    <n v="1"/>
    <s v="dr. Diana Rismajani"/>
    <x v="2"/>
    <s v="Ujung Pandang"/>
    <s v="29-07-1971"/>
    <s v="197107292005022003"/>
    <s v="3404136907710003"/>
    <m/>
    <s v="Dokter Ahli Madya"/>
    <s v="Biro Administrasi Umum dan Keuangan ditugaskan pada Klinik Pratama"/>
    <s v="01-02-2022"/>
    <s v="IV/b"/>
    <s v="01-06-2024"/>
    <n v="20"/>
    <n v="10"/>
    <x v="3"/>
    <s v="UNHAS Kedokteran"/>
    <d v="2029-08-01T00:00:00"/>
    <d v="2007-07-01T00:00:00"/>
  </r>
  <r>
    <n v="2"/>
    <s v="Agus Priyanta"/>
    <x v="1"/>
    <s v="Yogyakarta"/>
    <d v="1969-04-04T00:00:00"/>
    <s v="196904041993031002"/>
    <s v="3471030404690002"/>
    <m/>
    <s v="Pengemudi"/>
    <s v="Biro Administrasi Umum dan Keuangan ditugaskan pada Klinik Pratama"/>
    <m/>
    <s v="III/b"/>
    <d v="2013-04-01T00:00:00"/>
    <n v="15"/>
    <n v="1"/>
    <x v="11"/>
    <s v=" "/>
    <d v="2027-05-01T00:00:00"/>
    <d v="2012-10-22T00:00:00"/>
  </r>
  <r>
    <n v="3"/>
    <s v="Farkhanati Mumtazah"/>
    <x v="2"/>
    <s v="Kulon Progo"/>
    <d v="1971-07-05T00:00:00"/>
    <s v="197107052000032001"/>
    <s v="3401024507710001"/>
    <m/>
    <s v="Pengelola Layanan Operasional"/>
    <s v="Biro Administrasi Umum dan Keuangan ditugaskan pada Klinik Pratama"/>
    <d v="2009-07-01T00:00:00"/>
    <s v="III/c"/>
    <d v="2018-04-01T00:00:00"/>
    <n v="16"/>
    <n v="1"/>
    <x v="4"/>
    <s v="Refraksionis Optisi 1996"/>
    <d v="2029-08-01T00:00:00"/>
    <d v="2013-03-04T00:00:00"/>
  </r>
  <r>
    <n v="4"/>
    <s v="Nur Rokhmah Hidayati, S.Farm., Apt."/>
    <x v="2"/>
    <s v="Bantul"/>
    <d v="1981-11-15T00:00:00"/>
    <s v="198111152008012013"/>
    <s v="3401025511810021"/>
    <m/>
    <s v="Pengelola Layanan Operasional"/>
    <s v="Biro Administrasi Umum dan Keuangan ditugaskan pada Klinik Pratama"/>
    <m/>
    <s v="III/c"/>
    <d v="2022-10-01T00:00:00"/>
    <n v="14"/>
    <n v="9"/>
    <x v="3"/>
    <s v="UGM, Ilmu Farmasi"/>
    <d v="2039-12-01T00:00:00"/>
    <d v="2008-01-02T00:00:00"/>
  </r>
  <r>
    <n v="5"/>
    <s v="dr. Devy Eka Avitasari"/>
    <x v="2"/>
    <s v="Ngawi"/>
    <d v="1993-10-01T00:00:00"/>
    <s v="‌199310012020122011"/>
    <s v="3521044110930001"/>
    <m/>
    <s v="Dokter Ahli Pertama"/>
    <s v="Biro Administrasi Umum dan Keuangan ditugaskan pada Klinik Pratama"/>
    <m/>
    <s v="III/b"/>
    <d v="2020-12-01T00:00:00"/>
    <n v="0"/>
    <n v="0"/>
    <x v="3"/>
    <s v="S-1 Dokter Umum UGM 2017"/>
    <d v="2051-11-01T00:00:00"/>
    <d v="2021-01-13T00:00:00"/>
  </r>
  <r>
    <n v="6"/>
    <s v="Fitri Nurtaati, S.Farm., Apt."/>
    <x v="2"/>
    <s v="Yogyakarta"/>
    <s v="13-12-1982"/>
    <s v="198212132008012008"/>
    <s v="3404075312820002"/>
    <m/>
    <s v="Pengelola Layanan Operasional"/>
    <s v="Biro Administrasi Umum dan Keuangan ditugaskan pada Klinik Pratama"/>
    <m/>
    <s v="III/c"/>
    <d v="2022-10-01T00:00:00"/>
    <n v="14"/>
    <n v="9"/>
    <x v="3"/>
    <s v="UGM, Farmasi"/>
    <d v="2040-01-01T00:00:00"/>
    <d v="2008-01-02T00:00:00"/>
  </r>
  <r>
    <n v="7"/>
    <s v="Etty Daryanti, SIP"/>
    <x v="2"/>
    <s v="Bandung"/>
    <d v="1969-07-07T00:00:00"/>
    <s v="196907071989012002"/>
    <s v="3404174707690003"/>
    <m/>
    <s v="Pengadministrasi Rekam Medis dan Informasi"/>
    <s v="Biro Administrasi Umum dan Keuangan ditugaskan pada Klinik Pratama"/>
    <s v=" "/>
    <s v="III/c"/>
    <d v="2023-10-01T00:00:00"/>
    <n v="29"/>
    <n v="9"/>
    <x v="3"/>
    <s v="Ilmu Politik Tahun 2015"/>
    <d v="2027-08-01T00:00:00"/>
    <d v="2003-07-01T00:00:00"/>
  </r>
  <r>
    <n v="8"/>
    <s v="Alfian, AMK."/>
    <x v="1"/>
    <s v="Jakarta"/>
    <d v="1976-10-11T00:00:00"/>
    <s v="197610112002121001"/>
    <s v="3310111110760002"/>
    <m/>
    <s v="Pengelola Layanan Operasional"/>
    <s v="Biro Administrasi Umum dan Keuangan ditugaskan pada Klinik Pratama"/>
    <m/>
    <s v="III/c"/>
    <d v="2022-04-01T00:00:00"/>
    <n v="17"/>
    <n v="4"/>
    <x v="4"/>
    <s v="Akademi Keperawatan Yogyakarta"/>
    <d v="2034-11-01T00:00:00"/>
    <d v="2002-12-01T00:00:00"/>
  </r>
  <r>
    <n v="9"/>
    <s v="Istinganah, A.Md.Kes."/>
    <x v="2"/>
    <s v="Sleman"/>
    <d v="1979-09-27T00:00:00"/>
    <s v="197909272006042007"/>
    <s v="1672016709790002"/>
    <m/>
    <s v="Perawat Gigi Pelaksana Lanjutan/Mahir"/>
    <s v="Biro Administrasi Umum dan Keuangan ditugaskan pada Klinik Pratama"/>
    <d v="2008-02-01T00:00:00"/>
    <s v="III/b"/>
    <d v="2024-10-01T00:00:00"/>
    <n v="13"/>
    <n v="6"/>
    <x v="4"/>
    <s v="Kesehatan Gigi, Politeknik Kesehatan Kemenkes Yogyakarta Tahun 2019"/>
    <d v="2037-10-01T00:00:00"/>
    <d v="2014-10-01T00:00:00"/>
  </r>
  <r>
    <n v="10"/>
    <s v="drg. Mahadna Aulia Rahmah"/>
    <x v="2"/>
    <s v=" Demak"/>
    <d v="1993-08-07T00:00:00"/>
    <s v="199308072019032013 "/>
    <s v="3374154708930002"/>
    <m/>
    <s v="Dokter Gigi Ahli Pertama"/>
    <s v="Biro Administrasi Umum dan Keuangan ditugaskan pada Klinik Pratama"/>
    <d v="2023-06-01T00:00:00"/>
    <s v="III/b"/>
    <d v="2019-03-01T00:00:00"/>
    <n v="0"/>
    <n v="0"/>
    <x v="3"/>
    <s v="S1 Kedokteran Gigi UGM Tahun 2017"/>
    <d v="2053-08-01T00:00:00"/>
    <d v="2019-05-20T00:00:00"/>
  </r>
  <r>
    <n v="11"/>
    <s v="Agung Pribadi, ST.r.Rad."/>
    <x v="1"/>
    <s v="Surakarta"/>
    <d v="1991-10-20T00:00:00"/>
    <s v="199110202019031008 "/>
    <s v="3302272010910002"/>
    <m/>
    <s v="Radiografer Ahli Pertama"/>
    <s v="Biro Administrasi Umum dan Keuangan ditugaskan pada Klinik Pratama"/>
    <m/>
    <s v="III/a"/>
    <d v="2019-03-01T00:00:00"/>
    <n v="0"/>
    <n v="0"/>
    <x v="14"/>
    <s v="D4  Teknik Radiologi Politeknik Kesehatan Kementerian Kesehatan Semarang Tahun 2017"/>
    <d v="2051-11-01T00:00:00"/>
    <d v="2019-05-20T00:00:00"/>
  </r>
  <r>
    <s v="LABORATORIUM TERPADU"/>
    <m/>
    <x v="0"/>
    <m/>
    <m/>
    <m/>
    <m/>
    <m/>
    <m/>
    <m/>
    <m/>
    <m/>
    <m/>
    <m/>
    <m/>
    <x v="0"/>
    <m/>
    <m/>
    <m/>
  </r>
  <r>
    <n v="1"/>
    <s v="Agung Nugroho, S.Si."/>
    <x v="1"/>
    <s v="Klaten"/>
    <s v="06-06-1983"/>
    <s v="198306062008011007"/>
    <s v="3404050606830003"/>
    <n v="7700010240"/>
    <s v="Pranata Laboratorium Pendidikan Ahli Muda  "/>
    <s v="Biro Administrasi Akademik, Kemahasiswaan dan Kerjasama ditugaskan pada Laboratorium Terpadu "/>
    <d v="2017-05-01T00:00:00"/>
    <s v="III/d"/>
    <d v="2021-10-01T00:00:00"/>
    <n v="13"/>
    <n v="9"/>
    <x v="3"/>
    <s v="UNY, Fisika, Tahun 2005"/>
    <d v="2041-07-01T00:00:00"/>
    <d v="2008-01-01T00:00:00"/>
  </r>
  <r>
    <n v="2"/>
    <s v="Agus Suwandi, ST."/>
    <x v="1"/>
    <s v="Cirebon"/>
    <s v="20-08-1980"/>
    <s v="198008202009011017"/>
    <s v="3404072008800014"/>
    <m/>
    <s v="Pranata Laboratorium Pendidikan Ahli Muda  "/>
    <s v="Biro Administrasi Akademik, Kemahasiswaan dan Kerjasama ditugaskan pada Laboratorium Terpadu "/>
    <d v="2017-05-01T00:00:00"/>
    <s v="III/c"/>
    <d v="2017-10-01T00:00:00"/>
    <n v="8"/>
    <n v="9"/>
    <x v="3"/>
    <s v="Instiut Sains dan Teknologi AKPRIND, Teknik Industri, Tahun 2005"/>
    <d v="2038-09-01T00:00:00"/>
    <d v="2010-03-01T00:00:00"/>
  </r>
  <r>
    <n v="3"/>
    <s v="Anif Yuni Muallifah, S.Pd.I., M.Biotech"/>
    <x v="2"/>
    <s v="Kediri"/>
    <s v="01-06-1983"/>
    <s v="198306012009122005"/>
    <s v="3506014106830001"/>
    <n v="7700010337"/>
    <s v="Pranata Laboratorium Pendidikan Ahli Muda  "/>
    <s v="Biro Administrasi Akademik, Kemahasiswaan dan Kerjasama ditugaskan pada Laboratorium Terpadu "/>
    <d v="2017-04-01T00:00:00"/>
    <s v="III/c"/>
    <d v="2017-10-01T00:00:00"/>
    <n v="7"/>
    <n v="10"/>
    <x v="2"/>
    <s v="Bioteknologi UGM Tahun 2021"/>
    <d v="2041-07-01T00:00:00"/>
    <d v="2010-05-01T00:00:00"/>
  </r>
  <r>
    <n v="4"/>
    <s v="Asim Septiyansyah, S.Si."/>
    <x v="1"/>
    <s v="Magelang"/>
    <s v="02-09-1982"/>
    <s v="198209022008011006"/>
    <s v="3308130209820001"/>
    <n v="7700010277"/>
    <s v="Pranata Laboratorium Pendidikan Ahli Muda  "/>
    <s v="Biro Administrasi Akademik, Kemahasiswaan dan Kerjasama ditugaskan pada Laboratorium Terpadu "/>
    <d v="2017-04-01T00:00:00"/>
    <s v="III/c"/>
    <d v="2017-10-01T00:00:00"/>
    <n v="9"/>
    <n v="9"/>
    <x v="3"/>
    <s v="UNY, Fisika, Tahun 2007"/>
    <d v="2040-10-01T00:00:00"/>
    <d v="2008-01-01T00:00:00"/>
  </r>
  <r>
    <n v="5"/>
    <s v="Ethik Susiawati Purnomo, S.Si."/>
    <x v="2"/>
    <s v="Bantul"/>
    <s v="27-03-1980"/>
    <s v="198003272009012006"/>
    <s v="3402136703800005"/>
    <n v="7700010338"/>
    <s v="Pranata Laboratorium Pendidikan Ahli Muda  "/>
    <s v="Biro Administrasi Akademik, Kemahasiswaan dan Kerjasama ditugaskan pada Laboratorium Terpadu "/>
    <d v="2017-04-01T00:00:00"/>
    <s v="III/d"/>
    <d v="2024-06-01T00:00:00"/>
    <n v="15"/>
    <n v="5"/>
    <x v="3"/>
    <s v="UGM, Biologi, Tahun 2003"/>
    <d v="2038-04-01T00:00:00"/>
    <d v="2010-03-01T00:00:00"/>
  </r>
  <r>
    <n v="6"/>
    <s v="Sutriyono, S.Si."/>
    <x v="1"/>
    <s v="Sleman"/>
    <s v="07-01-1979"/>
    <s v="197901072009011009"/>
    <s v="3471030701790002"/>
    <m/>
    <s v="Pranata Laboratorium Pendidikan Ahli Muda  "/>
    <s v="Biro Administrasi Akademik, Kemahasiswaan dan Kerjasama ditugaskan pada Laboratorium Terpadu "/>
    <d v="2017-04-01T00:00:00"/>
    <s v="III/d"/>
    <d v="2024-06-01T00:00:00"/>
    <n v="15"/>
    <n v="5"/>
    <x v="3"/>
    <s v="UNY, Biologi, Tahun 2004"/>
    <d v="2037-02-01T00:00:00"/>
    <d v="2010-03-01T00:00:00"/>
  </r>
  <r>
    <n v="7"/>
    <s v="Win Indra Gunawan, S.Si."/>
    <x v="1"/>
    <s v="Pekalongan"/>
    <s v="16-11-1974"/>
    <s v="197411162009011004"/>
    <s v="3403091611740002"/>
    <n v="7700010382"/>
    <s v="Pranata Laboratorium Pendidikan Ahli Muda  "/>
    <s v="Biro Administrasi Akademik, Kemahasiswaan dan Kerjasama ditugaskan pada Laboratorium Terpadu "/>
    <d v="2017-04-01T00:00:00"/>
    <s v="III/d"/>
    <d v="2024-06-01T00:00:00"/>
    <n v="15"/>
    <n v="5"/>
    <x v="3"/>
    <s v="UGM, Fisika, Tahun 2003"/>
    <d v="2032-12-01T00:00:00"/>
    <d v="2010-03-01T00:00:00"/>
  </r>
  <r>
    <n v="8"/>
    <s v="Indra Nafiyanto, S.Si."/>
    <x v="1"/>
    <s v="Sukoharjo"/>
    <s v="14-02-1982"/>
    <s v="198202142009011007"/>
    <s v="3404121402820005"/>
    <n v="7700010316"/>
    <s v="Pranata Laboratorium Pendidikan Ahli Muda  "/>
    <s v="Biro Administrasi Akademik, Kemahasiswaan dan Kerjasama ditugaskan pada Laboratorium Terpadu "/>
    <d v="2018-08-01T00:00:00"/>
    <s v="III/c"/>
    <d v="2018-10-01T00:00:00"/>
    <n v="9"/>
    <n v="9"/>
    <x v="3"/>
    <s v="UNSOED, Kimia, Tahun 2004"/>
    <d v="2040-03-01T00:00:00"/>
    <d v="2010-03-01T00:00:00"/>
  </r>
  <r>
    <n v="9"/>
    <s v="Muhammad Ikhwan Ardiansyah, ST."/>
    <x v="1"/>
    <s v="Bantul"/>
    <s v="29-05-1984"/>
    <s v="198405292009011005"/>
    <s v="3401022905840021"/>
    <n v="7700010315"/>
    <s v="Pranata Laboratorium Pendidikan Ahli Muda  "/>
    <s v="Biro Administrasi Akademik, Kemahasiswaan dan Kerjasama ditugaskan pada Laboratorium Terpadu "/>
    <d v="2018-08-01T00:00:00"/>
    <s v="III/c"/>
    <d v="2018-10-01T00:00:00"/>
    <n v="9"/>
    <n v="9"/>
    <x v="3"/>
    <s v="UPN VETERAN, Teknik Industri, Tahun 2007"/>
    <d v="2042-06-01T00:00:00"/>
    <d v="2010-03-01T00:00:00"/>
  </r>
  <r>
    <n v="10"/>
    <s v="A. Wijayanto, S.Si."/>
    <x v="1"/>
    <s v="Rembang"/>
    <s v="15-04-1978"/>
    <s v="197804152008011010"/>
    <s v="3317101504780007"/>
    <n v="7700010286"/>
    <s v="Pranata Laboratorium Pendidikan Ahli Pertama"/>
    <s v="Biro Administrasi Akademik, Kemahasiswaan dan Kerjasama ditugaskan pada Laboratorium Terpadu "/>
    <d v="2011-07-01T00:00:00"/>
    <s v="III/b"/>
    <s v="01-10-2015"/>
    <n v="7"/>
    <n v="9"/>
    <x v="3"/>
    <s v="UGM, Kimia, Tahun 2004"/>
    <d v="2036-05-01T00:00:00"/>
    <d v="2008-01-01T00:00:00"/>
  </r>
  <r>
    <n v="11"/>
    <s v="Isni Gustanti, S.Si."/>
    <x v="2"/>
    <s v="Sleman"/>
    <d v="1984-08-13T00:00:00"/>
    <s v="198408132011012015"/>
    <s v="3404105308840002"/>
    <n v="7700010332"/>
    <s v="Pranata Laboratorium Pendidikan Ahli Pertama"/>
    <s v="Biro Administrasi Akademik, Kemahasiswaan dan Kerjasama ditugaskan pada Laboratorium Terpadu "/>
    <d v="2018-08-01T00:00:00"/>
    <s v="III/b"/>
    <d v="2018-10-01T00:00:00"/>
    <n v="7"/>
    <n v="9"/>
    <x v="3"/>
    <s v="UGM, Kimia, Tahun 2007"/>
    <d v="2042-09-01T00:00:00"/>
    <d v="2011-04-01T00:00:00"/>
  </r>
  <r>
    <n v="12"/>
    <s v="Medi Yanuarto, S.T."/>
    <x v="1"/>
    <s v="Indramayu"/>
    <s v="15-01-1981"/>
    <s v="198101152008011017"/>
    <s v="3404071501810005"/>
    <n v="7700010386"/>
    <s v="Pranata Laboratorium Pendidikan Ahli Pertama"/>
    <s v="Biro Administrasi Akademik, Kemahasiswaan dan Kerjasama ditugaskan pada Laboratorium Terpadu "/>
    <d v="2011-07-01T00:00:00"/>
    <s v="III/b"/>
    <d v="2017-10-01T00:00:00"/>
    <n v="9"/>
    <n v="9"/>
    <x v="3"/>
    <s v="UII,Teknik elektro, Tahun 2007"/>
    <d v="2039-02-01T00:00:00"/>
    <d v="2008-01-01T00:00:00"/>
  </r>
  <r>
    <n v="13"/>
    <s v="Dony Eko Saputro, S.Pd.I."/>
    <x v="1"/>
    <s v="Sukoharjo"/>
    <d v="1982-05-01T00:00:00"/>
    <s v="198205012009101004"/>
    <s v="3311070105820003"/>
    <n v="7700010287"/>
    <s v="Pranata Laboratorium Pendidikan Ahli Pertama"/>
    <s v="Biro Administrasi Akademik, Kemahasiswaan dan Kerjasama ditugaskan pada Laboratorium Terpadu "/>
    <d v="2019-07-01T00:00:00"/>
    <s v="III/a"/>
    <d v="2015-10-01T00:00:00"/>
    <n v="5"/>
    <n v="11"/>
    <x v="3"/>
    <s v="Pendidikan Biologi "/>
    <d v="2040-06-01T00:00:00"/>
    <d v="2010-06-01T00:00:00"/>
  </r>
  <r>
    <n v="14"/>
    <s v="Muhammad Munawir, S.T."/>
    <x v="1"/>
    <s v="Lendah, Kulonprogo"/>
    <d v="1983-04-23T00:00:00"/>
    <s v="198304232011011004"/>
    <s v="3401052304830001"/>
    <n v="7700010239"/>
    <s v="Pranata Laboratorium Pendidikan Ahli Pertama"/>
    <s v="Biro Administrasi Akademik, Kemahasiswaan dan Kerjasama ditugaskan pada Laboratorium Terpadu "/>
    <d v="2017-04-01T00:00:00"/>
    <s v="III/a"/>
    <d v="2011-01-01T00:00:00"/>
    <n v="1"/>
    <n v="2"/>
    <x v="3"/>
    <s v="Teknik elektro Tahun 2004"/>
    <d v="2041-05-01T00:00:00"/>
    <d v="2011-04-01T00:00:00"/>
  </r>
  <r>
    <n v="15"/>
    <s v="Yusuf Murdani, S.Kom."/>
    <x v="1"/>
    <s v="Tulungaggung"/>
    <s v="16-10-1983"/>
    <s v="198310162011011005"/>
    <s v="3310201610830001"/>
    <n v="7700010333"/>
    <s v="Pranata Laboratorium Pendidikan Ahli Pertama"/>
    <s v="Biro Administrasi Akademik, Kemahasiswaan dan Kerjasama ditugaskan pada Laboratorium Terpadu "/>
    <d v="2017-04-01T00:00:00"/>
    <s v="III/a"/>
    <d v="2011-01-01T00:00:00"/>
    <n v="1"/>
    <n v="2"/>
    <x v="3"/>
    <s v="Sistem Informasi Tahun 2007"/>
    <d v="2041-11-01T00:00:00"/>
    <d v="2011-04-01T00:00:00"/>
  </r>
  <r>
    <n v="16"/>
    <s v="Awan Pramudya Wardhani, S.Kom."/>
    <x v="1"/>
    <s v="Ponorogo"/>
    <s v="12-02-1976"/>
    <s v="197602122009121001"/>
    <s v="3471141202760002"/>
    <n v="7700010285"/>
    <s v="Pranata Laboratorium Pendidikan Ahli Pertama/Koordinator Sarana dan Prasarana Laboraotrium (01-10-2020)"/>
    <s v="Biro Administrasi Akademik, Kemahasiswaan dan Kerjasama ditugaskan pada Laboratorium Terpadu "/>
    <d v="2011-07-01T00:00:00"/>
    <s v="III/b"/>
    <d v="2015-10-01T00:00:00"/>
    <n v="5"/>
    <n v="10"/>
    <x v="3"/>
    <s v="STIMIK Akakom, Teknik Informatika, Tahun 2009"/>
    <d v="2034-03-01T00:00:00"/>
    <d v="2010-05-01T00:00:00"/>
  </r>
  <r>
    <s v="FAKULTAS ADAB DAN ILMU BUDAYA (FADIB)"/>
    <m/>
    <x v="0"/>
    <m/>
    <m/>
    <m/>
    <m/>
    <m/>
    <m/>
    <m/>
    <m/>
    <m/>
    <m/>
    <m/>
    <m/>
    <x v="0"/>
    <m/>
    <m/>
    <m/>
  </r>
  <r>
    <n v="1"/>
    <s v="Siti Asfiah, S.Ag., MM."/>
    <x v="2"/>
    <s v="Balapulang,Tegal"/>
    <d v="1973-07-25T00:00:00"/>
    <s v="197307252003122003"/>
    <s v="3402126507730002"/>
    <m/>
    <s v="Kepala Bagian"/>
    <s v="Bagian Tata Usaha Fakultas Adab dan Ilmu Budaya"/>
    <d v="2023-09-04T00:00:00"/>
    <s v="IV/b"/>
    <d v="2024-10-01T00:00:00"/>
    <n v="20"/>
    <n v="10"/>
    <x v="2"/>
    <s v="STIE Widya Wiwaha, Magister Manajemen, 2012"/>
    <d v="2031-08-01T00:00:00"/>
    <d v="2013-05-20T00:00:00"/>
  </r>
  <r>
    <n v="2"/>
    <s v="Siti Zainia Faridha, S.Si., M.Si."/>
    <x v="2"/>
    <s v="Kulon Progo"/>
    <d v="1977-07-26T00:00:00"/>
    <s v="197707262008012013"/>
    <s v="3401016607770001"/>
    <m/>
    <s v="Arsiparis Ahli Muda  "/>
    <s v="Bagian Tata Usaha Fakultas Adab dan Ilmu Budaya"/>
    <d v="2020-12-18T00:00:00"/>
    <s v="III/d"/>
    <s v="0104/2024"/>
    <n v="16"/>
    <n v="3"/>
    <x v="2"/>
    <s v="UPN Ilmu Ekonomi Tahun 2015"/>
    <d v="2035-08-01T00:00:00"/>
    <s v=" "/>
  </r>
  <r>
    <n v="3"/>
    <s v="Suharyati, SE."/>
    <x v="2"/>
    <s v="Kulonprogo"/>
    <d v="1970-01-01T00:00:00"/>
    <s v="197001011991032004"/>
    <s v="3401064101700001"/>
    <m/>
    <s v="Analis Keuangan APBN Ahli Muda"/>
    <s v="Bagian Tata Usaha Fakultas Adab dan Ilmu Budaya"/>
    <d v="2021-12-30T00:00:00"/>
    <s v="III/d"/>
    <d v="2019-10-01T00:00:00"/>
    <n v="23"/>
    <n v="7"/>
    <x v="3"/>
    <s v="Akuntansi Keuangan"/>
    <d v="2028-02-01T00:00:00"/>
    <s v=" "/>
  </r>
  <r>
    <n v="4"/>
    <s v="Sri Lestari, AKS., M.Si."/>
    <x v="2"/>
    <s v="Wonosobo"/>
    <d v="1972-04-24T00:00:00"/>
    <s v="197204241998032001"/>
    <s v="3471146404720001"/>
    <m/>
    <s v="Pengembang Teknologi Pembelajaran Ahli Muda  "/>
    <s v="Bagian Tata Usaha Fakultas Adab dan Ilmu Budaya"/>
    <d v="2021-12-30T00:00:00"/>
    <s v="IV/a"/>
    <s v="01-10-2014"/>
    <n v="16"/>
    <n v="7"/>
    <x v="2"/>
    <s v="UIN Sunan Kalijaga Tahun 2012"/>
    <d v="2030-05-01T00:00:00"/>
    <s v=" "/>
  </r>
  <r>
    <n v="5"/>
    <s v="Raharjo, S.H."/>
    <x v="1"/>
    <s v="Sleman"/>
    <d v="1970-08-29T00:00:00"/>
    <s v="197008291999011001"/>
    <s v="3404122908700002"/>
    <m/>
    <s v="Pengelola Bahan Akademik dan Pengajaran"/>
    <s v="Bagian Tata Usaha Fakultas Adab dan Ilmu Budaya"/>
    <m/>
    <s v="III/d"/>
    <d v="2011-04-01T00:00:00"/>
    <n v="12"/>
    <n v="3"/>
    <x v="3"/>
    <s v="Univ. Janabadra, Hukum Keperdataan"/>
    <d v="2028-09-01T00:00:00"/>
    <d v="2014-02-20T00:00:00"/>
  </r>
  <r>
    <n v="6"/>
    <s v="Abu Nasir, S.Ag., M.Pd.I"/>
    <x v="1"/>
    <s v="Cirebon"/>
    <d v="1978-01-02T00:00:00"/>
    <s v="197801022009011001"/>
    <s v="3402120201780005"/>
    <m/>
    <s v="Pengelola Bahan Akademik dan Pengajaran"/>
    <s v="Bagian Tata Usaha Fakultas Adab dan Ilmu Budaya"/>
    <m/>
    <s v="IV/a"/>
    <d v="2024-04-01T00:00:00"/>
    <n v="15"/>
    <n v="3"/>
    <x v="2"/>
    <s v="Magister Pendidikan Agama Islam"/>
    <d v="2036-02-01T00:00:00"/>
    <d v="2020-07-01T00:00:00"/>
  </r>
  <r>
    <n v="7"/>
    <s v="Jaka Tri Santosa, S.IP"/>
    <x v="1"/>
    <s v="Bantul"/>
    <d v="1967-05-03T00:00:00"/>
    <s v="196705031993031005"/>
    <s v="3402090305670001"/>
    <m/>
    <s v="Pranata Kearsipan"/>
    <s v="Bagian Tata Usaha Fakultas Adab dan Ilmu Budaya"/>
    <m/>
    <s v="III/d"/>
    <d v="2022-10-01T00:00:00"/>
    <n v="23"/>
    <n v="7"/>
    <x v="3"/>
    <s v="Administrasi Negara 2005"/>
    <d v="2025-06-01T00:00:00"/>
    <d v="2020-01-20T00:00:00"/>
  </r>
  <r>
    <n v="8"/>
    <s v="Muhammad Ridwan, S.IP"/>
    <x v="1"/>
    <s v="Yogyakarta"/>
    <d v="1971-03-05T00:00:00"/>
    <s v="197103051991031002"/>
    <s v="3403040503710002"/>
    <m/>
    <s v="Pengelola Kepegawaian"/>
    <s v="Bagian Tata Usaha Fakultas Adab dan Ilmu Budaya"/>
    <s v=" "/>
    <s v="III/d"/>
    <d v="2019-04-01T00:00:00"/>
    <n v="23"/>
    <n v="1"/>
    <x v="3"/>
    <s v="Administrasi Negara STISIPOL KARTIKA BANGSA 2001"/>
    <s v="01-04-2029"/>
    <d v="2022-01-01T00:00:00"/>
  </r>
  <r>
    <n v="9"/>
    <s v="Aris Munandar"/>
    <x v="1"/>
    <s v="Klaten"/>
    <d v="1971-09-09T00:00:00"/>
    <s v="197109091993031003"/>
    <s v="3402020909710001"/>
    <m/>
    <s v="Pengelola Bahan Akademik dan Pengajaran"/>
    <s v="Bagian Tata Usaha Fakultas Adab dan Ilmu Budaya"/>
    <m/>
    <s v="III/b"/>
    <d v="2013-04-01T00:00:00"/>
    <n v="15"/>
    <n v="1"/>
    <x v="5"/>
    <n v="1990"/>
    <d v="2029-10-01T00:00:00"/>
    <d v="2010-03-08T00:00:00"/>
  </r>
  <r>
    <n v="10"/>
    <s v="Dian Pertiwi Puji Rahayu"/>
    <x v="2"/>
    <s v="Brebes"/>
    <d v="1971-05-07T00:00:00"/>
    <s v="197105071991032001"/>
    <s v="3404074705710006"/>
    <m/>
    <s v="Bendahara"/>
    <s v="Bagian Tata Usaha Fakultas Adab dan Ilmu Budaya"/>
    <m/>
    <s v="III/b"/>
    <d v="2010-04-01T00:00:00"/>
    <n v="14"/>
    <n v="1"/>
    <x v="7"/>
    <s v="SLTA, SMEA KARYA BHAKTI AKUNTANSI1990 "/>
    <d v="2029-06-01T00:00:00"/>
    <d v="2020-09-08T00:00:00"/>
  </r>
  <r>
    <n v="11"/>
    <s v="Dahlan"/>
    <x v="1"/>
    <s v="Boyolali"/>
    <d v="1971-02-12T00:00:00"/>
    <s v="197102122000031001"/>
    <s v="3402121202710002"/>
    <m/>
    <s v="Pengadministrasi Umum"/>
    <s v="Bagian Tata Usaha Fakultas Adab dan Ilmu Budaya"/>
    <m/>
    <s v="III/b"/>
    <d v="2021-04-01T00:00:00"/>
    <n v="19"/>
    <n v="5"/>
    <x v="11"/>
    <m/>
    <d v="2029-03-01T00:00:00"/>
    <d v="2024-01-02T00:00:00"/>
  </r>
  <r>
    <n v="12"/>
    <s v="Umardani"/>
    <x v="1"/>
    <s v="Sleman"/>
    <s v="14-03-1968"/>
    <s v="196803142007011045"/>
    <s v="3404031403680002"/>
    <m/>
    <s v="Pengelola BMN"/>
    <s v="Bagian Tata Usaha Fakultas Adab dan Ilmu Budaya"/>
    <m/>
    <s v="III/a"/>
    <d v="2023-04-01T00:00:00"/>
    <n v="26"/>
    <n v="10"/>
    <x v="8"/>
    <s v="STM Mesin Tahun 1988"/>
    <d v="2026-04-01T00:00:00"/>
    <d v="2007-01-01T00:00:00"/>
  </r>
  <r>
    <n v="13"/>
    <s v="Dwi Laksono Wibowo"/>
    <x v="1"/>
    <s v="Sleman"/>
    <s v="01-06-1973"/>
    <s v="197306012009011005"/>
    <s v="3404130106730003"/>
    <m/>
    <s v="Pengadministrasi Umum"/>
    <s v="Bagian Tata Usaha Fakultas Adab dan Ilmu Budaya"/>
    <m/>
    <s v="II/d"/>
    <d v="2021-04-01T00:00:00"/>
    <n v="21"/>
    <n v="10"/>
    <x v="8"/>
    <s v="Mesin 1987"/>
    <d v="2031-07-01T00:00:00"/>
    <d v="2023-09-01T00:00:00"/>
  </r>
  <r>
    <n v="14"/>
    <s v="Sukadi"/>
    <x v="1"/>
    <s v="Sleman"/>
    <s v="06-10-1968"/>
    <s v="196810062007011025"/>
    <s v="3404100430680002"/>
    <m/>
    <s v="Pengemudi"/>
    <s v="Bagian Tata Usaha Fakultas Adab dan Ilmu Budaya"/>
    <m/>
    <s v="II/a"/>
    <d v="2022-10-01T00:00:00"/>
    <n v="31"/>
    <n v="7"/>
    <x v="15"/>
    <s v="IPS Tahun 2004"/>
    <d v="2026-11-01T00:00:00"/>
    <d v="2017-11-10T00:00:00"/>
  </r>
  <r>
    <n v="15"/>
    <s v="Edwin Tri Januarsyah, SE."/>
    <x v="1"/>
    <s v="Karawang"/>
    <d v="1993-01-28T00:00:00"/>
    <s v="‌199301282020121007"/>
    <s v="3215226801930001"/>
    <m/>
    <s v="Pengelola Bahan Akademik dan Pengajaran"/>
    <s v="Bagian Tata Usaha Fakultas Adab dan Ilmu Budaya"/>
    <m/>
    <s v="III/b"/>
    <d v="2024-12-01T00:00:00"/>
    <n v="4"/>
    <n v="0"/>
    <x v="3"/>
    <s v="Manajemen IPB Tahun 2014"/>
    <d v="2051-02-01T00:00:00"/>
    <d v="2021-01-13T00:00:00"/>
  </r>
  <r>
    <n v="16"/>
    <s v="Ulfi Suseni, A.Md. "/>
    <x v="2"/>
    <s v="CILACAP"/>
    <d v="1995-09-19T00:00:00"/>
    <s v="199509192022032002"/>
    <s v="'3301035909950001"/>
    <m/>
    <s v="Verifikator Keuangan"/>
    <s v="Bagian Tata Usaha Fakultas Adab dan Ilmu Budaya"/>
    <m/>
    <s v="II/c"/>
    <d v="2020-03-01T00:00:00"/>
    <n v="0"/>
    <n v="0"/>
    <x v="4"/>
    <s v="Perbankan Syari'ah UIN Walisongo Semarang"/>
    <d v="2053-10-01T00:00:00"/>
    <d v="2022-03-01T00:00:00"/>
  </r>
  <r>
    <s v="FAKULTAS DAKWAH DAN KOMUNIKASI (FDK)"/>
    <m/>
    <x v="0"/>
    <m/>
    <m/>
    <m/>
    <m/>
    <m/>
    <m/>
    <m/>
    <m/>
    <m/>
    <m/>
    <m/>
    <m/>
    <x v="0"/>
    <m/>
    <m/>
    <m/>
  </r>
  <r>
    <n v="1"/>
    <s v="H. Muhammad Agus Syafi, S.Ag., M.Si."/>
    <x v="1"/>
    <s v="Tuban"/>
    <d v="1976-08-23T00:00:00"/>
    <s v="197608232000121003"/>
    <m/>
    <m/>
    <s v="Kepala Bagian Tata Usaha"/>
    <s v="Bagian Tata Usaha Fakultas Dakwah dan Komunikasi"/>
    <d v="2024-10-18T00:00:00"/>
    <s v="IV/b"/>
    <d v="2023-04-01T00:00:00"/>
    <n v="22"/>
    <n v="4"/>
    <x v="2"/>
    <s v="Ilmu Administrasi 2015"/>
    <s v="01-09-2034"/>
    <s v=" "/>
  </r>
  <r>
    <n v="2"/>
    <s v="Fitri Nur Istiqomah, S.E., MM."/>
    <x v="2"/>
    <s v="Bantul"/>
    <d v="1982-11-28T00:00:00"/>
    <s v="198211282005012002"/>
    <s v="3402176811820001"/>
    <m/>
    <s v="Analis Keuangan APBN Ahli Muda"/>
    <s v="Bagian Tata Usaha Fakultas Dakwah dan Komunikasi"/>
    <d v="2021-12-30T00:00:00"/>
    <s v="IV/a"/>
    <d v="2021-04-01T00:00:00"/>
    <n v="16"/>
    <n v="3"/>
    <x v="2"/>
    <s v="Magister Manajemen, 2013"/>
    <d v="2040-12-01T00:00:00"/>
    <s v=" "/>
  </r>
  <r>
    <n v="3"/>
    <s v="Innayah, S.Sos., M.Pd."/>
    <x v="2"/>
    <s v="Sleman"/>
    <d v="1974-05-01T00:00:00"/>
    <s v="197405012001122002"/>
    <s v="3404034105740005"/>
    <m/>
    <s v="Pengadministrasi Umum"/>
    <s v="Bagian Tata Usaha Fakultas Dakwah dan Komunikasi"/>
    <m/>
    <s v="IV/a"/>
    <d v="2023-04-01T00:00:00"/>
    <n v="21"/>
    <n v="4"/>
    <x v="2"/>
    <s v="Penelitian dan Evaluasi Pendidikan Universitas Sarjana Wiyata Yogyakarta Tahun 2021"/>
    <d v="2032-06-01T00:00:00"/>
    <d v="2024-06-10T00:00:00"/>
  </r>
  <r>
    <n v="4"/>
    <s v="Nur Hasanah Sulistyowati, S.Ag"/>
    <x v="2"/>
    <s v="Surakarta"/>
    <d v="1967-10-08T00:00:00"/>
    <s v="196710081997032001"/>
    <s v="3404145810670001"/>
    <m/>
    <s v="Pengelola Bahan Akademik dan Pengajaran"/>
    <s v="Bagian Tata Usaha Fakultas Dakwah dan Komunikasi"/>
    <m/>
    <s v="III/d"/>
    <d v="2012-04-01T00:00:00"/>
    <n v="12"/>
    <n v="1"/>
    <x v="3"/>
    <s v="IAIN Tahun 1997"/>
    <s v="01-11-2025"/>
    <d v="2019-09-12T00:00:00"/>
  </r>
  <r>
    <n v="5"/>
    <s v="Euis Marlina, S.Kom."/>
    <x v="2"/>
    <s v="Pancatengah"/>
    <d v="1984-11-19T00:00:00"/>
    <s v="198411192008012003"/>
    <s v="3206045911840001"/>
    <m/>
    <s v="Pengelola Bahan Akademik dan Pengajaran"/>
    <s v="Bagian Tata Usaha Fakultas Dakwah dan Komunikasi"/>
    <m/>
    <s v="III/d"/>
    <d v="2020-10-01T00:00:00"/>
    <n v="12"/>
    <n v="9"/>
    <x v="3"/>
    <s v="UTY, Teknik Informatika            "/>
    <d v="2042-12-01T00:00:00"/>
    <d v="2008-09-01T00:00:00"/>
  </r>
  <r>
    <n v="6"/>
    <s v="Rachmad Prasmawardi, S.Sos."/>
    <x v="1"/>
    <s v="Yogyakarta"/>
    <d v="1967-07-01T00:00:00"/>
    <s v="196707012002121002"/>
    <s v="3404070107670074"/>
    <m/>
    <s v="Bendahara"/>
    <s v="Bagian Tata Usaha Fakultas Dakwah dan Komunikasi"/>
    <m/>
    <s v="III/d"/>
    <s v="01-10-2021"/>
    <n v="22"/>
    <n v="11"/>
    <x v="3"/>
    <s v="APMD, Ilmu Sosiatri Tahun 2007"/>
    <d v="2025-08-01T00:00:00"/>
    <d v="2022-01-01T00:00:00"/>
  </r>
  <r>
    <n v="7"/>
    <s v="Muchammad Choirudin, S.Pd"/>
    <x v="1"/>
    <s v="Ponorogo"/>
    <d v="1973-02-12T00:00:00"/>
    <s v="197302122000031002"/>
    <s v="3471131202730006"/>
    <m/>
    <s v="Pengelola Bahan Akademik dan Pengajaran  "/>
    <s v="Bagian Tata Usaha Fakultas Dakwah dan Komunikasi"/>
    <m/>
    <s v="III/d"/>
    <d v="2024-10-01T00:00:00"/>
    <n v="24"/>
    <n v="7"/>
    <x v="3"/>
    <s v="IKIP Malang, Ilmu Pendidikan, PP/BK 1997"/>
    <d v="2031-03-01T00:00:00"/>
    <d v="2016-03-01T00:00:00"/>
  </r>
  <r>
    <n v="8"/>
    <s v="Bambang Suharyanto, SIP."/>
    <x v="1"/>
    <s v="Sleman"/>
    <d v="1967-05-07T00:00:00"/>
    <s v="196705072005011001"/>
    <s v="3404170705670002"/>
    <m/>
    <s v="Pengolah daftar gaji"/>
    <s v="Bagian Tata Usaha Fakultas Dakwah dan Komunikasi"/>
    <m/>
    <s v="III/c"/>
    <d v="2021-10-01T00:00:00"/>
    <n v="26"/>
    <n v="0"/>
    <x v="3"/>
    <s v="Ilmu Politik UP45 2010"/>
    <d v="2025-06-01T00:00:00"/>
    <d v="2006-03-01T00:00:00"/>
  </r>
  <r>
    <n v="9"/>
    <s v="Finaul Jannah, S.Pd.I."/>
    <x v="2"/>
    <s v="Banyumas"/>
    <d v="1986-03-04T00:00:00"/>
    <s v="198603042011012008"/>
    <s v="3302254403860001"/>
    <m/>
    <s v="Pengolah Data Laporan Pertanggungjawaban Bendahara"/>
    <s v="Bagian Tata Usaha Fakultas Dakwah dan Komunikasi"/>
    <m/>
    <s v="III/d"/>
    <d v="2023-04-01T00:00:00"/>
    <s v=" "/>
    <s v=" "/>
    <x v="3"/>
    <s v="Pendidikan Agama Islam STAIN Purwokerto"/>
    <d v="2044-04-01T00:00:00"/>
    <d v="2024-07-01T00:00:00"/>
  </r>
  <r>
    <n v="3"/>
    <s v="Trinidya Firdayani, SE."/>
    <x v="2"/>
    <s v="Pontianak"/>
    <d v="1980-08-27T00:00:00"/>
    <s v="198008272009012009"/>
    <s v="3603246708000004"/>
    <m/>
    <s v=" "/>
    <s v="Bagian Tata Usaha Fakultas Dakwah dan Komunikasi"/>
    <m/>
    <s v="III/d"/>
    <d v="2021-04-01T00:00:00"/>
    <n v="12"/>
    <n v="3"/>
    <x v="3"/>
    <s v="Ekonomi Manajemen 2005"/>
    <d v="2038-09-01T00:00:00"/>
    <d v="2024-08-15T00:00:00"/>
  </r>
  <r>
    <n v="10"/>
    <s v="Slamet Basuki"/>
    <x v="1"/>
    <s v="Sleman"/>
    <d v="1968-10-10T00:00:00"/>
    <s v="196810101994031002"/>
    <s v="3404061010680001"/>
    <m/>
    <s v="Pengelola Kepegawaian"/>
    <s v="Bagian Tata Usaha Fakultas Dakwah dan Komunikasi"/>
    <m/>
    <s v="III/b"/>
    <d v="2014-04-01T00:00:00"/>
    <n v="17"/>
    <n v="10"/>
    <x v="5"/>
    <m/>
    <d v="2026-11-01T00:00:00"/>
    <d v="2011-10-03T00:00:00"/>
  </r>
  <r>
    <n v="11"/>
    <s v="Nurhidayati"/>
    <x v="2"/>
    <s v="Sleman"/>
    <s v="05-02-1968"/>
    <s v="196802052007012029"/>
    <s v="3404034502680003"/>
    <m/>
    <s v="Pengelola Bahan Akademik dan Pengajaran"/>
    <s v="Bagian Tata Usaha Fakultas Dakwah dan Komunikasi"/>
    <m/>
    <s v="III/a"/>
    <d v="2023-04-01T00:00:00"/>
    <n v="19"/>
    <n v="11"/>
    <x v="5"/>
    <s v="SMA IPS Tahun 1988"/>
    <d v="2026-03-01T00:00:00"/>
    <d v="2017-07-03T00:00:00"/>
  </r>
  <r>
    <n v="12"/>
    <s v="Aries Hadi Setyanto, S.Kom"/>
    <x v="1"/>
    <s v="Ngawi"/>
    <s v="11-04-1986"/>
    <s v="198604112020121004"/>
    <s v="3521051104860006"/>
    <m/>
    <s v="Pengelola Teknologi Informasi"/>
    <s v="Bagian Tata Usaha Fakultas Dakwah dan Komunikasi"/>
    <m/>
    <s v="III/a"/>
    <d v="2020-12-01T00:00:00"/>
    <n v="0"/>
    <n v="0"/>
    <x v="3"/>
    <s v="Teknik Informatika STIMIK Asia Malang Tahun 2015"/>
    <d v="2044-05-01T00:00:00"/>
    <d v="2021-01-13T00:00:00"/>
  </r>
  <r>
    <n v="13"/>
    <s v="Edi Rusmanto"/>
    <x v="1"/>
    <s v="Sleman"/>
    <s v="02-03-1976"/>
    <s v="197603022009011005"/>
    <s v="3404060203760001"/>
    <m/>
    <s v="Pengelola Barang Milik Negara"/>
    <s v="Bagian Tata Usaha Fakultas Dakwah dan Komunikasi"/>
    <m/>
    <s v="II/d"/>
    <s v="01-04-2022"/>
    <n v="23"/>
    <n v="11"/>
    <x v="11"/>
    <n v="1994"/>
    <d v="2034-04-01T00:00:00"/>
    <d v="2022-02-01T00:00:00"/>
  </r>
  <r>
    <n v="14"/>
    <s v="Suratman"/>
    <x v="1"/>
    <s v="Bantul"/>
    <s v="05-05-1969"/>
    <s v="196905052009011010"/>
    <s v="3402140505690007"/>
    <m/>
    <s v="Pengadministrasi Umum"/>
    <s v="Bagian Tata Usaha Fakultas Dakwah dan Komunikasi"/>
    <m/>
    <s v="II/d"/>
    <d v="2021-04-01T00:00:00"/>
    <n v="21"/>
    <n v="10"/>
    <x v="10"/>
    <s v="Muhammadiyah Piyungan"/>
    <d v="2027-06-01T00:00:00"/>
    <d v="2010-01-01T00:00:00"/>
  </r>
  <r>
    <n v="15"/>
    <s v="Wahadi"/>
    <x v="1"/>
    <s v="Bantul"/>
    <s v="20-08-1975"/>
    <s v="197508202009101001"/>
    <s v="3402102008750004"/>
    <m/>
    <s v="Pengelola Bahan Akademik dan Pengajaran"/>
    <s v="Bagian Tata Usaha Fakultas Dakwah dan Komunikasi"/>
    <m/>
    <s v="II/d"/>
    <d v="2021-10-01T00:00:00"/>
    <n v="17"/>
    <n v="6"/>
    <x v="5"/>
    <s v="Negeri 2 Bantul"/>
    <d v="2033-09-01T00:00:00"/>
    <d v="2024-01-02T00:00:00"/>
  </r>
  <r>
    <n v="16"/>
    <s v="Sunaryo"/>
    <x v="1"/>
    <s v="Sleman"/>
    <s v="19-03-1973"/>
    <s v="197303192009101002"/>
    <s v="3404111903730001"/>
    <m/>
    <s v="Pengadministrasi Sarana dan Prasarana"/>
    <s v="Bagian Tata Usaha Fakultas Dakwah dan Komunikasi"/>
    <m/>
    <s v="II/d"/>
    <d v="2021-10-01T00:00:00"/>
    <n v="20"/>
    <n v="5"/>
    <x v="8"/>
    <m/>
    <d v="2031-04-01T00:00:00"/>
    <d v="2024-06-03T00:00:00"/>
  </r>
  <r>
    <n v="17"/>
    <s v="Sigit Prasetiyo"/>
    <x v="1"/>
    <s v="Semarang"/>
    <s v="27-05-1978"/>
    <s v="197805272009101001"/>
    <s v="3471132705780003"/>
    <m/>
    <s v="Pengadministrasi Persuratan"/>
    <s v="Bagian Tata Usaha Fakultas Dakwah dan Komunikasi"/>
    <m/>
    <s v="II/c"/>
    <s v="01-10-2023"/>
    <n v="18"/>
    <n v="9"/>
    <x v="5"/>
    <s v="Paket C"/>
    <d v="2036-06-01T00:00:00"/>
    <d v="2022-02-01T00:00:00"/>
  </r>
  <r>
    <s v="FAKULTAS SYARI'AH DAN HUKUM (FSH)"/>
    <m/>
    <x v="0"/>
    <m/>
    <m/>
    <m/>
    <m/>
    <m/>
    <m/>
    <m/>
    <m/>
    <m/>
    <m/>
    <m/>
    <m/>
    <x v="0"/>
    <m/>
    <m/>
    <m/>
  </r>
  <r>
    <n v="1"/>
    <s v="Suefrizal, S.Ag, M.S.I."/>
    <x v="1"/>
    <s v="Bengkalis, Riau"/>
    <d v="1975-10-12T00:00:00"/>
    <s v="197510122000031002"/>
    <s v="3402141210750003"/>
    <m/>
    <s v="Kepala Bagian TU Fak. Syari'ah dan Hukum"/>
    <s v="Bagian Tata Usaha Fakultas Syari'ah dan Hukum"/>
    <d v="2023-02-17T00:00:00"/>
    <s v="IV/b"/>
    <s v="01-04-2021"/>
    <n v="21"/>
    <n v="1"/>
    <x v="2"/>
    <s v="Agama dan Filsafat UIN Sunan Kalijaga Tahun 2006"/>
    <d v="2033-11-01T00:00:00"/>
    <s v=" "/>
  </r>
  <r>
    <n v="2"/>
    <s v="Dra. Kenya Budiani, M.Si"/>
    <x v="2"/>
    <s v="Cirebon"/>
    <d v="1965-02-12T00:00:00"/>
    <s v="196502121991022001"/>
    <s v="3402125202650004"/>
    <m/>
    <s v="Analis SDM Aparatur Ahli Madya  "/>
    <s v="Biro Administrasi Umum dan Keuangan ditugaskan pada FSH"/>
    <d v="2020-12-18T00:00:00"/>
    <s v="IV/b"/>
    <d v="2011-04-01T00:00:00"/>
    <n v="20"/>
    <n v="2"/>
    <x v="2"/>
    <s v="UGM, Magister Sains"/>
    <d v="2025-03-01T00:00:00"/>
    <m/>
  </r>
  <r>
    <n v="3"/>
    <s v="Dra. Siti Khomsiyah"/>
    <x v="2"/>
    <s v="Temanggung"/>
    <d v="1967-06-17T00:00:00"/>
    <s v="196706171996032001"/>
    <s v="3404105706670001"/>
    <m/>
    <s v="Pengembang Teknologi Pembelajaran Ahli Muda  "/>
    <s v="Bagian Tata Usaha Fakultas Syari'ah dan Hukum"/>
    <d v="2021-12-30T00:00:00"/>
    <s v="III/d"/>
    <d v="2008-04-01T00:00:00"/>
    <n v="12"/>
    <n v="1"/>
    <x v="3"/>
    <s v="IAIN, Perbandingan Agama"/>
    <d v="2025-07-01T00:00:00"/>
    <s v=" "/>
  </r>
  <r>
    <n v="4"/>
    <s v="Dra. Sumarni"/>
    <x v="2"/>
    <s v="Bantul"/>
    <d v="1967-02-18T00:00:00"/>
    <s v="196702182001122001"/>
    <s v="3402155802670001"/>
    <m/>
    <s v="Pengelola Kepegawaian"/>
    <s v="Bagian Tata Usaha Fakultas Syari'ah dan Hukum"/>
    <m/>
    <s v="III/d"/>
    <s v="01-04-2014"/>
    <n v="20"/>
    <n v="4"/>
    <x v="3"/>
    <s v="IAIN Sunan Kalijaga, Tadris 1992"/>
    <d v="2025-03-01T00:00:00"/>
    <d v="2002-02-01T00:00:00"/>
  </r>
  <r>
    <n v="5"/>
    <s v="Ida Nursanti, S.Pd."/>
    <x v="2"/>
    <s v="Bantul"/>
    <d v="1967-04-12T00:00:00"/>
    <s v="196704121988032002"/>
    <s v="3402135204670001"/>
    <m/>
    <s v="Pengelola Bahan Akademik dan Pengajaran"/>
    <s v="Bagian Tata Usaha Fakultas Syari'ah dan Hukum"/>
    <m/>
    <s v="III/d"/>
    <d v="2016-04-01T00:00:00"/>
    <n v="23"/>
    <n v="1"/>
    <x v="3"/>
    <s v="IKIP PGRI Wates Ilmu Pendidikan Psikologi Pendidikan 2011"/>
    <d v="2025-05-01T00:00:00"/>
    <d v="2016-01-11T00:00:00"/>
  </r>
  <r>
    <n v="6"/>
    <s v="Lutfi Agus Wibowo, SE"/>
    <x v="1"/>
    <s v="Yogyakarta"/>
    <d v="1972-08-17T00:00:00"/>
    <s v="197208172002121002"/>
    <s v="3471131708720002"/>
    <m/>
    <s v="Pengolah Daftar Gaji"/>
    <s v="Bagian Tata Usaha Fakultas Syari'ah dan Hukum"/>
    <m/>
    <s v="III/d"/>
    <d v="2020-04-01T00:00:00"/>
    <n v="12"/>
    <n v="4"/>
    <x v="3"/>
    <s v="UPN Veteran Yogyakarta, Ekonomi"/>
    <d v="2030-09-01T00:00:00"/>
    <d v="2003-08-01T00:00:00"/>
  </r>
  <r>
    <n v="7"/>
    <s v="Trisnawati, S.IP"/>
    <x v="2"/>
    <s v="Magelang"/>
    <d v="1967-10-22T00:00:00"/>
    <s v="196710221992032001"/>
    <s v="3308036210670001"/>
    <m/>
    <s v="Pengelola Surat"/>
    <s v="Bagian Tata Usaha Fakultas Syari'ah dan Hukum"/>
    <m/>
    <s v="III/d"/>
    <d v="2018-04-01T00:00:00"/>
    <n v="22"/>
    <n v="5"/>
    <x v="3"/>
    <s v="STISIPOL Kartika Bangsa"/>
    <d v="2025-03-01T00:00:00"/>
    <d v="2017-07-03T00:00:00"/>
  </r>
  <r>
    <n v="8"/>
    <s v="Rr. Sri Susilistyorini, S.H."/>
    <x v="2"/>
    <s v="Sleman"/>
    <d v="1969-09-08T00:00:00"/>
    <s v="196909081993032002"/>
    <s v="3402094809690002"/>
    <m/>
    <s v="Bendahara"/>
    <s v="Bagian Tata Usaha Fakultas Syari'ah dan Hukum"/>
    <m/>
    <s v="III/d"/>
    <d v="2021-04-01T00:00:00"/>
    <n v="23"/>
    <n v="1"/>
    <x v="3"/>
    <s v="UNPROK Ilmu Hukum  "/>
    <d v="2027-10-01T00:00:00"/>
    <d v="2022-01-01T00:00:00"/>
  </r>
  <r>
    <n v="9"/>
    <s v="Rahmat Fahrudin, S.T."/>
    <x v="1"/>
    <s v="Bantul"/>
    <s v="24-08-1975"/>
    <s v="197508242006041002"/>
    <s v="3402122408750003"/>
    <m/>
    <s v="Pengelola Sarana dan Prasarana "/>
    <s v="Bagian Tata Usaha Fakultas Syari'ah dan Hukum"/>
    <m/>
    <s v="III/d"/>
    <d v="2018-04-01T00:00:00"/>
    <n v="12"/>
    <n v="0"/>
    <x v="3"/>
    <s v="STTNAS Yogyakarta Teknik Elektro"/>
    <d v="2033-09-01T00:00:00"/>
    <d v="2024-06-03T00:00:00"/>
  </r>
  <r>
    <n v="10"/>
    <s v="Edy Feryanto"/>
    <x v="1"/>
    <s v="Yogyakarta"/>
    <d v="1969-11-18T00:00:00"/>
    <s v="196911181991031002"/>
    <s v="3402161811690001"/>
    <m/>
    <s v="Pengelola Barang Milik Negara"/>
    <s v="Bagian Tata Usaha Fakultas Syari'ah dan Hukum"/>
    <m/>
    <s v="III/b"/>
    <d v="2011-04-01T00:00:00"/>
    <n v="15"/>
    <n v="1"/>
    <x v="11"/>
    <m/>
    <d v="2027-12-01T00:00:00"/>
    <d v="1992-02-01T00:00:00"/>
  </r>
  <r>
    <n v="11"/>
    <s v="Raden Sunarya"/>
    <x v="1"/>
    <s v="Bantul"/>
    <d v="1968-08-05T00:00:00"/>
    <s v="196808051994031004"/>
    <s v="3404070508680002"/>
    <m/>
    <s v="Pengelola Bahan Akademik dan Pengajaran"/>
    <s v="Bagian Tata Usaha Fakultas Syari'ah dan Hukum"/>
    <m/>
    <s v="III/b"/>
    <d v="2014-10-01T00:00:00"/>
    <n v="15"/>
    <n v="7"/>
    <x v="11"/>
    <s v="Bantul"/>
    <d v="2026-09-01T00:00:00"/>
    <d v="2011-07-01T00:00:00"/>
  </r>
  <r>
    <n v="12"/>
    <s v="Badrodin"/>
    <x v="1"/>
    <s v="Temanggung"/>
    <s v="23-02-1969"/>
    <s v="196902232007011020"/>
    <s v="3402122302690004"/>
    <m/>
    <s v="Pengelola Bahan Akademik dan Pengajaran"/>
    <s v="Bagian Tata Usaha Fakultas Syari'ah dan Hukum"/>
    <m/>
    <s v="III/a"/>
    <d v="2023-04-01T00:00:00"/>
    <n v="23"/>
    <n v="4"/>
    <x v="8"/>
    <s v="STM Listrik Umum Tahun 1989"/>
    <d v="2027-03-01T00:00:00"/>
    <d v="2007-01-01T00:00:00"/>
  </r>
  <r>
    <n v="13"/>
    <s v="Rachmat Rismanta"/>
    <x v="1"/>
    <s v="Bantul"/>
    <s v="05-02-1972"/>
    <s v="197202052007011047"/>
    <s v="3402130502720002"/>
    <m/>
    <s v="Pengelola Bahan Akademik dan Pengajaran"/>
    <s v="Bagian Tata Usaha Fakultas Syari'ah dan Hukum"/>
    <m/>
    <s v="III/a"/>
    <d v="2023-04-01T00:00:00"/>
    <n v="19"/>
    <n v="11"/>
    <x v="11"/>
    <m/>
    <d v="2030-03-01T00:00:00"/>
    <d v="2009-05-01T00:00:00"/>
  </r>
  <r>
    <n v="14"/>
    <s v="Uni' Triswati"/>
    <x v="2"/>
    <s v="Bantul"/>
    <s v="07-05-1974"/>
    <s v="197405072009012002"/>
    <s v="3402124705740002"/>
    <m/>
    <s v="Pengadministrasi Umum"/>
    <s v="Bagian Tata Usaha Fakultas Syari'ah dan Hukum"/>
    <m/>
    <s v="II/d"/>
    <d v="2021-04-01T00:00:00"/>
    <n v="22"/>
    <n v="11"/>
    <x v="5"/>
    <s v="Muhammadiyah IV Yogyakarta"/>
    <d v="2032-06-01T00:00:00"/>
    <d v="2018-01-02T00:00:00"/>
  </r>
  <r>
    <s v="FAKULTAS ILMU TARBIYAH DAN KEGURUAN (FITK)"/>
    <m/>
    <x v="0"/>
    <m/>
    <m/>
    <m/>
    <m/>
    <m/>
    <m/>
    <m/>
    <m/>
    <m/>
    <m/>
    <m/>
    <m/>
    <x v="0"/>
    <m/>
    <m/>
    <m/>
  </r>
  <r>
    <n v="1"/>
    <s v="Hj. Ratna Eryani, S. Ag."/>
    <x v="2"/>
    <s v="Klaten"/>
    <d v="1972-02-24T00:00:00"/>
    <s v="197202241997032001"/>
    <s v="3471146402720002"/>
    <m/>
    <s v="Kabag TU FITK"/>
    <s v="Bagian Tata Usaha Fakultas Ilmu Tarbiyah dan Keguruan"/>
    <d v="2020-08-28T00:00:00"/>
    <s v="IV/b"/>
    <d v="2019-04-01T00:00:00"/>
    <n v="22"/>
    <n v="1"/>
    <x v="3"/>
    <s v="S1, IAIN Sunan Kalijaga Yogyakarta Fak. Syari'ah Tahun 1996 "/>
    <d v="2030-03-01T00:00:00"/>
    <s v=" "/>
  </r>
  <r>
    <n v="2"/>
    <s v="H. Dedi Nurmadi, SE."/>
    <x v="1"/>
    <s v="Jakarta"/>
    <d v="1972-02-16T00:00:00"/>
    <s v="197202162002121005"/>
    <s v="3471131602720001"/>
    <m/>
    <s v="Arsiparis Ahli Muda  "/>
    <s v="Bagian Tata Usaha Fakultas Ilmu Tarbiyah dan Keguruan"/>
    <d v="2021-12-30T00:00:00"/>
    <s v="III/d"/>
    <d v="2015-04-01T00:00:00"/>
    <n v="12"/>
    <n v="4"/>
    <x v="3"/>
    <s v="UII, Manajemen Perusahaan"/>
    <d v="2030-03-01T00:00:00"/>
    <s v=" "/>
  </r>
  <r>
    <n v="3"/>
    <s v="Suharyanta, SE."/>
    <x v="1"/>
    <s v="Tual"/>
    <d v="1970-04-29T00:00:00"/>
    <s v="197004291999011001"/>
    <s v="3404932904700001"/>
    <m/>
    <s v="Pengembang Teknologi Pembelajaran Ahli Muda  "/>
    <s v="Bagian Tata Usaha Fakultas Ilmu Tarbiyah dan Keguruan"/>
    <d v="2021-12-30T00:00:00"/>
    <s v="III/d"/>
    <d v="2011-04-01T00:00:00"/>
    <n v="12"/>
    <n v="3"/>
    <x v="3"/>
    <s v="STIE Kerjasama"/>
    <s v="01-05-2028"/>
    <s v=" "/>
  </r>
  <r>
    <n v="4"/>
    <s v="Dr. Kulsum Nur Hayati, M.Pd."/>
    <x v="2"/>
    <s v="Kulon Progo"/>
    <d v="1976-09-23T00:00:00"/>
    <s v="197609232006042001"/>
    <s v="3402126309760003"/>
    <m/>
    <s v="Pengembang Teknologi Pembelajaran Ahli Madya / Koordinator Pusat Pengembangan Standar Mutu Akademik pada LPM Masa Jabatan 2024-2028"/>
    <s v="Biro Administrasi Akademik, Kemahasiswaan dan Kerjasama ditugaskan pada FITK "/>
    <d v="2019-05-01T00:00:00"/>
    <s v="IV/b"/>
    <d v="2024-08-01T00:00:00"/>
    <n v="18"/>
    <n v="4"/>
    <x v="1"/>
    <s v="Penelitian dan Evaluasi Pendidikan UNY Tahun 2010"/>
    <d v="2036-10-01T00:00:00"/>
    <m/>
  </r>
  <r>
    <n v="5"/>
    <s v="Fery Irianto Setyo Wibowo, S.Pd., M.Pd.I."/>
    <x v="1"/>
    <s v="Magelang"/>
    <s v="17-02-1984"/>
    <s v="198402172008011004"/>
    <s v="3306081702840001"/>
    <n v="7700010393"/>
    <s v="Pranata Laboratorium Pendidikan Ahli Muda  "/>
    <s v="Bagian Tata Usaha Fakultas Ilmu Tarbiyah dan Keguruan"/>
    <d v="2018-08-01T00:00:00"/>
    <s v="III/d"/>
    <s v="01-10-2023"/>
    <n v="15"/>
    <n v="9"/>
    <x v="2"/>
    <s v="UIN Sunan Kalijaga, Pendidikan Islam, Tahun 2014"/>
    <d v="2042-03-01T00:00:00"/>
    <d v="2008-01-01T00:00:00"/>
  </r>
  <r>
    <n v="6"/>
    <s v="Muh. Sahudi, S.E."/>
    <x v="1"/>
    <s v="Semarang"/>
    <d v="1972-02-24T00:00:00"/>
    <s v="197202241993031003"/>
    <s v="3404102402720001"/>
    <m/>
    <s v="Pengadministrasi Umum"/>
    <s v="Bagian Tata Usaha Fakultas Ilmu Tarbiyah dan Keguruan"/>
    <m/>
    <s v="III/d"/>
    <d v="2015-04-01T00:00:00"/>
    <n v="17"/>
    <n v="1"/>
    <x v="3"/>
    <s v="UNCOK Yk. Tahun 2001"/>
    <d v="2030-03-01T00:00:00"/>
    <d v="2022-02-01T00:00:00"/>
  </r>
  <r>
    <n v="7"/>
    <s v="Suwartinah, S.IP"/>
    <x v="2"/>
    <s v="Bantul"/>
    <d v="1968-06-23T00:00:00"/>
    <s v="196806231991032002"/>
    <s v="3402026306680003"/>
    <m/>
    <s v="Pengelola Kepegawaian"/>
    <s v="Bagian Tata Usaha Fakultas Ilmu Tarbiyah dan Keguruan"/>
    <m/>
    <s v="III/d"/>
    <d v="2019-04-01T00:00:00"/>
    <n v="23"/>
    <n v="1"/>
    <x v="3"/>
    <s v="STISIPOL Karika Bangsa 2004"/>
    <d v="2026-07-01T00:00:00"/>
    <d v="2016-01-11T00:00:00"/>
  </r>
  <r>
    <n v="8"/>
    <s v="Ihsanuddin Sulaksono, S.E."/>
    <x v="1"/>
    <s v="Sleman"/>
    <s v="19-06-1986"/>
    <s v="198606192011011008"/>
    <s v="3404021906860006"/>
    <m/>
    <s v="Perencana Ahli Pertama"/>
    <s v="Bagian Tata Usaha Fakultas Ilmu Tarbiyah dan Keguruan"/>
    <d v="2024-05-01T00:00:00"/>
    <s v="III/d"/>
    <d v="2023-04-01T00:00:00"/>
    <n v="12"/>
    <n v="3"/>
    <x v="3"/>
    <s v="S1 Akuntansi Tahun 2010"/>
    <d v="2044-07-01T00:00:00"/>
    <d v="2023-05-02T00:00:00"/>
  </r>
  <r>
    <n v="9"/>
    <s v="Yusep Nurdiyanto SE., MM."/>
    <x v="1"/>
    <s v="Bantul"/>
    <d v="1975-09-29T00:00:00"/>
    <s v="197509292005011006"/>
    <s v="3402142909750001"/>
    <m/>
    <s v="Pengolah daftar gaji"/>
    <s v="Bagian Tata Usaha Fakultas Ilmu Tarbiyah dan Keguruan"/>
    <m/>
    <s v="III/d"/>
    <s v="01-10-2022"/>
    <n v="21"/>
    <n v="8"/>
    <x v="2"/>
    <s v="Magister Manajemen Tahun 2013"/>
    <d v="2033-10-01T00:00:00"/>
    <d v="2010-03-08T00:00:00"/>
  </r>
  <r>
    <n v="10"/>
    <s v="Handoko Suryo Heri Dewanto"/>
    <x v="1"/>
    <s v="Gunungkidul"/>
    <d v="1970-12-12T00:00:00"/>
    <s v="196912121993031002"/>
    <s v="3402161212690007"/>
    <m/>
    <s v="Pengelola Bahan Akademik dan Pengajaran"/>
    <s v="Bagian Tata Usaha Fakultas Ilmu Tarbiyah dan Keguruan"/>
    <m/>
    <s v="III/b"/>
    <d v="2013-04-01T00:00:00"/>
    <n v="15"/>
    <n v="1"/>
    <x v="5"/>
    <n v="1992"/>
    <d v="2029-01-01T00:00:00"/>
    <d v="2008-01-07T00:00:00"/>
  </r>
  <r>
    <n v="11"/>
    <s v="Supriyono, SIP. "/>
    <x v="1"/>
    <s v="Boyolali"/>
    <d v="1970-03-04T00:00:00"/>
    <s v="197003041991031001"/>
    <s v="3402091802600001"/>
    <m/>
    <s v="Pengelola Bahan Akademik dan Pengajaran"/>
    <s v="Bagian Tata Usaha Fakultas Ilmu Tarbiyah dan Keguruan"/>
    <m/>
    <s v="III/c"/>
    <d v="2022-04-01T00:00:00"/>
    <n v="23"/>
    <n v="1"/>
    <x v="3"/>
    <s v="Administrasi Negara Tahun 2013"/>
    <d v="2028-04-01T00:00:00"/>
    <d v="2000-11-01T00:00:00"/>
  </r>
  <r>
    <n v="12"/>
    <s v="Muhamad Anwar   "/>
    <x v="1"/>
    <s v="Kulonprogo"/>
    <d v="1968-08-05T00:00:00"/>
    <s v="196808052001121001"/>
    <s v="3404070508680004"/>
    <m/>
    <s v="Pengelola Keuangan"/>
    <s v="Bagian Tata Usaha Fakultas Ilmu Tarbiyah dan Keguruan"/>
    <m/>
    <s v="III/b"/>
    <d v="2022-10-01T00:00:00"/>
    <n v="26"/>
    <n v="11"/>
    <x v="5"/>
    <s v="Banguntapan, Bantul"/>
    <d v="2026-09-01T00:00:00"/>
    <d v="2008-01-07T00:00:00"/>
  </r>
  <r>
    <n v="13"/>
    <s v="Yusuf Nizar"/>
    <x v="1"/>
    <s v="Sleman"/>
    <d v="1970-10-26T00:00:00"/>
    <s v="197010262002121001"/>
    <s v="3404042610700001"/>
    <m/>
    <s v="Pengelola Bahan Akademik dan Pengajaran"/>
    <s v="Bagian Tata Usaha Fakultas Ilmu Tarbiyah dan Keguruan"/>
    <m/>
    <s v="III/b"/>
    <d v="2023-04-01T00:00:00"/>
    <n v="15"/>
    <n v="4"/>
    <x v="11"/>
    <s v="Biologi Tahun 1989"/>
    <d v="2028-11-01T00:00:00"/>
    <d v="2003-08-01T00:00:00"/>
  </r>
  <r>
    <n v="14"/>
    <s v="Sutarmi, SIP."/>
    <x v="2"/>
    <s v="Magelang"/>
    <d v="1975-01-28T00:00:00"/>
    <s v="197501282007012017"/>
    <s v="3404126801750002"/>
    <m/>
    <s v="Pengelola Bahan Akademik dan Pengajaran"/>
    <s v="Bagian Tata Usaha Fakultas Ilmu Tarbiyah dan Keguruan"/>
    <m/>
    <s v="III/b"/>
    <d v="2023-04-01T00:00:00"/>
    <n v="30"/>
    <n v="3"/>
    <x v="3"/>
    <s v="Ilmu Politik UNPROK Tahun 2018"/>
    <d v="2033-02-01T00:00:00"/>
    <d v="2011-03-30T00:00:00"/>
  </r>
  <r>
    <n v="15"/>
    <s v="Budiyono"/>
    <x v="1"/>
    <s v="Bantul"/>
    <s v="14-02-1968"/>
    <s v="196802142007011025"/>
    <s v="3402161402680001"/>
    <m/>
    <s v="Pengelola Barang Milik Negara"/>
    <s v="Bagian Tata Usaha Fakultas Ilmu Tarbiyah dan Keguruan"/>
    <m/>
    <s v="III/a"/>
    <d v="2023-04-01T00:00:00"/>
    <n v="24"/>
    <n v="4"/>
    <x v="7"/>
    <s v="SMEA Keuangan Tahun 1989"/>
    <d v="2026-03-01T00:00:00"/>
    <d v="2007-01-01T00:00:00"/>
  </r>
  <r>
    <n v="16"/>
    <s v="Marzudi Nur"/>
    <x v="1"/>
    <s v="Sleman"/>
    <d v="1971-10-07T00:00:00"/>
    <s v="197110072007011039"/>
    <s v="3404040710710003"/>
    <m/>
    <s v="Pengelola Bahan Akademik dan Pengajaran"/>
    <s v="Bagian Tata Usaha Fakultas Ilmu Tarbiyah dan Keguruan"/>
    <m/>
    <s v="III/a"/>
    <d v="2023-04-01T00:00:00"/>
    <n v="20"/>
    <n v="0"/>
    <x v="11"/>
    <m/>
    <d v="2029-11-01T00:00:00"/>
    <d v="2010-03-08T00:00:00"/>
  </r>
  <r>
    <n v="17"/>
    <s v="Sri Wahyuni"/>
    <x v="2"/>
    <s v="Sleman"/>
    <s v="14-05-1968"/>
    <s v="196805142007012027"/>
    <s v="3404075405680002"/>
    <m/>
    <s v="Pengelola Keuangan"/>
    <s v="Bagian Tata Usaha Fakultas Ilmu Tarbiyah dan Keguruan"/>
    <m/>
    <s v="III/a"/>
    <d v="2023-04-01T00:00:00"/>
    <n v="23"/>
    <n v="8"/>
    <x v="7"/>
    <s v="SMEA Tata Usaha Tahun 1990"/>
    <d v="2026-06-01T00:00:00"/>
    <d v="2011-03-30T00:00:00"/>
  </r>
  <r>
    <n v="18"/>
    <s v="Rodli Yasykuri"/>
    <x v="1"/>
    <s v="Karanganyar"/>
    <d v="1977-03-28T00:00:00"/>
    <s v="197703282009101002"/>
    <s v="3404072803770004"/>
    <m/>
    <s v="Pengelola Bahan Akademik dan Pengajaran"/>
    <s v="Bagian Tata Usaha Fakultas Ilmu Tarbiyah dan Keguruan"/>
    <m/>
    <s v="II/d"/>
    <d v="2021-10-01T00:00:00"/>
    <n v="21"/>
    <n v="6"/>
    <x v="11"/>
    <s v=" "/>
    <d v="2035-04-01T00:00:00"/>
    <d v="2010-05-01T00:00:00"/>
  </r>
  <r>
    <n v="19"/>
    <s v="Subekti Ambarsari"/>
    <x v="2"/>
    <s v="Sleman"/>
    <s v="29-07-1973"/>
    <s v="197307292009012002"/>
    <s v="3404116907730001"/>
    <m/>
    <s v="Bendahara"/>
    <s v="Bagian Tata Usaha Fakultas Ilmu Tarbiyah dan Keguruan"/>
    <m/>
    <s v="II/d"/>
    <d v="2021-04-01T00:00:00"/>
    <n v="22"/>
    <n v="0"/>
    <x v="7"/>
    <s v="Depok"/>
    <d v="2031-08-01T00:00:00"/>
    <d v="2022-01-01T00:00:00"/>
  </r>
  <r>
    <n v="20"/>
    <s v="Hartadi"/>
    <x v="1"/>
    <s v="Bantul"/>
    <s v="30-06-1983"/>
    <s v="198306302009101001"/>
    <s v="3402163006830005"/>
    <m/>
    <s v="Pengadministrasi Umum"/>
    <s v="Bagian Tata Usaha Fakultas Ilmu Tarbiyah dan Keguruan"/>
    <m/>
    <s v="II/d"/>
    <d v="2021-10-01T00:00:00"/>
    <n v="17"/>
    <n v="6"/>
    <x v="11"/>
    <m/>
    <d v="2041-07-01T00:00:00"/>
    <d v="2023-01-09T00:00:00"/>
  </r>
  <r>
    <n v="21"/>
    <s v="Mira Mardiyani, S.Pd. "/>
    <x v="2"/>
    <s v="Majalengka"/>
    <d v="1990-07-06T00:00:00"/>
    <s v="199007062022032001"/>
    <s v="'3210034607900181"/>
    <m/>
    <s v="Pranata Laboratorium Pendidikan Ahli Pertama"/>
    <s v="Bagian Tata Usaha Fakultas Ilmu Tarbiyah dan Keguruan"/>
    <m/>
    <s v="III/a"/>
    <d v="2022-03-01T00:00:00"/>
    <m/>
    <m/>
    <x v="3"/>
    <s v="Pendidikan Fisika Universitas Islam Negeri Sunan Gunung Djati / UIN SGD Bandung"/>
    <d v="2048-08-01T00:00:00"/>
    <d v="2022-03-01T00:00:00"/>
  </r>
  <r>
    <n v="22"/>
    <s v="Nuriyana"/>
    <x v="1"/>
    <s v="Sleman"/>
    <s v="15-01-1982"/>
    <s v="198201152009101001"/>
    <s v="3404041501820001"/>
    <m/>
    <s v="Pengadministrasi Umum"/>
    <s v="Bagian Tata Usaha Fakultas Ilmu Tarbiyah dan Keguruan"/>
    <m/>
    <s v="II/d"/>
    <d v="2021-10-01T00:00:00"/>
    <n v="17"/>
    <n v="2"/>
    <x v="12"/>
    <s v="SMK Muhammadiyah 2 Moyudan, Sekretaris"/>
    <d v="2040-02-01T00:00:00"/>
    <d v="2024-01-02T00:00:00"/>
  </r>
  <r>
    <n v="23"/>
    <s v="Umar Sodiq"/>
    <x v="1"/>
    <s v="Bantul"/>
    <s v="06-09-1975"/>
    <s v="197509062009101003"/>
    <s v="3402150609750001"/>
    <m/>
    <s v="Pengadministrasi Umum"/>
    <s v="Bagian Tata Usaha Fakultas Ilmu Tarbiyah dan Keguruan"/>
    <m/>
    <s v="II/d"/>
    <d v="2021-10-01T00:00:00"/>
    <n v="17"/>
    <n v="5"/>
    <x v="11"/>
    <s v="Bantul"/>
    <d v="2033-10-01T00:00:00"/>
    <d v="2024-06-03T00:00:00"/>
  </r>
  <r>
    <n v="24"/>
    <s v="Aliman"/>
    <x v="1"/>
    <s v="Bantul"/>
    <s v="20-09-1976"/>
    <s v="197609202009101001"/>
    <s v="3402012009760001"/>
    <m/>
    <s v="Pengadministrasi Umum"/>
    <s v="Bagian Tata Usaha Fakultas Ilmu Tarbiyah dan Keguruan"/>
    <m/>
    <s v="II/d"/>
    <d v="2021-10-01T00:00:00"/>
    <n v="17"/>
    <n v="6"/>
    <x v="5"/>
    <s v="PGRI"/>
    <d v="2034-10-01T00:00:00"/>
    <d v="2024-08-15T00:00:00"/>
  </r>
  <r>
    <s v="FAKULTAS USHULUDDIN DAN PEMIKIRAN ISLAM (FUPI)"/>
    <m/>
    <x v="0"/>
    <m/>
    <m/>
    <m/>
    <m/>
    <m/>
    <m/>
    <m/>
    <m/>
    <m/>
    <m/>
    <m/>
    <m/>
    <x v="0"/>
    <m/>
    <m/>
    <m/>
  </r>
  <r>
    <n v="1"/>
    <s v="Siti Latifah, SE."/>
    <x v="2"/>
    <s v="Sleman"/>
    <d v="1970-09-14T00:00:00"/>
    <s v="197009141998032002"/>
    <s v="3404015409700004"/>
    <m/>
    <s v="Kabag TU FUSPI"/>
    <s v="Bagian Tata Usaha Fakultas Ushuluddin dan Pemikiran Islam"/>
    <d v="2021-02-26T00:00:00"/>
    <s v="IV/a"/>
    <s v="01-10-2022"/>
    <n v="24"/>
    <n v="7"/>
    <x v="3"/>
    <s v="UGM, Ekonomi"/>
    <d v="2028-10-01T00:00:00"/>
    <s v=" "/>
  </r>
  <r>
    <n v="2"/>
    <s v="Isti Karyatun, SH"/>
    <x v="2"/>
    <s v="Bantul"/>
    <d v="1971-08-05T00:00:00"/>
    <s v="197108051991032001"/>
    <s v="3402154508710001"/>
    <m/>
    <s v="Analis Keuangan APBN Ahli Muda"/>
    <s v="Bagian Tata Usaha Fakultas Ushuluddin dan Pemikiran Islam"/>
    <d v="2020-12-18T00:00:00"/>
    <s v="III/d"/>
    <d v="2018-04-01T00:00:00"/>
    <n v="22"/>
    <n v="1"/>
    <x v="3"/>
    <s v="Univ Ahmad Dahlan, Tahun 2005"/>
    <d v="2029-09-01T00:00:00"/>
    <d v="2010-03-08T00:00:00"/>
  </r>
  <r>
    <n v="3"/>
    <s v="Rr. Nur Etti Retno Wulandari, S.H."/>
    <x v="2"/>
    <s v="Yogyakarta"/>
    <d v="1967-05-05T00:00:00"/>
    <s v="196705051994032001"/>
    <s v="3404074505670013"/>
    <m/>
    <s v="Pengembang Teknologi Pembelajaran "/>
    <s v="Bagian Tata Usaha Fakultas Ushuluddin dan Pemikiran Islam"/>
    <d v="2021-12-30T00:00:00"/>
    <s v="IV/a"/>
    <d v="2022-10-01T00:00:00"/>
    <n v="28"/>
    <n v="7"/>
    <x v="3"/>
    <s v="UII, Hukum Keperdataan"/>
    <d v="2025-06-01T00:00:00"/>
    <s v=" "/>
  </r>
  <r>
    <n v="4"/>
    <s v="Sri Ernawati, SH."/>
    <x v="2"/>
    <s v="Yogyakarta"/>
    <s v="27-05-1970"/>
    <s v="197005272009122001"/>
    <s v="3402126705700002"/>
    <m/>
    <s v="Pengadministrasi Persuratan"/>
    <s v="Bagian Tata Usaha Fakultas Ushuluddin dan Pemikiran Islam"/>
    <m/>
    <s v="III/d"/>
    <d v="2022-04-01T00:00:00"/>
    <n v="21"/>
    <n v="0"/>
    <x v="3"/>
    <s v="UII, Ilmu Hukum 1996"/>
    <d v="2028-06-01T00:00:00"/>
    <d v="2010-10-01T00:00:00"/>
  </r>
  <r>
    <n v="5"/>
    <s v="Wahjudi Djuniantoro"/>
    <x v="1"/>
    <s v="Bantul"/>
    <d v="1969-06-06T00:00:00"/>
    <s v="196906061993031004"/>
    <s v="3402100606690003"/>
    <m/>
    <s v="Pengelola Bahan Akademik dan Pengajaran"/>
    <s v="Bagian Tata Usaha Fakultas Ushuluddin dan Pemikiran Islam"/>
    <m/>
    <s v="III/b"/>
    <d v="2013-04-01T00:00:00"/>
    <n v="15"/>
    <n v="1"/>
    <x v="5"/>
    <n v="1988"/>
    <d v="2027-07-01T00:00:00"/>
    <d v="2008-01-07T00:00:00"/>
  </r>
  <r>
    <n v="6"/>
    <s v="Ichsan, ST."/>
    <x v="1"/>
    <s v="Yogyakarta"/>
    <s v="17-04-1979"/>
    <s v="197904172009121004"/>
    <s v="3404071704790011"/>
    <m/>
    <s v="Pengelola Pengadaan Barang / Jasa Ahli Muda"/>
    <s v="Biro Administrasi Umum dan Keuangan ditugaskan pada FUPI"/>
    <d v="2019-03-01T00:00:00"/>
    <s v="III/d"/>
    <d v="2022-04-01T00:00:00"/>
    <n v="12"/>
    <n v="4"/>
    <x v="3"/>
    <s v="UGM, Teknik Elektro"/>
    <d v="2037-05-01T00:00:00"/>
    <d v="2022-09-01T00:00:00"/>
  </r>
  <r>
    <n v="7"/>
    <s v="Muhadi"/>
    <x v="1"/>
    <s v="Sleman"/>
    <d v="1967-07-22T00:00:00"/>
    <s v="196707221992031004"/>
    <s v="3404052207670001"/>
    <m/>
    <s v="Pengelola Bahan Akademik dan Pengajaran"/>
    <s v="Bagian Tata Usaha Fakultas Ushuluddin dan Pemikiran Islam"/>
    <m/>
    <s v="III/b"/>
    <s v="01-04-2012"/>
    <n v="17"/>
    <n v="4"/>
    <x v="11"/>
    <m/>
    <d v="2025-08-01T00:00:00"/>
    <d v="2011-03-30T00:00:00"/>
  </r>
  <r>
    <n v="8"/>
    <s v="Ponijo"/>
    <x v="1"/>
    <s v="Sleman"/>
    <d v="1967-02-28T00:00:00"/>
    <s v="196702281993031006"/>
    <s v="3404012802670001"/>
    <m/>
    <s v="Pengelola Keuangan"/>
    <s v="Bagian Tata Usaha Fakultas Ushuluddin dan Pemikiran Islam"/>
    <m/>
    <s v="III/b"/>
    <s v="01-04-2012"/>
    <n v="16"/>
    <n v="9"/>
    <x v="8"/>
    <m/>
    <d v="2025-03-01T00:00:00"/>
    <d v="2019-08-01T00:00:00"/>
  </r>
  <r>
    <n v="9"/>
    <s v="Oemi Hani Latifah"/>
    <x v="2"/>
    <s v="Yogyakarta"/>
    <d v="1973-04-22T00:00:00"/>
    <s v="197303222005012001"/>
    <s v="3402126203730001"/>
    <m/>
    <s v="Pengadministrasi Anggaran"/>
    <s v="Bagian Tata Usaha Fakultas Ushuluddin dan Pemikiran Islam"/>
    <m/>
    <s v="III/a"/>
    <d v="2022-04-01T00:00:00"/>
    <n v="23"/>
    <n v="5"/>
    <x v="8"/>
    <s v="Listrik  "/>
    <d v="2031-05-01T00:00:00"/>
    <d v="2023-08-21T00:00:00"/>
  </r>
  <r>
    <n v="10"/>
    <s v="RR. Edni Jamaryami Endang K."/>
    <x v="2"/>
    <s v="Bantul"/>
    <d v="1972-03-11T00:00:00"/>
    <s v="197203112007012021"/>
    <s v="3402025103720001"/>
    <m/>
    <s v="Pengolah Daftar Gaji"/>
    <s v="Bagian Tata Usaha Fakultas Ushuluddin dan Pemikiran Islam"/>
    <m/>
    <s v="III/a"/>
    <d v="2023-04-01T00:00:00"/>
    <n v="24"/>
    <n v="0"/>
    <x v="5"/>
    <s v="SMA Biologi Tahun 1991"/>
    <d v="2030-04-01T00:00:00"/>
    <d v="2023-09-01T00:00:00"/>
  </r>
  <r>
    <n v="11"/>
    <s v="R. Muh. Fauzan Hanafi"/>
    <x v="1"/>
    <s v="Sleman"/>
    <s v="03-12-1972"/>
    <s v="197212032009101002"/>
    <s v="3404040312720003"/>
    <m/>
    <s v="Pengelola Bahan Akademik dan Pengajaran"/>
    <s v="Bagian Tata Usaha Fakultas Ushuluddin dan Pemikiran Islam"/>
    <m/>
    <s v="II/d"/>
    <d v="2021-10-01T00:00:00"/>
    <n v="16"/>
    <n v="9"/>
    <x v="5"/>
    <s v="Negeri 7 Yogyakarta"/>
    <d v="2030-01-01T00:00:00"/>
    <d v="2010-03-01T00:00:00"/>
  </r>
  <r>
    <n v="12"/>
    <s v="Sugeng Sarwono"/>
    <x v="1"/>
    <s v="Sleman"/>
    <s v="26-08-1980"/>
    <s v="198008262009101001"/>
    <s v="3404012608800004"/>
    <m/>
    <s v="Pengelola Bahan Akademik dan Pengajaran"/>
    <s v="Bagian Tata Usaha Fakultas Ushuluddin dan Pemikiran Islam"/>
    <m/>
    <s v="II/d"/>
    <d v="2021-10-01T00:00:00"/>
    <n v="16"/>
    <n v="9"/>
    <x v="12"/>
    <s v="Mekanik Umum"/>
    <d v="2038-09-01T00:00:00"/>
    <d v="2010-03-01T00:00:00"/>
  </r>
  <r>
    <n v="13"/>
    <s v="Jaka Santosa"/>
    <x v="1"/>
    <s v="Sleman"/>
    <s v="13-05-1975"/>
    <s v="197505132009101001"/>
    <s v="3404011305750003"/>
    <m/>
    <s v="Pengadministrasi Persuratan"/>
    <s v="Bagian Tata Usaha Fakultas Ushuluddin dan Pemikiran Islam"/>
    <m/>
    <s v="II/c"/>
    <s v="01-10-2023"/>
    <n v="15"/>
    <n v="9"/>
    <x v="5"/>
    <s v="Paket C"/>
    <d v="2033-06-01T00:00:00"/>
    <d v="2010-03-01T00:00:00"/>
  </r>
  <r>
    <n v="14"/>
    <s v="Anik Kholifah"/>
    <x v="2"/>
    <s v="Sleman"/>
    <s v="24-12-1984"/>
    <s v="198412242009102002"/>
    <s v="3404076412840008"/>
    <m/>
    <s v="Bendahara"/>
    <s v="Bagian Tata Usaha Fakultas Ushuluddin dan Pemikiran Islam"/>
    <m/>
    <s v="II/d"/>
    <d v="2021-10-01T00:00:00"/>
    <n v="16"/>
    <n v="9"/>
    <x v="11"/>
    <s v="IPA"/>
    <d v="2043-01-01T00:00:00"/>
    <d v="2022-01-01T00:00:00"/>
  </r>
  <r>
    <n v="15"/>
    <s v="Agus Triyanto"/>
    <x v="1"/>
    <s v="Sleman"/>
    <s v="17-12-1984"/>
    <s v="198412172009101001"/>
    <s v="3404071712840014"/>
    <m/>
    <s v="Pengelola Keuangan"/>
    <s v="Bagian Tata Usaha Fakultas Ushuluddin dan Pemikiran Islam"/>
    <m/>
    <s v="II/b"/>
    <s v="01-10-2021"/>
    <n v="13"/>
    <n v="9"/>
    <x v="13"/>
    <s v="Muhammadiyah Depok"/>
    <d v="2042-01-01T00:00:00"/>
    <d v="2010-03-01T00:00:00"/>
  </r>
  <r>
    <n v="16"/>
    <s v="Maryanto, SIP."/>
    <x v="1"/>
    <s v="Bantul"/>
    <s v="02-09-1971"/>
    <s v="197109022009101001"/>
    <s v="3402120209710002"/>
    <m/>
    <s v="Pengadministrasi Umum "/>
    <s v="Bagian Tata Usaha Fakultas Ushuluddin dan Pemikiran Islam"/>
    <m/>
    <s v="III/a"/>
    <d v="2023-04-01T00:00:00"/>
    <n v="15"/>
    <n v="0"/>
    <x v="3"/>
    <s v=" "/>
    <d v="2029-10-01T00:00:00"/>
    <d v="2022-03-14T00:00:00"/>
  </r>
  <r>
    <s v="FAKULTAS SAINS DAN TEKNOLOGI (FST)"/>
    <m/>
    <x v="0"/>
    <m/>
    <m/>
    <m/>
    <m/>
    <m/>
    <m/>
    <m/>
    <m/>
    <m/>
    <m/>
    <m/>
    <m/>
    <x v="0"/>
    <m/>
    <m/>
    <m/>
  </r>
  <r>
    <n v="1"/>
    <s v="Miftahur Rofi', S.Ag, M.Ag."/>
    <x v="1"/>
    <s v="lamongan"/>
    <d v="1972-05-13T00:00:00"/>
    <s v="197205132000031002"/>
    <s v="3402121305720001"/>
    <m/>
    <s v="Kepala Bagian TU FST"/>
    <s v="Bagian Tata Usaha Fakultas Sains dan Teknologi"/>
    <d v="2020-10-01T00:00:00"/>
    <s v="IV/b"/>
    <d v="2022-10-01T00:00:00"/>
    <n v="22"/>
    <n v="7"/>
    <x v="2"/>
    <s v="IAIN Agama dan Filsafat Konsentrasi Filsafat Umum"/>
    <d v="2030-06-01T00:00:00"/>
    <s v=" "/>
  </r>
  <r>
    <n v="2"/>
    <s v="Erie Susanty, SE, MM."/>
    <x v="2"/>
    <s v="Jakarta Selatan"/>
    <d v="1969-12-05T00:00:00"/>
    <s v="196912051994032003"/>
    <s v="3471134512690001"/>
    <m/>
    <s v="Pengembang Teknologi Pembelajaran Ahli Muda"/>
    <s v="Bagian Tata Usaha Fakultas Sains dan Teknologi"/>
    <d v="2021-12-30T00:00:00"/>
    <s v="IV/a"/>
    <d v="2021-04-01T00:00:00"/>
    <n v="25"/>
    <n v="1"/>
    <x v="2"/>
    <s v="Magister Manajemen 2012"/>
    <d v="2028-01-01T00:00:00"/>
    <d v="2011-03-30T00:00:00"/>
  </r>
  <r>
    <n v="3"/>
    <s v="H. Ahmad Faizin, SE, MM."/>
    <x v="1"/>
    <s v="Pati"/>
    <d v="1975-10-05T00:00:00"/>
    <s v="197510052003121004"/>
    <s v="3404110510750002"/>
    <m/>
    <s v="Analis Keuangan APBN Ahli Muda"/>
    <s v="Biro Administrasi Umum dan Keuangan"/>
    <s v="(27 Oktober 2021 s.d. 27 Januari 2021) "/>
    <s v="IV/a"/>
    <d v="2021-10-01T00:00:00"/>
    <n v="17"/>
    <n v="10"/>
    <x v="2"/>
    <s v="Ekonomi Manajemen UII Tahun 2017"/>
    <d v="2033-11-01T00:00:00"/>
    <d v="2023-11-01T00:00:00"/>
  </r>
  <r>
    <n v="4"/>
    <s v="Siti Mariyam, S.Ag."/>
    <x v="2"/>
    <s v="Bantul"/>
    <d v="1972-01-25T00:00:00"/>
    <s v="197201252003122002"/>
    <s v="3402126501720002"/>
    <m/>
    <s v="Pengelola Bahan Akademik dan Pengajaran"/>
    <s v="Bagian Tata Usaha Fakultas Sains dan Teknologi"/>
    <m/>
    <s v="III/d"/>
    <d v="2016-04-01T00:00:00"/>
    <n v="12"/>
    <n v="4"/>
    <x v="3"/>
    <s v="UMY, Pendidikan Agama Islam"/>
    <s v="01-02-2030"/>
    <d v="2020-09-08T00:00:00"/>
  </r>
  <r>
    <n v="5"/>
    <s v="Nurita Yuliasiarti, S.IP."/>
    <x v="2"/>
    <s v="Sleman"/>
    <d v="1968-07-06T00:00:00"/>
    <s v="196807061994032002"/>
    <s v="3404134607680002 "/>
    <m/>
    <s v="Pengelola Bahan Akademik dan Pengajaran"/>
    <s v="Bagian Tata Usaha Fakultas Sains dan Teknologi"/>
    <m/>
    <s v="III/d"/>
    <d v="2022-04-01T00:00:00"/>
    <n v="23"/>
    <n v="1"/>
    <x v="3"/>
    <s v="Administrasi Negara UWMY 2009"/>
    <d v="2026-08-01T00:00:00"/>
    <d v="2023-07-01T00:00:00"/>
  </r>
  <r>
    <n v="6"/>
    <s v="Asih Hidayati Yuli Astari, A.Md., SE."/>
    <x v="2"/>
    <s v="Magelang"/>
    <d v="1974-07-07T00:00:00"/>
    <s v="197407072003122003"/>
    <s v="3404064707740001"/>
    <m/>
    <s v="Pengelola Bahan Akademik dan Pengajaran"/>
    <s v="Bagian Tata Usaha Fakultas Sains dan Teknologi"/>
    <d v="2023-05-01T00:00:00"/>
    <s v="III/c"/>
    <s v="01-10-2021"/>
    <n v="15"/>
    <n v="10"/>
    <x v="3"/>
    <s v="UII, Ekonomi"/>
    <d v="2032-08-01T00:00:00"/>
    <d v="2022-01-01T00:00:00"/>
  </r>
  <r>
    <n v="7"/>
    <s v="Amir Mahmud"/>
    <x v="1"/>
    <s v="Kebumen"/>
    <d v="1969-08-08T00:00:00"/>
    <s v="196908081994031005"/>
    <s v="3471030808690002"/>
    <m/>
    <s v="Pengelola Kepegawaian"/>
    <s v="Bagian Tata Usaha Fakultas Sains dan Teknologi"/>
    <m/>
    <s v="III/b"/>
    <d v="2014-04-01T00:00:00"/>
    <n v="16"/>
    <n v="1"/>
    <x v="5"/>
    <m/>
    <d v="2027-09-01T00:00:00"/>
    <d v="2020-10-12T00:00:00"/>
  </r>
  <r>
    <n v="8"/>
    <s v="Jaka Purnama, SH."/>
    <x v="1"/>
    <s v="Bantul"/>
    <d v="1970-05-14T00:00:00"/>
    <s v="197005142007011026"/>
    <s v="3402121405700007"/>
    <m/>
    <s v="Pengolah Daftar Gaji"/>
    <s v="Bagian Tata Usaha Fakultas Sains dan Teknologi"/>
    <m/>
    <s v="III/c"/>
    <d v="2023-10-01T00:00:00"/>
    <n v="21"/>
    <n v="6"/>
    <x v="3"/>
    <s v="Ilmu Hukum"/>
    <d v="2028-06-01T00:00:00"/>
    <d v="2010-06-01T00:00:00"/>
  </r>
  <r>
    <n v="9"/>
    <s v="Nur Sudarmaji"/>
    <x v="1"/>
    <s v="Sleman"/>
    <d v="1969-04-18T00:00:00"/>
    <s v="196904181991031003"/>
    <s v="3404031804690001"/>
    <m/>
    <s v="Pengelola Keuangan"/>
    <s v="Bagian Tata Usaha Fakultas Sains dan Teknologi"/>
    <m/>
    <s v="III/b"/>
    <d v="2010-04-01T00:00:00"/>
    <n v="14"/>
    <n v="1"/>
    <x v="8"/>
    <s v="STM Pembangunan Yogyakarta, Tahun 1989"/>
    <d v="2027-10-01T00:00:00"/>
    <d v="2023-11-01T00:00:00"/>
  </r>
  <r>
    <n v="10"/>
    <s v="Sayoto"/>
    <x v="1"/>
    <s v="Bantul"/>
    <s v="19-09-1970"/>
    <s v="197009192009011004"/>
    <s v="3402130809730001"/>
    <m/>
    <s v="Bendahara"/>
    <s v="Bagian Tata Usaha Fakultas Sains dan Teknologi"/>
    <m/>
    <s v="II/d"/>
    <d v="2021-10-01T00:00:00"/>
    <n v="23"/>
    <n v="1"/>
    <x v="5"/>
    <s v="Patria "/>
    <d v="2028-10-01T00:00:00"/>
    <d v="2022-01-01T00:00:00"/>
  </r>
  <r>
    <n v="11"/>
    <s v="Yuli Istanto"/>
    <x v="1"/>
    <s v="Sleman"/>
    <s v="13-05-1977"/>
    <s v="197705132009011019"/>
    <s v="3404051305770002"/>
    <m/>
    <s v="Pengadministrasi Umum"/>
    <s v="Bagian Tata Usaha Fakultas Sains dan Teknologi"/>
    <m/>
    <s v="II/d"/>
    <d v="2021-04-01T00:00:00"/>
    <n v="20"/>
    <n v="10"/>
    <x v="6"/>
    <s v="IPS 1997"/>
    <d v="2035-06-01T00:00:00"/>
    <d v="2023-01-09T00:00:00"/>
  </r>
  <r>
    <n v="12"/>
    <s v="Muhadi Winarno"/>
    <x v="1"/>
    <s v="Sleman"/>
    <d v="1971-12-05T00:00:00"/>
    <s v="197112052009101001"/>
    <s v="3404060512710003"/>
    <m/>
    <s v="Pengadministrasi Akademik"/>
    <s v="Bagian Tata Usaha Fakultas Sains dan Teknologi"/>
    <m/>
    <s v="II/d"/>
    <d v="2021-10-01T00:00:00"/>
    <n v="16"/>
    <n v="9"/>
    <x v="5"/>
    <s v="SMA IPS Tahun 1993"/>
    <d v="2030-01-01T00:00:00"/>
    <d v="2010-05-01T00:00:00"/>
  </r>
  <r>
    <n v="13"/>
    <s v="Agus Rahmanta"/>
    <x v="1"/>
    <s v="Bantul"/>
    <d v="1972-08-24T00:00:00"/>
    <s v="197208242007101001"/>
    <s v="3402152408720005"/>
    <m/>
    <s v="Pengadministrasi Akademik"/>
    <s v="Bagian Tata Usaha Fakultas Sains dan Teknologi"/>
    <m/>
    <s v="III/a"/>
    <d v="2024-06-01T00:00:00"/>
    <n v="21"/>
    <n v="1"/>
    <x v="8"/>
    <s v="Mesin"/>
    <d v="2030-09-01T00:00:00"/>
    <d v="2024-01-02T00:00:00"/>
  </r>
  <r>
    <n v="14"/>
    <s v="Winaryanto"/>
    <x v="1"/>
    <s v="Sleman"/>
    <s v="12-05-1973"/>
    <s v="197305122009011010"/>
    <s v="3404051205730002"/>
    <m/>
    <s v="Pengadministrasi Umum"/>
    <s v="Bagian Tata Usaha Fakultas Sains dan Teknologi"/>
    <m/>
    <s v="II/d"/>
    <d v="2021-04-01T00:00:00"/>
    <n v="21"/>
    <n v="10"/>
    <x v="5"/>
    <s v="Islam IPA"/>
    <d v="2031-06-01T00:00:00"/>
    <d v="2024-01-02T00:00:00"/>
  </r>
  <r>
    <s v="FAKULTAS ILMU SOSIAL DAN HUMANIORA (FISHUM)"/>
    <m/>
    <x v="0"/>
    <m/>
    <m/>
    <m/>
    <m/>
    <m/>
    <m/>
    <m/>
    <m/>
    <m/>
    <m/>
    <m/>
    <m/>
    <x v="0"/>
    <m/>
    <m/>
    <m/>
  </r>
  <r>
    <n v="1"/>
    <s v="Enny Iroh Hayati, SE, M.S.I."/>
    <x v="2"/>
    <s v="Magelang"/>
    <s v="21-09-1975"/>
    <s v="197509212000032001"/>
    <s v="3308041109750001"/>
    <m/>
    <s v="Kepala Bagian Tata Usaha Fishum"/>
    <s v="Bagian Tata Usaha Fakultas Ilmu Sosial dan Humaniora"/>
    <d v="2023-02-17T00:00:00"/>
    <s v="IV/b"/>
    <d v="2023-10-01T00:00:00"/>
    <n v="23"/>
    <n v="7"/>
    <x v="2"/>
    <s v="Ekonomi Islam UII Tahun 2007"/>
    <d v="2033-10-01T00:00:00"/>
    <m/>
  </r>
  <r>
    <n v="2"/>
    <s v="Adib Ahmad, S.Psi."/>
    <x v="1"/>
    <s v="Sleman"/>
    <d v="1983-12-12T00:00:00"/>
    <s v="198312122008011009"/>
    <s v="3404071212830011"/>
    <m/>
    <s v="Pengelola Laboratorium"/>
    <s v="Bagian Tata Usaha Fakultas Ilmu Sosial dan Humaniora"/>
    <m/>
    <s v="III/d"/>
    <d v="2021-04-01T00:00:00"/>
    <n v="13"/>
    <n v="3"/>
    <x v="3"/>
    <s v="UGM, Psikologi"/>
    <d v="2042-01-01T00:00:00"/>
    <d v="2008-01-01T00:00:00"/>
  </r>
  <r>
    <n v="3"/>
    <s v="Wahyuni, S.H."/>
    <x v="2"/>
    <s v="Gunungkidul"/>
    <d v="1969-01-15T00:00:00"/>
    <s v="196901151992032001"/>
    <s v="3402125501690004"/>
    <m/>
    <s v="Pengelola Keuangan"/>
    <s v="Bagian Tata Usaha Fakultas Ilmu Sosial dan Humaniora"/>
    <m/>
    <s v="III/d"/>
    <d v="2011-10-01T00:00:00"/>
    <n v="14"/>
    <n v="7"/>
    <x v="3"/>
    <s v="Ilmu Hukum, UCY"/>
    <d v="2027-02-01T00:00:00"/>
    <d v="2023-07-01T00:00:00"/>
  </r>
  <r>
    <n v="4"/>
    <s v="Thitin Haiqoh, S.Sos"/>
    <x v="2"/>
    <s v="Yogyakarta"/>
    <d v="1971-05-06T00:00:00"/>
    <s v="197105062003122002"/>
    <s v="3201134605710004"/>
    <m/>
    <s v="Bendahara"/>
    <s v="Bagian Tata Usaha Fakultas Ilmu Sosial dan Humaniora"/>
    <m/>
    <s v="III/d"/>
    <d v="2016-10-01T00:00:00"/>
    <n v="12"/>
    <n v="10"/>
    <x v="3"/>
    <s v="Sosiologi dan Administrasi Negara Universitas Jenderal Soedirman Tahun 1996"/>
    <d v="2029-06-01T00:00:00"/>
    <d v="2023-01-11T00:00:00"/>
  </r>
  <r>
    <n v="5"/>
    <s v="H. Muhammad Uswannas, S.Ag"/>
    <x v="1"/>
    <s v="Tegal"/>
    <d v="1970-03-27T00:00:00"/>
    <s v="197003272006041002"/>
    <s v="3404122703700009"/>
    <m/>
    <s v="Pengelola Kepegawaian"/>
    <s v="Bagian Tata Usaha Fakultas Ilmu Sosial dan Humaniora"/>
    <m/>
    <s v="III/d"/>
    <d v="2018-04-01T00:00:00"/>
    <n v="19"/>
    <n v="6"/>
    <x v="3"/>
    <s v="IAIN Sunan Kalijaga, Peradilan Agama "/>
    <d v="2028-04-01T00:00:00"/>
    <d v="2024-12-02T00:00:00"/>
  </r>
  <r>
    <n v="6"/>
    <s v="Suharjono"/>
    <x v="1"/>
    <s v="Bantul"/>
    <d v="1974-12-24T00:00:00"/>
    <s v="197412242009101002"/>
    <s v="3402092412740001"/>
    <m/>
    <s v="Pengolah Daftar Gaji"/>
    <s v="Bagian Tata Usaha Fakultas Ilmu Sosial dan Humaniora"/>
    <m/>
    <s v="II/d"/>
    <d v="2021-10-01T00:00:00"/>
    <n v="16"/>
    <n v="9"/>
    <x v="7"/>
    <s v="Negeri Bantul"/>
    <d v="2033-01-01T00:00:00"/>
    <d v="2015-02-01T00:00:00"/>
  </r>
  <r>
    <n v="7"/>
    <s v="Bogiyo"/>
    <x v="1"/>
    <s v="Bantul"/>
    <s v="08-04-1968"/>
    <s v="196804082009011003"/>
    <s v="3402150804680002"/>
    <m/>
    <s v="Pengadministrasi Umum"/>
    <s v="Bagian Tata Usaha Fakultas Ilmu Sosial dan Humaniora"/>
    <m/>
    <s v="II/d"/>
    <d v="2021-10-01T00:00:00"/>
    <n v="17"/>
    <n v="6"/>
    <x v="5"/>
    <s v="PGRI"/>
    <d v="2034-10-01T00:00:00"/>
    <d v="2024-01-02T00:00:00"/>
  </r>
  <r>
    <n v="8"/>
    <s v="Kisnanto"/>
    <x v="1"/>
    <s v="Bantul"/>
    <s v="24-08-1977"/>
    <s v="197708242009101001"/>
    <s v="3402092408770002"/>
    <m/>
    <s v="Pengadministrasi Umum"/>
    <s v="Bagian Tata Usaha Fakultas Ilmu Sosial dan Humaniora"/>
    <m/>
    <s v="II/d"/>
    <d v="2021-10-01T00:00:00"/>
    <n v="17"/>
    <n v="6"/>
    <x v="6"/>
    <s v="Patria Bantul"/>
    <d v="2035-09-01T00:00:00"/>
    <d v="2024-06-03T00:00:00"/>
  </r>
  <r>
    <s v="FAKULTAS EKONOMI DAN BISNIS ISLAM "/>
    <m/>
    <x v="0"/>
    <m/>
    <m/>
    <m/>
    <m/>
    <m/>
    <m/>
    <m/>
    <m/>
    <m/>
    <m/>
    <m/>
    <m/>
    <x v="0"/>
    <m/>
    <m/>
    <m/>
  </r>
  <r>
    <n v="1"/>
    <s v="Edi Yusuf  Setiabudi, SE"/>
    <x v="1"/>
    <s v="Bantul"/>
    <d v="1971-12-27T00:00:00"/>
    <s v="197112271993031001"/>
    <s v="3402462712710004"/>
    <m/>
    <s v="Kabag. TU FEBI "/>
    <s v="Bagian Tata Usaha Fakultas Ekonomi dan Bisnis Islam"/>
    <d v="2020-10-01T00:00:00"/>
    <s v="III/d"/>
    <d v="2015-10-01T00:00:00"/>
    <n v="20"/>
    <n v="7"/>
    <x v="3"/>
    <s v="S1 Fak. Ekonomi Ekonomi Tahun 2001 "/>
    <d v="2030-01-01T00:00:00"/>
    <s v=" "/>
  </r>
  <r>
    <n v="2"/>
    <s v="Dra. Ermas Andriyani"/>
    <x v="2"/>
    <s v="Jakarta"/>
    <d v="1968-08-07T00:00:00"/>
    <s v="196808071990032001"/>
    <s v="3404024708680001"/>
    <m/>
    <s v="Pengelola Surat"/>
    <s v="Bagian Tata Usaha Fakultas Ekonomi dan Bisnis Islam"/>
    <m/>
    <s v="III/d"/>
    <d v="2006-04-01T00:00:00"/>
    <n v="12"/>
    <n v="0"/>
    <x v="3"/>
    <s v="Univ. Muhammadiyah Jakarta, Ilmu Kesejahteraan Sosial"/>
    <d v="2026-09-01T00:00:00"/>
    <d v="2024-06-03T00:00:00"/>
  </r>
  <r>
    <n v="3"/>
    <s v="Susan Herawati, S.Pd. "/>
    <x v="2"/>
    <s v="Sleman"/>
    <d v="1969-11-19T00:00:00"/>
    <s v="196911191997022001"/>
    <s v="3404025911690001"/>
    <m/>
    <s v="Analis Keuangan APBN Ahli Muda"/>
    <s v="Bagian Tata Usaha Fakultas Ekonomi dan Bisnis Islam"/>
    <d v="2020-12-18T00:00:00"/>
    <s v="III/d"/>
    <s v="01-04-2009"/>
    <n v="12"/>
    <n v="1"/>
    <x v="3"/>
    <s v="IKP Negeri Yogyakarta, Kependidikan"/>
    <d v="2027-12-01T00:00:00"/>
    <s v=" "/>
  </r>
  <r>
    <n v="4"/>
    <s v="Sulistyantoro Pangarso, SE., M.S.I."/>
    <x v="1"/>
    <s v="Yogyakarta"/>
    <d v="1972-02-18T00:00:00"/>
    <s v="197202182000031002"/>
    <s v="3404061802720003"/>
    <m/>
    <s v="Analis SDM Aparatur Ahli Muda"/>
    <s v="Bagian Tata Usaha Fakultas Ekonomi dan Bisnis Islam"/>
    <d v="2020-12-18T00:00:00"/>
    <s v="IV/a"/>
    <d v="2016-04-01T00:00:00"/>
    <n v="16"/>
    <n v="1"/>
    <x v="2"/>
    <s v="Eknomi Islam UII 2008"/>
    <d v="2030-03-01T00:00:00"/>
    <d v="2023-09-01T00:00:00"/>
  </r>
  <r>
    <n v="5"/>
    <s v="Herin Ratnaningsih, S.Pd."/>
    <x v="2"/>
    <s v="Bantul"/>
    <d v="1982-11-16T00:00:00"/>
    <s v="198211162009122003 "/>
    <s v="3401045611820001"/>
    <m/>
    <s v="Pengelola Bahan Akademik dan Pengajaran"/>
    <s v="Bagian Tata Usaha Fakultas Ekonomi dan Bisnis Islam"/>
    <m/>
    <s v="III/d"/>
    <d v="2021-10-01T00:00:00"/>
    <n v="11"/>
    <n v="10"/>
    <x v="3"/>
    <s v="Pendidikan Bahasa Inggris UAD Tahun 2004"/>
    <d v="2040-12-01T00:00:00"/>
    <d v="2019-09-01T00:00:00"/>
  </r>
  <r>
    <n v="6"/>
    <s v="Juan Pranarka Ardian, SE"/>
    <x v="1"/>
    <s v="Purworejo"/>
    <d v="1988-07-06T00:00:00"/>
    <s v="198807062011011004"/>
    <s v="3306060607880003"/>
    <m/>
    <s v="Bendahara"/>
    <s v="Bagian Tata Usaha Fakultas Ekonomi dan Bisnis Islam"/>
    <m/>
    <s v="III/d"/>
    <d v="2023-10-01T00:00:00"/>
    <n v="12"/>
    <n v="9"/>
    <x v="3"/>
    <s v="Ekonomi"/>
    <d v="2046-08-01T00:00:00"/>
    <d v="2017-02-01T00:00:00"/>
  </r>
  <r>
    <n v="7"/>
    <s v="Muhammad Mauludin, S.IP"/>
    <x v="1"/>
    <s v="Sleman"/>
    <d v="1971-01-15T00:00:00"/>
    <s v="197101151994031004"/>
    <s v="3404171501710002"/>
    <m/>
    <s v="Pengelola Penelitian"/>
    <s v="Biro Administrasi Akademik, Kemahasiswaan dan Kerjasama ditugaskan pada LP2M"/>
    <m/>
    <s v="III/d"/>
    <s v="01-04-2018"/>
    <n v="21"/>
    <n v="10"/>
    <x v="3"/>
    <s v="STISIPOL Kartika Bangsa, Tahun 2004"/>
    <s v="01-02-2029"/>
    <d v="2024-01-08T00:00:00"/>
  </r>
  <r>
    <n v="8"/>
    <s v="Murdiyono"/>
    <x v="1"/>
    <s v="Yogyakarta"/>
    <d v="1968-07-10T00:00:00"/>
    <s v="196807101993031001"/>
    <s v="3404121007680008"/>
    <m/>
    <s v="Pengadministrasi Umum"/>
    <s v="Bagian Tata Usaha Fakultas Ekonomi dan Bisnis Islam"/>
    <m/>
    <s v="III/b"/>
    <d v="2013-04-01T00:00:00"/>
    <n v="15"/>
    <n v="1"/>
    <x v="11"/>
    <s v="Tahun 1988"/>
    <s v="01-08-2026"/>
    <d v="2016-01-11T00:00:00"/>
  </r>
  <r>
    <n v="9"/>
    <s v="Setiarini, SH."/>
    <x v="2"/>
    <s v="Yogyakarta"/>
    <d v="1973-09-25T00:00:00"/>
    <s v="197309251997032001"/>
    <s v="3404126509730003"/>
    <m/>
    <s v="Pengolah Daftar Gaji"/>
    <s v="Bagian Tata Usaha Fakultas Ekonomi dan Bisnis Islam"/>
    <m/>
    <s v="III/c"/>
    <d v="2021-04-01T00:00:00"/>
    <n v="19"/>
    <n v="1"/>
    <x v="3"/>
    <s v="Ilmu Hukum 2006"/>
    <d v="2031-10-01T00:00:00"/>
    <d v="2015-02-01T00:00:00"/>
  </r>
  <r>
    <n v="10"/>
    <s v="Miskidi"/>
    <x v="1"/>
    <s v="Kulonprogo"/>
    <s v="05-07-1969"/>
    <s v="196907052007011073"/>
    <s v="3401060507690001"/>
    <m/>
    <s v="Pengadministrasi Umum"/>
    <s v="Bagian Tata Usaha Fakultas Ekonomi dan Bisnis Islam"/>
    <m/>
    <s v="III/a"/>
    <d v="2023-04-01T00:00:00"/>
    <n v="15"/>
    <n v="3"/>
    <x v="10"/>
    <s v="Pendidikan SD Tahun 1990"/>
    <d v="2027-08-01T00:00:00"/>
    <d v="2016-01-11T00:00:00"/>
  </r>
  <r>
    <n v="11"/>
    <s v="Khumaidi"/>
    <x v="1"/>
    <s v="Bantul"/>
    <s v="08-09-1973"/>
    <s v="197309082009101002"/>
    <s v="3402130809730001"/>
    <m/>
    <s v="Pramu Bakti"/>
    <s v="Bagian Tata Usaha Fakultas Ekonomi dan Bisnis Islam"/>
    <m/>
    <s v="II/c"/>
    <s v="01-10-2023"/>
    <n v="17"/>
    <n v="9"/>
    <x v="5"/>
    <s v="Paket C"/>
    <d v="2031-10-01T00:00:00"/>
    <d v="2022-01-01T00:00:00"/>
  </r>
  <r>
    <n v="12"/>
    <s v="Nashiruddin Asshiddiqi, A.Md."/>
    <x v="1"/>
    <s v="Kudus"/>
    <s v="18-12-1989"/>
    <s v="198912182022031002"/>
    <s v="'3319021812890001"/>
    <m/>
    <s v="Pengadministrasi Keuangan"/>
    <s v="Bagian Tata Usaha Fakultas Ekonomi dan Bisnis Islam"/>
    <m/>
    <s v="II/c"/>
    <d v="2022-03-01T00:00:00"/>
    <m/>
    <m/>
    <x v="4"/>
    <s v="Akuntansi Universitas Dian Nuswantoro / UDINUS"/>
    <d v="2048-01-01T00:00:00"/>
    <m/>
  </r>
  <r>
    <n v="13"/>
    <s v="Subagiyo"/>
    <x v="1"/>
    <s v="Bantul"/>
    <s v="20-01-1980"/>
    <s v="198001202009101001"/>
    <s v="3402152001800004"/>
    <m/>
    <s v="Pengadministrasi Akademik"/>
    <s v="Bagian Tata Usaha Fakultas Ekonomi dan Bisnis Islam"/>
    <m/>
    <s v="II/d"/>
    <d v="2021-10-01T00:00:00"/>
    <n v="17"/>
    <n v="2"/>
    <x v="6"/>
    <s v="Pelita Buana Sewon Bantul"/>
    <d v="2038-02-01T00:00:00"/>
    <d v="2024-01-02T00:00: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1"/>
    <s v="Eko Adi Candra Wibowo"/>
    <x v="0"/>
    <s v="Bantul, 4 Agustus 1987"/>
    <d v="1987-08-04T00:00:00"/>
    <d v="2045-09-01T00:00:00"/>
    <s v="198708040000001101"/>
    <s v="D1"/>
    <s v="D1 Manajemen Informatika Magistra Utama Tahun 2006"/>
    <s v="Pengelola Layanan Akademik"/>
    <s v="3404080408870001"/>
    <s v="Bagian Akademik Biro AAKK"/>
    <d v="2012-01-02T00:00:00"/>
  </r>
  <r>
    <n v="2"/>
    <s v="Tika Uswatun, S.E."/>
    <x v="1"/>
    <s v="Bantul, 6 Agustus 1992"/>
    <d v="1992-08-06T00:00:00"/>
    <d v="2050-09-01T00:00:00"/>
    <s v="199208060000002101"/>
    <s v="S1"/>
    <s v="S1 Manajemen Keuangan Syari'ah UIN Sunan Kalijaga Yogyakarta Tahun 2017"/>
    <s v="Pengadministrasi Keuangan"/>
    <s v="3402134608920002"/>
    <s v="Biro Administrasi Akademik, Kemahasiswaan dan Kerjasama ditugaskan pada Kopertais"/>
    <d v="2022-01-01T00:00:00"/>
  </r>
  <r>
    <n v="3"/>
    <s v="Apriani Dwi Astuti, S.Sos."/>
    <x v="1"/>
    <s v="Sampang, 17 April 1995"/>
    <d v="1995-04-17T00:00:00"/>
    <d v="2053-05-01T00:00:00"/>
    <s v="199504170000002101"/>
    <s v="S1"/>
    <s v="S1 Ilmu Kesejahteraan Sosial UIN Sunan Kalijaga Tahun 2018"/>
    <s v="Pengadministrasi Kerjasama"/>
    <s v="3527095704950002"/>
    <s v="Biro Administrasi Akademik, Kemahasiswaan dan Kerjasama"/>
    <d v="2023-09-01T00:00:00"/>
  </r>
  <r>
    <n v="4"/>
    <s v="Niswatun Umul Hidayah, Amd. Akt"/>
    <x v="1"/>
    <s v="Sleman, 21 Oktober 1992"/>
    <d v="1992-10-21T00:00:00"/>
    <d v="2050-11-01T00:00:00"/>
    <s v="199210210000002101"/>
    <s v="D3"/>
    <s v="D3 Akuntansi UNY Tahun 2014"/>
    <s v="Pengelola Keuangan"/>
    <s v="3404026110920002"/>
    <s v="Biro Administrasi Umum dan Keuangan"/>
    <d v="2015-01-02T00:00:00"/>
  </r>
  <r>
    <n v="5"/>
    <s v="Ahmad Hudiyatno, S.Ag."/>
    <x v="0"/>
    <s v="Wonosobo, 12 April 1994"/>
    <d v="1994-04-12T00:00:00"/>
    <d v="2052-05-01T00:00:00"/>
    <s v="199404120000001101"/>
    <s v="S1"/>
    <s v="S1 Ilmu Al-Qur'an dan Tafsir UIN Sunan Kalijaga Yogyakarta Tahun 2017"/>
    <s v="Pengelola Keuangan"/>
    <s v="3307031204940004"/>
    <s v="Biro Administrasi Umum dan Keuangan"/>
    <d v="2019-11-01T00:00:00"/>
  </r>
  <r>
    <n v="6"/>
    <s v="Laili Hidayati, S.E."/>
    <x v="1"/>
    <s v="Klaten, 19 Mei  1995"/>
    <d v="1995-05-09T00:00:00"/>
    <d v="2053-06-01T00:00:00"/>
    <s v="199505190000002101"/>
    <s v="S1"/>
    <s v="S1 Perbankan Syari'ah UIN Sunan Kalijaga Yogyakarta Tahun 2017"/>
    <s v="Pengelola Keuangan"/>
    <s v="3310035905950002"/>
    <s v="Biro Administrasi Umum dan Keuangan"/>
    <d v="2021-04-01T00:00:00"/>
  </r>
  <r>
    <n v="7"/>
    <s v="Andika Merita Timur, SE."/>
    <x v="1"/>
    <s v="Yogyakarta, 18 Maret 1991"/>
    <d v="1991-03-18T00:00:00"/>
    <d v="2049-04-01T00:00:00"/>
    <s v="199103180000002101"/>
    <s v="S1"/>
    <s v="S1 Akuntansi, Universitas Muhammadiyah Yogyakarta Tahun 2013"/>
    <s v="Pengelola Keuangan"/>
    <s v="3402165803910001"/>
    <s v="Biro Administrasi Umum dan Keuangan"/>
    <d v="2015-01-02T00:00:00"/>
  </r>
  <r>
    <n v="8"/>
    <s v="Idha Nur Laila, SE."/>
    <x v="1"/>
    <s v="Yogyakarta, 18 Oktober 1980"/>
    <d v="1980-10-18T00:00:00"/>
    <d v="2038-11-01T00:00:00"/>
    <s v="198010180000002101"/>
    <s v="S1"/>
    <s v="S1 Manajemen UNY Tahun 2003"/>
    <s v="Pengelola Keuangan"/>
    <s v="3404115810800002"/>
    <s v="Subbag. Tata Usaha Pascasarjana "/>
    <d v="2024-01-02T00:00:00"/>
  </r>
  <r>
    <n v="9"/>
    <s v="Sugiran"/>
    <x v="0"/>
    <s v="Gunung Kidul, 5 Mei 1979"/>
    <d v="1979-05-05T00:00:00"/>
    <d v="2037-06-01T00:00:00"/>
    <s v="197905050000001101"/>
    <s v="Paket C"/>
    <s v="Paket C IPS"/>
    <s v="Pengemudi"/>
    <s v="3403160505790002"/>
    <s v="Subbag. Perlengkapan Pengadaan Barang/Jasa"/>
    <d v="2009-01-01T00:00:00"/>
  </r>
  <r>
    <n v="10"/>
    <s v="Gito Taryono"/>
    <x v="0"/>
    <s v="Yogyakarta, 1 Desember 1973"/>
    <d v="1973-12-01T00:00:00"/>
    <d v="2032-01-01T00:00:00"/>
    <s v="197312010000001101"/>
    <s v="Paket C"/>
    <s v="Paket C IPA"/>
    <s v="Pengemudi"/>
    <s v="3308020112730004"/>
    <s v="Subbag. Perlengkapan Pengadaan Barang/Jasa"/>
    <d v="2021-07-01T00:00:00"/>
  </r>
  <r>
    <n v="11"/>
    <s v="R. Danang Jaya RKPP"/>
    <x v="0"/>
    <s v="Yogyakarta, 30 Mei 1986"/>
    <d v="1986-05-30T00:00:00"/>
    <d v="2044-06-01T00:00:00"/>
    <s v="198605300000001101"/>
    <s v="STM"/>
    <s v="STM Teknik Elektro Tahun 2005"/>
    <s v="Teknisi Peralatan Kantor "/>
    <s v="3471083005860001"/>
    <s v="Subbag. Perlengkapan Pengadaan Barang/Jasa"/>
    <d v="2009-01-01T00:00:00"/>
  </r>
  <r>
    <n v="12"/>
    <s v="Danu Sapto Nugroho"/>
    <x v="0"/>
    <s v="Yogyakarta, 31 Januari 1987"/>
    <d v="1987-01-31T00:00:00"/>
    <d v="2045-02-01T00:00:00"/>
    <s v="198701310000001101"/>
    <s v="SMK"/>
    <s v="SMK Teknik Mekanik Otomotif Tahun 2005"/>
    <s v="Pengadministrasi Umum"/>
    <s v="3471133101870002"/>
    <s v="Subbag. Tata Usaha dan Rumah Tangga pada Bagian Umum Biro AUK"/>
    <d v="2022-01-01T00:00:00"/>
  </r>
  <r>
    <n v="13"/>
    <s v="Setiawan"/>
    <x v="0"/>
    <s v="Klaten, 5 Januari 1983"/>
    <d v="1983-01-05T00:00:00"/>
    <d v="2041-02-01T00:00:00"/>
    <s v="198301050000001101"/>
    <s v="SMK"/>
    <s v="SMK Jurusan Teknik Mesin Tahun 2002"/>
    <s v="Pengadministrasi Umum"/>
    <s v="3404070501830008"/>
    <s v="Subbag. Tata Usaha dan Rumah Tangga pada Bagian Umum Biro AUK"/>
    <d v="2022-01-01T00:00:00"/>
  </r>
  <r>
    <n v="14"/>
    <s v="Ridwan Taufiq"/>
    <x v="0"/>
    <s v="Sleman, 28 Nopember 1983"/>
    <d v="1983-11-28T00:00:00"/>
    <d v="2041-12-01T00:00:00"/>
    <s v="198311280000001101"/>
    <s v="MAN"/>
    <s v="MAN IPS Tahun 2002"/>
    <s v="Petugas Keamanan"/>
    <s v="3404072811830010"/>
    <s v="Subbag. Tata Usaha dan Rumah Tangga pada Bagian Umum Biro AUK"/>
    <d v="2012-02-01T00:00:00"/>
  </r>
  <r>
    <n v="15"/>
    <s v="Supiyanto"/>
    <x v="0"/>
    <s v="Gunung Kidul, 5 Februari 1976"/>
    <d v="1976-02-05T00:00:00"/>
    <d v="2034-03-01T00:00:00"/>
    <s v="197602050000001101"/>
    <s v="Paket C"/>
    <s v="Paket C IPS Tahun 2018"/>
    <s v="Petugas Keamanan"/>
    <s v="3312010502760004"/>
    <s v="Subbag. Tata Usaha dan Rumah Tangga pada Bagian Umum Biro AUK"/>
    <d v="2009-01-01T00:00:00"/>
  </r>
  <r>
    <n v="16"/>
    <s v="Heri Setyanto"/>
    <x v="0"/>
    <s v="Klaten, 20 Oktober 1983"/>
    <d v="1983-10-20T00:00:00"/>
    <d v="2041-11-01T00:00:00"/>
    <s v="198310200000001101"/>
    <s v="SMA"/>
    <s v="SMA IPA Tahun 2003"/>
    <s v="Petugas Keamanan"/>
    <s v="3404072010830014"/>
    <s v="Subbag. Tata Usaha dan Rumah Tangga pada Bagian Umum Biro AUK"/>
    <d v="2009-01-01T00:00:00"/>
  </r>
  <r>
    <n v="17"/>
    <s v="Norudin"/>
    <x v="0"/>
    <s v="Bantul, 26 April 1975"/>
    <d v="1975-04-26T00:00:00"/>
    <d v="2033-05-01T00:00:00"/>
    <s v="197504260000001101"/>
    <s v="SMA"/>
    <s v="SMA IPS Tahun 1995"/>
    <s v="Petugas Keamanan"/>
    <s v="3402122604750001"/>
    <s v="Subbag. Tata Usaha dan Rumah Tangga pada Bagian Umum Biro AUK"/>
    <d v="2009-01-01T00:00:00"/>
  </r>
  <r>
    <n v="18"/>
    <s v="Marsono"/>
    <x v="0"/>
    <s v="Yogyakarta, 3 Februari 1974"/>
    <d v="1974-02-03T00:00:00"/>
    <d v="2032-03-01T00:00:00"/>
    <s v="197402030000001101"/>
    <s v="SMA"/>
    <s v="SMA IPS Tahun 2008"/>
    <s v="Petugas Keamanan"/>
    <s v="3471130302740003"/>
    <s v="Subbag. Tata Usaha dan Rumah Tangga pada Bagian Umum Biro AUK"/>
    <d v="2009-01-01T00:00:00"/>
  </r>
  <r>
    <n v="19"/>
    <s v="Djoko Sakti"/>
    <x v="0"/>
    <s v="Cimahi, 6 Maret 1972"/>
    <d v="1972-03-06T00:00:00"/>
    <d v="2030-04-01T00:00:00"/>
    <s v="197203060000001101"/>
    <s v="SMA"/>
    <s v="SMA IPA Tahun 1991"/>
    <s v="Pengadministrasi Persuratan"/>
    <s v="3402130603720001"/>
    <s v="Biro Administrasi Akademik, Kemahasiswaan dan Kerjasama ditugaskan pada UPT Pusat Perpustakaan "/>
    <d v="2024-04-01T00:00:00"/>
  </r>
  <r>
    <n v="20"/>
    <s v="Chrisma Hari Saputra"/>
    <x v="0"/>
    <s v="Sleman, 14 Juli 1988"/>
    <d v="1988-07-14T00:00:00"/>
    <d v="2046-08-01T00:00:00"/>
    <s v="198807140000001101"/>
    <s v="SMK"/>
    <s v="SMK Teknik Mekanik Otomotif Tahun 2006"/>
    <s v="Pengadministrasi Umum"/>
    <s v="3404081407860002"/>
    <s v="Bagian Tata Usaha Fakultas Adab dan Ilmu Budaya"/>
    <d v="2024-06-03T00:00:00"/>
  </r>
  <r>
    <n v="21"/>
    <s v="Rahmat Febi Ferdiyan"/>
    <x v="0"/>
    <s v="Sleman, 20 Februari 1986"/>
    <d v="1986-02-20T00:00:00"/>
    <d v="2044-03-01T00:00:00"/>
    <s v="198602200000001101"/>
    <s v="SMK"/>
    <s v="SMK Otomotif Tahun 2005"/>
    <s v="Petugas Keamanan"/>
    <s v="3404092002860001"/>
    <s v="Subbag. Tata Usaha dan Rumah Tangga pada Bagian Umum Biro AUK"/>
    <d v="2009-01-01T00:00:00"/>
  </r>
  <r>
    <n v="22"/>
    <s v="Doni Andriyanto"/>
    <x v="0"/>
    <s v="Yogyakarta, 12 Desember 1976"/>
    <d v="1976-12-12T00:00:00"/>
    <d v="2035-01-01T00:00:00"/>
    <s v="197612120000001101"/>
    <s v="SMK"/>
    <s v="SMK Mesin Produksi Tahun 1996"/>
    <s v="Petugas Keamanan"/>
    <s v="3471031212760001"/>
    <s v="Subbag. Tata Usaha dan Rumah Tangga pada Bagian Umum Biro AUK"/>
    <d v="2009-01-01T00:00:00"/>
  </r>
  <r>
    <n v="23"/>
    <s v="Sumedi"/>
    <x v="0"/>
    <s v="Yogyakarta, 15 April 1974"/>
    <d v="1974-04-15T00:00:00"/>
    <d v="2032-05-01T00:00:00"/>
    <s v="197404150000001101"/>
    <s v="SMK"/>
    <s v="SMK Kimia Industri Tahun 1994"/>
    <s v="Petugas Keamanan"/>
    <s v="3471031504740003"/>
    <s v="Subbag. Tata Usaha dan Rumah Tangga pada Bagian Umum Biro AUK"/>
    <d v="2009-01-01T00:00:00"/>
  </r>
  <r>
    <n v="24"/>
    <s v="Wiyono"/>
    <x v="0"/>
    <s v="Bantul, 8 Mei 1974"/>
    <d v="1974-05-08T00:00:00"/>
    <d v="2032-06-01T00:00:00"/>
    <s v="197405080000001101"/>
    <s v="SMK"/>
    <s v="SMK Elektronika Komunikasi Tahun 1995"/>
    <s v="Petugas Keamanan"/>
    <s v="3402120805740001"/>
    <s v="Subbag. Tata Usaha dan Rumah Tangga pada Bagian Umum Biro AUK"/>
    <d v="2009-01-01T00:00:00"/>
  </r>
  <r>
    <n v="25"/>
    <s v="Wintoro"/>
    <x v="0"/>
    <s v="Sleman, 6 Juni 1976"/>
    <d v="1976-06-06T00:00:00"/>
    <d v="2034-07-01T00:00:00"/>
    <s v="197606060000001101"/>
    <s v="STM"/>
    <s v="STM Mesin Produksi Tahun 1995"/>
    <s v="Petugas Keamanan"/>
    <s v="3404070606760002"/>
    <s v="Subbag. Tata Usaha dan Rumah Tangga pada Bagian Umum Biro AUK"/>
    <d v="2009-01-01T00:00:00"/>
  </r>
  <r>
    <n v="26"/>
    <s v="Yadi"/>
    <x v="0"/>
    <s v="Gunung Kidul, 25 Juni 1979"/>
    <d v="1979-06-25T00:00:00"/>
    <d v="2037-07-01T00:00:00"/>
    <s v="197906250000001101"/>
    <s v="Paket C"/>
    <s v="Paket C IPS "/>
    <s v="Pramu Bakti"/>
    <s v="3403162506790001"/>
    <s v="Subbag. Tata Usaha dan Rumah Tangga pada Bagian Umum Biro AUK"/>
    <d v="2009-01-01T00:00:00"/>
  </r>
  <r>
    <n v="27"/>
    <s v="Anang Hadiyanto"/>
    <x v="0"/>
    <s v="Bantul, 28 Desember 1984"/>
    <d v="1984-12-28T00:00:00"/>
    <d v="2043-01-01T00:00:00"/>
    <s v="198412280000001101"/>
    <s v="SMK"/>
    <s v="SMK Teknik Mekanik Otomotif Tahun 2004"/>
    <s v="Pramu Bakti"/>
    <s v="3402122812840003"/>
    <s v="Subbag. Tata Usaha dan Rumah Tangga pada Bagian Umum Biro AUK"/>
    <d v="2009-01-01T00:00:00"/>
  </r>
  <r>
    <n v="28"/>
    <s v="Yudi Pantoro"/>
    <x v="0"/>
    <s v="Sleman, 2 Mei 1981"/>
    <d v="1982-05-02T00:00:00"/>
    <d v="2040-06-01T00:00:00"/>
    <s v="198205020000001101"/>
    <s v="SMK"/>
    <s v="SMK Otomotof Tahun 2000"/>
    <s v="Pramu Bakti"/>
    <s v="3404090205810001"/>
    <s v="Subbag. Tata Usaha dan Rumah Tangga pada Bagian Umum Biro AUK"/>
    <d v="2009-01-01T00:00:00"/>
  </r>
  <r>
    <n v="29"/>
    <s v="Poniman"/>
    <x v="0"/>
    <s v="Sleman, 23 Juni 1973"/>
    <d v="1973-06-23T00:00:00"/>
    <d v="2031-07-01T00:00:00"/>
    <s v="197306230000001101"/>
    <s v="STM"/>
    <s v="STM Mesin Tahun 1995"/>
    <s v="Pramu Bakti"/>
    <s v="3404072306730003"/>
    <s v="Subbag. Tata Usaha dan Rumah Tangga pada Bagian Umum Biro AUK"/>
    <d v="2009-01-01T00:00:00"/>
  </r>
  <r>
    <n v="30"/>
    <s v="Dimas Hari Hidayanto, A.Md."/>
    <x v="0"/>
    <s v="Sleman, 26 Mei 1990"/>
    <d v="1990-05-26T00:00:00"/>
    <d v="2048-06-01T00:00:00"/>
    <s v="199005260000001001"/>
    <s v="D3"/>
    <s v="D3 Perpustakaan dan Informasi Islam Tahun 2011"/>
    <s v="Pranata Kearsipan"/>
    <s v="3404062605900003"/>
    <s v="Subbag. Tata Usaha dan Rumah Tangga pada Bagian Umum Biro AUK"/>
    <d v="2018-01-02T00:00:00"/>
  </r>
  <r>
    <n v="31"/>
    <s v="Ikhwan Purnomo, A.Md."/>
    <x v="0"/>
    <s v="Sleman, 18 Desember 1988"/>
    <d v="1988-12-18T00:00:00"/>
    <d v="2047-01-01T00:00:00"/>
    <s v="198812180000001101"/>
    <s v="D3"/>
    <s v="D3 Perpustakaan dan Informasi Islam Tahun 2011"/>
    <s v="Pranata Kearsipan"/>
    <s v="3404071812880001"/>
    <s v="Subbag. Tata Usaha dan Rumah Tangga pada Bagian Umum Biro AUK"/>
    <d v="2018-01-02T00:00:00"/>
  </r>
  <r>
    <n v="32"/>
    <s v="Arina Dewi Susilaningsih, S.Pd.I."/>
    <x v="1"/>
    <s v="Yogyakarta, 3 September 1992"/>
    <d v="1992-09-03T00:00:00"/>
    <d v="2050-10-01T00:00:00"/>
    <s v="199209030000002101"/>
    <s v="S1"/>
    <s v="S1 Pendidikan Agama Islam UIN Sunan Kalijaga Yogyakarta Tahun 2016"/>
    <s v="Pengadministrasi Persuratan"/>
    <s v="3404094309920002"/>
    <s v="Subbag. Tata Usaha dan Rumah Tangga pada Bagian Umum Biro AUK"/>
    <d v="2021-03-01T00:00:00"/>
  </r>
  <r>
    <n v="33"/>
    <s v="Anang Wahyu Nugroho"/>
    <x v="0"/>
    <s v="Klaten, 10 Juli 1987"/>
    <d v="1987-07-10T00:00:00"/>
    <d v="2045-08-01T00:00:00"/>
    <s v="198707100000001101"/>
    <s v="D3"/>
    <s v="Akuntansi UNY Tahun 2010"/>
    <s v="Pengadministrasi Umum"/>
    <s v="3310011007870003"/>
    <s v="Subbag. Tata Usaha dan Rumah Tangga pada Bagian Umum Biro AUK"/>
    <d v="2022-01-01T00:00:00"/>
  </r>
  <r>
    <n v="34"/>
    <s v="Sarmin"/>
    <x v="0"/>
    <s v="Wonogiri, 6 Agustus 1977"/>
    <d v="1977-08-06T00:00:00"/>
    <d v="2035-09-01T00:00:00"/>
    <s v="199708060000001101"/>
    <s v="SMP"/>
    <s v="SMP Tahun 1993"/>
    <s v="Pengemudi"/>
    <s v="3404140608770001"/>
    <s v="Bagian Tata Usaha Fak.Ushuluddin dan Pemikiran Islam"/>
    <d v="2011-03-01T00:00:00"/>
  </r>
  <r>
    <n v="35"/>
    <s v="Muhammad Ellyasa Subekti, SE."/>
    <x v="0"/>
    <s v="Sleman, 21 Juni 1982"/>
    <d v="1982-06-21T00:00:00"/>
    <d v="2040-07-01T00:00:00"/>
    <s v="198206210000001101"/>
    <s v="S1"/>
    <s v="Manajemen, Universitas Mercu Buana Yogyakarta Tahun 2014"/>
    <s v="Pengelola Keuangan"/>
    <s v="3404062106820000"/>
    <s v="Bagian Tata Usaha Fakultas Adab dan Ilmu Budaya"/>
    <d v="2009-02-02T00:00:00"/>
  </r>
  <r>
    <n v="36"/>
    <s v="Lukman Muhlasin"/>
    <x v="0"/>
    <s v="Bantul, 9 Desember 1984"/>
    <d v="1984-12-09T00:00:00"/>
    <d v="2043-01-01T00:00:00"/>
    <s v="198412090000001101"/>
    <s v="SMP"/>
    <s v="Paket B 2014"/>
    <s v="Pramu Bakti"/>
    <s v="3402140912840002"/>
    <s v="Bagian Tata Usaha Fakultas Adab dan Ilmu Budaya"/>
    <d v="2012-03-01T00:00:00"/>
  </r>
  <r>
    <n v="37"/>
    <s v="Ika Sukmawati, SIP."/>
    <x v="1"/>
    <s v="Magelang, 20 Maret 1986"/>
    <d v="1986-03-20T00:00:00"/>
    <d v="2044-04-01T00:00:00"/>
    <s v="198603200000002101"/>
    <s v="S1"/>
    <s v="S1 Ilmu Perpustakaan UIN Sunan Kalijaga YK Tahun 2008"/>
    <s v="Pengelola Bahan Akademik dan Pengajaran"/>
    <s v="3308046003860001"/>
    <s v="Bagian Akademik Biro AAKK"/>
    <d v="2024-06-03T00:00:00"/>
  </r>
  <r>
    <n v="38"/>
    <s v="Sutrisno"/>
    <x v="0"/>
    <s v="Sleman, 17 Februari 1978"/>
    <d v="1978-02-17T00:00:00"/>
    <d v="2036-03-01T00:00:00"/>
    <s v="197802170000001101"/>
    <s v="SMA"/>
    <s v="Paket C IPS 2015"/>
    <s v="Pramu Bakti"/>
    <s v="3404071702780001"/>
    <s v="Bagian Tata Usaha Fakultas Adab dan Ilmu Budaya"/>
    <d v="2009-01-01T00:00:00"/>
  </r>
  <r>
    <n v="39"/>
    <s v="Sukardiman"/>
    <x v="0"/>
    <s v="Sleman, 28 Februari 1982"/>
    <d v="1982-02-28T00:00:00"/>
    <d v="2040-03-01T00:00:00"/>
    <s v="198202280000001101"/>
    <s v="SMK"/>
    <s v="SMK Otomotif Tahun 2000"/>
    <s v="Pengelola Keuangan"/>
    <s v="3404022802820003"/>
    <s v="Bagian Tata Usaha Fakultas Adab dan Ilmu Budaya"/>
    <d v="2009-01-01T00:00:00"/>
  </r>
  <r>
    <n v="40"/>
    <s v="Hanes Setiyo Purnomo"/>
    <x v="0"/>
    <s v="Magelang, 22 November 1978"/>
    <d v="1978-11-22T00:00:00"/>
    <d v="2036-12-01T00:00:00"/>
    <s v="197811220000001101"/>
    <s v="SMK"/>
    <s v="SMK Teknik Mesin Tahun 1997"/>
    <s v="Pengadministrasi Akademik"/>
    <s v="3308202211780001"/>
    <s v="Bagian Tata Usaha Fakultas Adab dan Ilmu Budaya"/>
    <d v="2014-01-01T00:00:00"/>
  </r>
  <r>
    <n v="41"/>
    <s v="Khabiburrahman, S.Si."/>
    <x v="0"/>
    <s v="Brebes, 17 Februari 1987"/>
    <d v="1987-02-17T00:00:00"/>
    <d v="2045-03-01T00:00:00"/>
    <s v="198702170000001101"/>
    <s v="S1"/>
    <s v="S1 Kimia UIN Sunan Kalijaga Yogyakarta Tahun 2011"/>
    <s v="Pengelola Sistem Informasi"/>
    <s v="3329090702870003"/>
    <s v="Bagian Tata Usaha Fakultas Dakwah dan Komunikasi"/>
    <d v="2020-11-01T00:00:00"/>
  </r>
  <r>
    <n v="42"/>
    <s v="Nur Imam Umri Saputro"/>
    <x v="0"/>
    <s v="Yogyakarta, 2 November 1991"/>
    <d v="1991-11-02T00:00:00"/>
    <d v="2049-12-01T00:00:00"/>
    <s v="199111020000001101"/>
    <s v="SMK"/>
    <s v="SMK Teknik Listrik Tahun 2010"/>
    <s v="Pranata Kearsipan"/>
    <s v="3471010211910001"/>
    <s v="Bagian Tata Usaha Fakultas Dakwah dan Komunikasi"/>
    <d v="2022-01-01T00:00:00"/>
  </r>
  <r>
    <n v="43"/>
    <s v="Pramana Budi Susanta"/>
    <x v="0"/>
    <s v="Gunung Kidul, 18 Januari 1985"/>
    <d v="1985-01-18T00:00:00"/>
    <d v="2043-02-01T00:00:00"/>
    <s v="198501180000001101"/>
    <s v="Paket C"/>
    <s v="Paket C IPS"/>
    <s v="Pengemudi"/>
    <s v="3403031801850004"/>
    <s v="Bagian Tata Usaha Fakultas Dakwah dan Komunikasi"/>
    <d v="2012-01-02T00:00:00"/>
  </r>
  <r>
    <n v="44"/>
    <s v="Edi Prasetya, S.Kom."/>
    <x v="0"/>
    <s v="Magelang, 3 Nopember 1985"/>
    <d v="1985-11-03T00:00:00"/>
    <d v="2043-12-01T00:00:00"/>
    <s v="198511030000001101"/>
    <s v="S1"/>
    <s v="S1 Teknik Informatika STMIK AMIKOM YK Tahun 2009"/>
    <s v="Pengelola Sistem Informasi"/>
    <s v="3308040311850002"/>
    <s v="Bagian Tata Usaha Fakultas Dakwah dan Komunikasi"/>
    <d v="2023-04-01T00:00:00"/>
  </r>
  <r>
    <n v="45"/>
    <s v="Yopi Arrasyid Mu'iz, S.Kom."/>
    <x v="0"/>
    <s v="Klaten, 8 September 1991"/>
    <d v="1991-09-08T00:00:00"/>
    <d v="2049-10-01T00:00:00"/>
    <s v="199109080000001101"/>
    <s v="S1"/>
    <s v="S1 Sistem Informasi STMIK AMIKOM Yogyakarta Tahun 2015"/>
    <s v="Pengadministrasi Umum"/>
    <s v="3310010809910001"/>
    <s v="Bagian Tata Usaha Fakultas Ekonomi dan Bisnis Islam"/>
    <d v="2020-01-01T00:00:00"/>
  </r>
  <r>
    <n v="46"/>
    <s v="Rahman Soleh, S.Hum."/>
    <x v="0"/>
    <s v="Banyumas, 13 Juni 1985"/>
    <d v="1985-06-13T00:00:00"/>
    <d v="2043-07-01T00:00:00"/>
    <s v="198506130000001101"/>
    <s v="S1"/>
    <s v="S1 Sejarah dan Kebudayaan Islam UIN Sunan Kalijaga Tahun 2011"/>
    <s v="Pengelola Keuangan"/>
    <s v="3302081306850004"/>
    <s v="Bagian Tata Usaha Fakultas Ekonomi dan Bisnis Islam"/>
    <d v="2012-03-01T00:00:00"/>
  </r>
  <r>
    <n v="47"/>
    <s v="Yasmitha Lusy Ekayanti, S.Kom."/>
    <x v="1"/>
    <s v="Semarang, 26 Desember 1994"/>
    <d v="1994-12-26T00:00:00"/>
    <d v="2053-01-01T00:00:00"/>
    <s v="199412260000002203"/>
    <s v="S1"/>
    <s v="S1 Teknik Informatika UIN Sunan Kalijaga Yogyakarta Tahun 2017"/>
    <s v="Pengelola Bahan Akademik dan Pengajaran"/>
    <s v="3404106612940002"/>
    <s v="Bagian Tata Usaha Fakultas Ekonomi dan Bisnis Islam"/>
    <d v="2018-08-01T00:00:00"/>
  </r>
  <r>
    <n v="48"/>
    <s v="Fera Dwi Rengganis, S.H."/>
    <x v="1"/>
    <s v="Sleman, 24 Januari 1994"/>
    <d v="1994-01-24T00:00:00"/>
    <d v="2052-02-01T00:00:00"/>
    <s v="199401240000002101"/>
    <s v="S1"/>
    <s v="S1 Hukum Ekonomi Syari'ah UIN Sunan Kalijaga Yogyakarta Tahun  2016"/>
    <s v="Pengadministrasi Umum"/>
    <s v="3404016401940002"/>
    <s v="Bagian Tata Usaha Fakultas Ekonomi dan Bisnis Islam"/>
    <d v="2017-03-01T00:00:00"/>
  </r>
  <r>
    <n v="49"/>
    <s v="Novitasari Primadita, S.E.I."/>
    <x v="1"/>
    <s v="Temanggung, 9 April 1989"/>
    <d v="1989-04-09T00:00:00"/>
    <d v="2047-05-01T00:00:00"/>
    <s v="198904090000002101"/>
    <s v="S1"/>
    <s v="S1 Ekonomi Islam UIN Sunan Kalijaga Yogyakarta Tahun 2012"/>
    <s v="Pengelola Bahan Akademik dan Pengajaran"/>
    <s v="3404074904890006"/>
    <s v="Bagian Tata Usaha Fakultas Adab dan Ilmu Budaya"/>
    <d v="2024-06-03T00:00:00"/>
  </r>
  <r>
    <n v="50"/>
    <s v="Haris Pramana"/>
    <x v="0"/>
    <s v="Yogyakarta, 20 Juni 1989"/>
    <d v="1989-06-20T00:00:00"/>
    <d v="2047-07-01T00:00:00"/>
    <s v="198906200000001101"/>
    <s v="SMA"/>
    <s v="SMA IPS"/>
    <s v="Pramu Bakti"/>
    <s v="3471032006890001"/>
    <s v="Bagian Tata Usaha Fakultas Ekonomi dan Bisnis Islam"/>
    <d v="2014-01-01T00:00:00"/>
  </r>
  <r>
    <n v="51"/>
    <s v="Setiyono"/>
    <x v="0"/>
    <s v="Ngawi, 15 Juli 1978"/>
    <d v="1978-07-15T00:00:00"/>
    <d v="2036-08-01T00:00:00"/>
    <s v="197807150000001101"/>
    <s v="D1"/>
    <s v="D1 Bahasa Inggris Perhotelan &amp; Pariwisata SPB Magistra Utama Tahun 1998"/>
    <s v="Pramu Bakti"/>
    <s v="3521101507780005"/>
    <s v="Bagian Tata Usaha Fakultas Ilmu Sosial dan Humaniora"/>
    <d v="2020-01-01T00:00:00"/>
  </r>
  <r>
    <n v="52"/>
    <s v="Adika Waskary Adlyansah, S.T. "/>
    <x v="0"/>
    <s v="Yogyakarta, 22 April 1980"/>
    <d v="1980-04-22T00:00:00"/>
    <d v="2038-05-01T00:00:00"/>
    <s v="198004220000001101"/>
    <s v="S1"/>
    <s v="S1 Teknik Perminyakan UPN &quot;Veteran&quot; Yogyakarta Tahun 2007"/>
    <s v="Pengemudi"/>
    <s v="3404062204800002"/>
    <s v="Bagian Tata Usaha Fakultas Ilmu Sosial dan Humaniora"/>
    <d v="2011-09-05T00:00:00"/>
  </r>
  <r>
    <n v="53"/>
    <s v="Ghulam Anif Yulianto, S.IP."/>
    <x v="0"/>
    <s v="Bantul, 27 Juli 1976"/>
    <d v="1976-07-27T00:00:00"/>
    <d v="2034-08-01T00:00:00"/>
    <s v="197607270000001101"/>
    <s v="S1"/>
    <s v="S1 Fisipol UMY Tahun 2003"/>
    <s v="Pengelola Bahan Akademik dan Pengajaran"/>
    <s v="3404012707760006"/>
    <s v="Bagian Tata Usaha Fakultas Ilmu Sosial dan Humaniora"/>
    <d v="2009-01-01T00:00:00"/>
  </r>
  <r>
    <n v="54"/>
    <s v="Katrin Purnomo Sari, S.Psi."/>
    <x v="1"/>
    <s v="Yogyakarta, 25 Mei 1987"/>
    <d v="1987-05-25T00:00:00"/>
    <d v="2045-06-01T00:00:00"/>
    <s v="198705250000002101"/>
    <s v="S1"/>
    <s v="S1 Psikologi UIN Sunan Kalijaga Yogyakarta Tahun 2010"/>
    <s v="Pengelola Laboratorium"/>
    <s v="3402126505870004"/>
    <s v="Bagian Tata Usaha Fakultas Ilmu Sosial dan Humaniora"/>
    <d v="2018-06-01T00:00:00"/>
  </r>
  <r>
    <n v="55"/>
    <s v="Rahmat Zaenudin"/>
    <x v="0"/>
    <s v="Bantul, 2 Mei 1992"/>
    <d v="1992-05-02T00:00:00"/>
    <d v="2050-06-01T00:00:00"/>
    <s v="199205020000001201"/>
    <s v="SMA"/>
    <s v="SMA IPA Tahun 2011"/>
    <s v="Pengadministrasi Persuratan"/>
    <s v="3402090205920001"/>
    <s v="Bagian Tata Usaha Fakultas Ilmu Sosial dan Humaniora"/>
    <d v="2012-09-01T00:00:00"/>
  </r>
  <r>
    <n v="56"/>
    <s v="Achmad Saifullah "/>
    <x v="0"/>
    <s v="Bantul, 20 Juni 1991"/>
    <d v="1991-06-20T00:00:00"/>
    <d v="2049-07-01T00:00:00"/>
    <s v="199106200000001101"/>
    <s v="SMA"/>
    <s v="SMA Teknik Komputer &amp; Jaringan  Tahun 2009"/>
    <s v="Pengelola Keuangan"/>
    <s v="3404042006910001"/>
    <s v="Bagian Tata Usaha Fakultas Ilmu Sosial dan Humaniora"/>
    <d v="2011-09-05T00:00:00"/>
  </r>
  <r>
    <n v="57"/>
    <s v="Arif Maryono"/>
    <x v="0"/>
    <s v="Yogyakarta, 4 Maret 1983"/>
    <d v="1983-03-04T00:00:00"/>
    <d v="2041-04-01T00:00:00"/>
    <s v="198303040000001101"/>
    <s v="SMA"/>
    <s v="SMA IPS Tahun 2002"/>
    <s v="Pranata Reproduksi Arsip"/>
    <s v="3471130403830002"/>
    <s v="Bagian Tata Usaha Fakultas Ilmu Sosial dan Humaniora"/>
    <d v="2009-01-01T00:00:00"/>
  </r>
  <r>
    <n v="58"/>
    <s v="Ari Kurniawan, S.H."/>
    <x v="0"/>
    <s v="Sleman, 13 Desember 1984"/>
    <d v="1984-12-13T00:00:00"/>
    <d v="2043-01-01T00:00:00"/>
    <s v="198412130000001101"/>
    <s v="S1"/>
    <s v="S1 Hukum, Universitas Widya Mataram"/>
    <s v="Pengelola Keuangan"/>
    <s v="3404061212840002"/>
    <s v="Bagian Tata Usaha Fakultas Ilmu Tarbiyah dan Keguruan"/>
    <d v="2013-04-01T00:00:00"/>
  </r>
  <r>
    <n v="59"/>
    <s v="Andrias Nurdiyanto"/>
    <x v="0"/>
    <s v="Bantul, 5 Maret 1978"/>
    <d v="1978-03-05T00:00:00"/>
    <d v="2036-04-01T00:00:00"/>
    <s v="197803050000001101"/>
    <s v="MAN"/>
    <s v="IPS MAN Lab Tarbiyah UIN Sunan Kalijaga"/>
    <s v="Pengemudi "/>
    <s v="3402140503780004"/>
    <s v="Bagian Tata Usaha Fakultas Ilmu Tarbiyah dan Keguruan"/>
    <d v="2020-01-02T00:00:00"/>
  </r>
  <r>
    <n v="60"/>
    <s v="Moh. Shoffa Faizin, S.Kom."/>
    <x v="0"/>
    <s v="Pati, 01 Agustus 1988"/>
    <d v="1988-08-01T00:00:00"/>
    <d v="2046-09-01T00:00:00"/>
    <s v="198808010000001101"/>
    <s v="S1"/>
    <s v="S1 Teknik Informatika STMIK AKAKOM Tahun 2011"/>
    <s v="Pengelola Bahan Akademik dan Pengajaran"/>
    <s v="3318020108880001"/>
    <s v="Bagian Tata Usaha Fakultas Ilmu Tarbiyah dan Keguruan"/>
    <d v="2011-09-05T00:00:00"/>
  </r>
  <r>
    <n v="61"/>
    <s v="Ahmad Azhar, ST."/>
    <x v="0"/>
    <s v="Jakarta, 1 April 1988"/>
    <d v="1988-04-01T00:00:00"/>
    <d v="2046-05-01T00:00:00"/>
    <s v="198804010000001101"/>
    <s v="S1"/>
    <s v="S1 Teknik Industri Universitas Islam Jakarta Tahun 2011"/>
    <s v="Pengelola Keuangan"/>
    <s v="3175060104880021"/>
    <s v="Bagian Tata Usaha Fakultas Ilmu Tarbiyah dan Keguruan"/>
    <d v="2013-04-01T00:00:00"/>
  </r>
  <r>
    <n v="62"/>
    <s v="Dian Nurlaily Fitria, S.E.I."/>
    <x v="1"/>
    <s v="Yogyakarta, 5 Juni 1985"/>
    <d v="1985-06-05T00:00:00"/>
    <d v="2043-07-01T00:00:00"/>
    <s v="198506050000002101"/>
    <s v="S1"/>
    <s v="S1 KUI UIN Sunan Kalijaga YK Tahun 2009"/>
    <s v="Pengadministtrasi Akademik"/>
    <s v="3404084506850002"/>
    <s v="Bagian Tata Usaha Fakultas Ilmu Tarbiyah dan Keguruan"/>
    <d v="2012-01-02T00:00:00"/>
  </r>
  <r>
    <n v="63"/>
    <s v="Harjana"/>
    <x v="0"/>
    <s v="Bantul, 16 Desember 1983"/>
    <d v="1983-12-16T00:00:00"/>
    <d v="2042-01-01T00:00:00"/>
    <s v="198312160000001101"/>
    <s v="SMA"/>
    <s v="SMA IPS Tahun 2003"/>
    <s v="Pramu Bakti"/>
    <s v="3402171612830002"/>
    <s v="Bagian Tata Usaha Fakultas Ilmu Tarbiyah dan Keguruan"/>
    <d v="2009-01-01T00:00:00"/>
  </r>
  <r>
    <n v="64"/>
    <s v="Faisal Muarif"/>
    <x v="0"/>
    <s v="Sleman, 30 Oktober 1990"/>
    <d v="1990-10-30T00:00:00"/>
    <d v="2048-11-01T00:00:00"/>
    <s v="199010300000001101"/>
    <s v="SMK"/>
    <s v="SMK Teknik Permesinan Tahun 2008"/>
    <s v="Pengadministrasi Perpustakaan"/>
    <s v="3404113010900001"/>
    <s v="Bagian Tata Usaha Fakultas Ilmu Tarbiyah dan Keguruan"/>
    <d v="2012-01-02T00:00:00"/>
  </r>
  <r>
    <n v="65"/>
    <s v="Apri Wahyono"/>
    <x v="0"/>
    <s v="Yogyakarta, 25 Maret 1991"/>
    <d v="1991-03-25T00:00:00"/>
    <d v="2049-04-01T00:00:00"/>
    <s v="199103250000001101"/>
    <s v="SMK"/>
    <s v="SMK Kria Logam Tahun 2009"/>
    <s v="Pengadministrasi Umum"/>
    <s v="3471132503910002"/>
    <s v="Bagian Tata Usaha Fakultas Ilmu Tarbiyah dan Keguruan"/>
    <d v="2012-01-02T00:00:00"/>
  </r>
  <r>
    <n v="66"/>
    <s v="Susanti"/>
    <x v="1"/>
    <s v="Sleman, 6 April 1987"/>
    <d v="1987-04-06T00:00:00"/>
    <d v="2045-05-01T00:00:00"/>
    <s v="198704060000002101"/>
    <s v="SMK"/>
    <s v="SMKN 7 Jurusan Akuntansi Tahun 2005"/>
    <s v="Pengadministrasi Umum"/>
    <s v="3404064604870004"/>
    <s v="Bagian Tata Usaha Fakultas Ilmu Tarbiyah dan Keguruan"/>
    <d v="2013-04-01T00:00:00"/>
  </r>
  <r>
    <n v="67"/>
    <s v="Didit Kurnia "/>
    <x v="0"/>
    <s v="Bantul, 1 Januari 1985"/>
    <d v="1985-01-01T00:00:00"/>
    <d v="2043-02-01T00:00:00"/>
    <s v="198501010000001101"/>
    <s v="MAN"/>
    <s v="MAN IPS Tahun 2003"/>
    <s v="Pengadministrasi Akademik"/>
    <s v="3402150101850002"/>
    <s v="Bagian Tata Usaha Fakultas Sains dan Teknologi"/>
    <d v="2011-06-01T00:00:00"/>
  </r>
  <r>
    <n v="68"/>
    <s v="Hasan Ashari"/>
    <x v="0"/>
    <s v="Sleman, 13 Juni 1977"/>
    <d v="1977-06-13T00:00:00"/>
    <d v="2035-07-01T00:00:00"/>
    <s v="197706130000001101"/>
    <s v="MAN"/>
    <s v="MAN IPS Tahun 1998"/>
    <s v="Pranata Reproduksi Arsip"/>
    <s v="3404071306770005"/>
    <s v="Bagian Tata Usaha Fakultas Sains dan Teknologi"/>
    <d v="2009-01-01T00:00:00"/>
  </r>
  <r>
    <n v="69"/>
    <s v="Nur Fitri Istianah, S.Pd."/>
    <x v="1"/>
    <s v="Pati, 2 April 1994"/>
    <d v="1994-04-02T00:00:00"/>
    <d v="2052-05-01T00:00:00"/>
    <s v="199404020000002101"/>
    <s v="S1"/>
    <s v="S1 Pendidikan Biologi UIN Sunan Kalijaga Yogyakarta Tahun 2017"/>
    <s v="Pengelola Keuangan"/>
    <s v="3318094204940001"/>
    <s v="Bagian Tata Usaha Fakultas Sains dan Teknologi"/>
    <d v="2020-11-01T00:00:00"/>
  </r>
  <r>
    <n v="70"/>
    <s v="Robi’atul Chalimah, SIP."/>
    <x v="1"/>
    <s v="Bantul, 25 Maret 1984"/>
    <d v="1984-03-25T00:00:00"/>
    <d v="2042-04-01T00:00:00"/>
    <s v="198403250000002101"/>
    <s v="S1"/>
    <s v="S1 Ilmu Perpustakaan UIN Sunan Kalijaga YK Tahun 2011"/>
    <s v="Pengelola Surat"/>
    <s v="3402146503840001"/>
    <s v="Bagian Tata Usaha Fakultas Sains dan Teknologi"/>
    <d v="2009-01-01T00:00:00"/>
  </r>
  <r>
    <n v="71"/>
    <s v="Nur Cahyono "/>
    <x v="0"/>
    <s v="Sleman, 15 Maret 1983"/>
    <d v="1983-03-15T00:00:00"/>
    <d v="2041-04-01T00:00:00"/>
    <s v="198303150000001101"/>
    <s v="SMA"/>
    <s v="SMA IPS Tahun 2001"/>
    <s v="Petugas Keamanan"/>
    <s v="3404051503830001"/>
    <s v="Bagian Tata Usaha Fakultas Sains dan Teknologi"/>
    <d v="2011-06-01T00:00:00"/>
  </r>
  <r>
    <n v="72"/>
    <s v="Benedictus Heru Susanto"/>
    <x v="0"/>
    <s v="Sleman, 21 Maret 1972"/>
    <d v="1972-03-21T00:00:00"/>
    <d v="2030-04-01T00:00:00"/>
    <s v="197203210000001101"/>
    <s v="SMEA"/>
    <s v="SMEA"/>
    <s v="Pengemudi "/>
    <s v="3404092103720003"/>
    <s v="Bagian Tata Usaha Fakultas Sains dan Teknologi"/>
    <d v="2021-07-01T00:00:00"/>
  </r>
  <r>
    <n v="73"/>
    <s v="Zainal Hasanudin"/>
    <x v="0"/>
    <s v="Sleman, 1 April 1985"/>
    <d v="1985-04-01T00:00:00"/>
    <d v="2043-05-01T00:00:00"/>
    <s v="198504010000001101"/>
    <s v="SMK"/>
    <s v="SMK Teknik Mekanik Otomotif Tahun 2003"/>
    <s v="Pengelola Keuangan"/>
    <s v="3404070104850004"/>
    <s v="Bagian Tata Usaha Fakultas Sains dan Teknologi"/>
    <d v="2011-01-03T00:00:00"/>
  </r>
  <r>
    <n v="74"/>
    <s v="Suwono "/>
    <x v="0"/>
    <s v="Kulon Progo, 24 Januari 1984"/>
    <d v="1984-01-24T00:00:00"/>
    <d v="2042-02-01T00:00:00"/>
    <s v="198401240000001101"/>
    <s v="SMK"/>
    <s v="SMK Teknik Las Tahun 2002"/>
    <s v="Petugas Keamanan"/>
    <s v="3401042401840012"/>
    <s v="Bagian Tata Usaha Fakultas Sains dan Teknologi"/>
    <d v="2011-06-01T00:00:00"/>
  </r>
  <r>
    <n v="75"/>
    <s v="Totok Haryanto"/>
    <x v="0"/>
    <s v="Sragen, 18 Mei 1972"/>
    <d v="1972-05-18T00:00:00"/>
    <d v="2030-06-01T00:00:00"/>
    <s v="197205180000001101"/>
    <s v="Paket C"/>
    <s v="Paket C IPS"/>
    <s v="Pengadministrasi Umum"/>
    <s v="3404081805720003"/>
    <s v="Bagian Tata Usaha Fakultas Sains dan Teknologi"/>
    <d v="2009-05-01T00:00:00"/>
  </r>
  <r>
    <n v="76"/>
    <s v="Faizah, SEI."/>
    <x v="1"/>
    <s v="Bantul, 13 April 1984"/>
    <d v="1984-04-13T00:00:00"/>
    <d v="2042-05-01T00:00:00"/>
    <s v="198404130000002101"/>
    <s v="S1"/>
    <s v="S1 Keuangan Islam UIN Sunan Kalijaga Yogyakarta Tahun 2009"/>
    <s v="Pengelola Keuangan"/>
    <s v="3402135304840001"/>
    <s v="Bagian Tata Usaha Fakultas Syari'ah dan Hukum"/>
    <d v="2022-01-01T00:00:00"/>
  </r>
  <r>
    <n v="77"/>
    <s v="Fitri Septia Andaruni, S.E."/>
    <x v="1"/>
    <s v="Sleman, 12 September 1990"/>
    <d v="1990-09-12T00:00:00"/>
    <d v="2048-10-01T00:00:00"/>
    <s v="199009120000002101"/>
    <s v="S1"/>
    <s v="S1 Manajemen Universitas Muhammadiyah Yogyakarta Tahun 2013"/>
    <s v="Pengelola Bahan Akademik dan Pengajaran"/>
    <s v="3404025209900001"/>
    <s v="Bagian Tata Usaha Fakultas Ilmu Sosial dan Humaniora"/>
    <d v="2023-11-01T00:00:00"/>
  </r>
  <r>
    <n v="78"/>
    <s v="Tesdha Rahayu, S.E.I."/>
    <x v="1"/>
    <s v="Gunungkidul, 17 Maret 1988"/>
    <d v="1988-03-17T00:00:00"/>
    <d v="2046-04-01T00:00:00"/>
    <s v="198803170000002101"/>
    <s v="S1"/>
    <s v="S1 Keuangan Islam, UIN Sunan Kalijaga Yogyakarta Tahun 2013"/>
    <s v="Pengelola Keuangan"/>
    <s v="3403045703880001"/>
    <s v="Bagian Tata Usaha Fakultas Syari'ah dan Hukum"/>
    <d v="2014-01-02T00:00:00"/>
  </r>
  <r>
    <n v="79"/>
    <s v="Iin Ade Irianti, S.E.I."/>
    <x v="1"/>
    <s v="Kebumen, 11 Oktober 1986"/>
    <d v="1986-10-11T00:00:00"/>
    <d v="2044-11-01T00:00:00"/>
    <s v="198610110000002101"/>
    <s v="S1"/>
    <s v="S1 Keuangan Islam  Universitas Islam Negeri Sunan Kalijaga Tahun 2012"/>
    <s v="Pengelola Bahan Akademik dan Pengajaran"/>
    <s v="3305135110860006"/>
    <s v="Bagian Tata Usaha Fakultas Syari'ah dan Hukum"/>
    <d v="2017-01-01T00:00:00"/>
  </r>
  <r>
    <n v="80"/>
    <s v="Budi Santoso"/>
    <x v="0"/>
    <s v="Sleman, 3 Desember 1978"/>
    <d v="1978-12-03T00:00:00"/>
    <d v="2037-01-01T00:00:00"/>
    <s v="197812030000001101"/>
    <s v="SD"/>
    <s v="SD Tahun 1995"/>
    <s v="Pranata Reproduksi Arsip"/>
    <s v="3404020312780002"/>
    <s v="Bagian Tata Usaha Fakultas Syari'ah dan Hukum"/>
    <d v="2012-01-02T00:00:00"/>
  </r>
  <r>
    <n v="81"/>
    <s v="Danu Wijanarko"/>
    <x v="0"/>
    <s v="Bantul, 29 Juni 1990"/>
    <d v="1990-06-29T00:00:00"/>
    <d v="2048-07-01T00:00:00"/>
    <s v="199006290000001101"/>
    <s v="SMA"/>
    <s v="SMA  IPS Tahun 2008"/>
    <s v="Teknisi Peralatan Kantor"/>
    <s v="3402012906900001"/>
    <s v="Bagian Tata Usaha Fakultas Syari'ah dan Hukum"/>
    <d v="2012-01-02T00:00:00"/>
  </r>
  <r>
    <n v="82"/>
    <s v="Didik Mujiono"/>
    <x v="0"/>
    <s v="Sleman, 26 Desember 1987"/>
    <d v="1987-12-26T00:00:00"/>
    <d v="2046-01-01T00:00:00"/>
    <s v="198712260000001101"/>
    <s v="SMK"/>
    <s v="SMK Otomotif Tahun 2006"/>
    <s v="Pengadministrasi Umum"/>
    <s v="3404072612870002"/>
    <s v="Subbag. Tata Usaha Pascasarjana "/>
    <d v="2024-06-03T00:00:00"/>
  </r>
  <r>
    <n v="83"/>
    <s v="Suwarsono"/>
    <x v="0"/>
    <s v="Sleman, 7 Maret 1984"/>
    <d v="1984-03-07T00:00:00"/>
    <d v="2042-04-01T00:00:00"/>
    <s v="198403070000001101"/>
    <s v="SMK"/>
    <s v="SMK Teknik Instalasi Listrik Tahun 2004"/>
    <s v="Pranata Reproduksi Arsip"/>
    <s v="3404080703840002"/>
    <s v="Bagian Tata Usaha Fakultas Syari'ah dan Hukum"/>
    <d v="2012-01-02T00:00:00"/>
  </r>
  <r>
    <n v="84"/>
    <s v="Rahmadhani Minarta, S.Kom."/>
    <x v="0"/>
    <s v="Gunungkidul, 7 Maret 1992"/>
    <d v="1992-03-07T00:00:00"/>
    <d v="2050-04-01T00:00:00"/>
    <s v="199203070000001101"/>
    <s v="S1"/>
    <s v="S1 Teknik Informatika UIN Sunan Kalijaga Yogyakarta Tahun 2017"/>
    <s v="Pengadministrasi Umum"/>
    <s v="3402090703920001"/>
    <s v="Bagian Tata Usaha Fakultas Ushuluddin dan Pemikiran Islam"/>
    <s v="17 Januari 2022"/>
  </r>
  <r>
    <n v="85"/>
    <s v="Retno Herawati, AMR."/>
    <x v="1"/>
    <s v="Sleman, 25 November 1979"/>
    <d v="1979-11-25T00:00:00"/>
    <d v="2037-12-01T00:00:00"/>
    <s v="197911250000002101"/>
    <s v="D3"/>
    <s v="Teknik Radiodiagnostik dan Radioterapi ATRO Tahun 2002"/>
    <s v="Pengadministrasi Layanan Kesehatan"/>
    <s v="3404056511790002"/>
    <s v="Biro Administrasi Umum dan Keuangan ditugaskan pada Poliklinik"/>
    <d v="2014-02-01T00:00:00"/>
  </r>
  <r>
    <n v="86"/>
    <s v="Arie Rahmadi, S.Kep."/>
    <x v="0"/>
    <s v="Nang Silat, 23 Juli 1990"/>
    <d v="1990-07-23T00:00:00"/>
    <d v="2048-08-01T00:00:00"/>
    <s v="199007230000001101"/>
    <s v="S1"/>
    <s v="S1 Keperawatan, STIKES Jenderal Ahmad Yani Yogyakarta Tahun 2013"/>
    <s v="Perawat"/>
    <s v="3402062307900001"/>
    <s v="Biro Administrasi Umum dan Keuangan ditugaskan pada Poliklinik"/>
    <d v="2017-03-01T00:00:00"/>
  </r>
  <r>
    <n v="87"/>
    <s v="Tsaniatul Ulfah, S.S."/>
    <x v="1"/>
    <s v="Sleman, 19 April 1980"/>
    <d v="1980-04-19T00:00:00"/>
    <d v="2038-05-01T00:00:00"/>
    <s v="198004190000002101"/>
    <s v="S1"/>
    <s v="S1 Bahasa dan Sastra Arab UIN Sunan Kalijaga Yogyakarta Tahun 2003"/>
    <s v="Pengelola Bahan Akademik dan Pengajaran"/>
    <s v="3402175904800003"/>
    <s v="Bagian Tata Usaha Fakultas Ilmu Tarbiyah dan Keguruan"/>
    <d v="2024-06-03T00:00:00"/>
  </r>
  <r>
    <n v="88"/>
    <s v="Aji Rustamaji, S.E."/>
    <x v="0"/>
    <s v="Bantul, 12 April 1978"/>
    <d v="1978-04-12T00:00:00"/>
    <d v="2036-05-01T00:00:00"/>
    <s v="197804120000001101"/>
    <s v="S1"/>
    <s v="S1 Ekonomi STIE YKPN YK Tahun 2003"/>
    <s v="Pengolah Data Pelayanan"/>
    <s v="3402121204780002"/>
    <s v="Biro Administrasi Akademik, Kemahasiswaan dan Kerjasama ditugaskan pada LP2M"/>
    <d v="2017-01-01T00:00:00"/>
  </r>
  <r>
    <n v="89"/>
    <s v="Dwi Sri Lestari, S.Psi."/>
    <x v="1"/>
    <s v="Jambi, 24 April 1990"/>
    <d v="1990-04-24T00:00:00"/>
    <d v="2048-05-01T00:00:00"/>
    <s v="199004240000002101"/>
    <s v="S1"/>
    <s v="S1 Psikologi UIN Sunan Kalijaga Yogyakarta Tahun 2016"/>
    <s v="Pengelola Pelaksanaan_x000a_Program Kelembagaan_x000a_dan Kerjasama"/>
    <s v="1571086404900021"/>
    <s v="Biro Administrasi Akademik, Kemahasiswaan dan Kerjasama ditugaskan pada LP2M"/>
    <d v="2017-03-01T00:00:00"/>
  </r>
  <r>
    <n v="90"/>
    <s v="Finda Indriana, S.T."/>
    <x v="1"/>
    <s v="Yogyakarta, 24 Juni 1985"/>
    <d v="1985-06-24T00:00:00"/>
    <d v="2043-07-01T00:00:00"/>
    <s v="198506240000002101"/>
    <s v="S1"/>
    <s v="S1 Teknik Informatika UPN &quot;Veteran&quot; Yogyakarta Tahun 2007"/>
    <s v="Pengelola Keuangan"/>
    <s v="3404066406850006"/>
    <s v="Biro Administrasi Akademik, Kemahasiswaan dan Kerjasama ditugaskan pada LP2M"/>
    <d v="2018-01-01T00:00:00"/>
  </r>
  <r>
    <n v="91"/>
    <s v="Syarip Muhammad, S.E.I."/>
    <x v="0"/>
    <s v="Simangambat, 17 Juli 1981"/>
    <d v="1981-07-17T00:00:00"/>
    <d v="2039-08-01T00:00:00"/>
    <s v="198107170000001101"/>
    <s v="S1"/>
    <s v="S1 Ekonomi Islam UIN Sunan Kalijaga YK Tahun 2008"/>
    <s v="Pengadministrasi Umum"/>
    <s v="3402081707810006"/>
    <s v="Bagian Tata Usaha Fakultas Syari'ah dan Hukum"/>
    <d v="2024-06-03T00:00:00"/>
  </r>
  <r>
    <n v="92"/>
    <s v="Nisa Friskana Yundi, S.E."/>
    <x v="1"/>
    <s v="Sleman, 1 Februari 1996"/>
    <d v="1996-02-01T00:00:00"/>
    <d v="2054-03-01T00:00:00"/>
    <s v="199602010000002101"/>
    <s v="S1"/>
    <s v="S1 Ekonomi Pembangunan Universitas Islam Indonesia Tahun 2018"/>
    <s v="Pengelola Bahan Akademik dan Pengajaran"/>
    <s v="3404124102960003"/>
    <s v="Subbag. Tata Usaha Pascasarjana "/>
    <d v="2018-08-01T00:00:00"/>
  </r>
  <r>
    <n v="93"/>
    <s v="Dwi Riyanto"/>
    <x v="0"/>
    <s v="Gunungkidul, 16 Desember 1981"/>
    <d v="1981-12-16T00:00:00"/>
    <d v="2040-01-01T00:00:00"/>
    <s v="198112160000001101"/>
    <s v="SMA"/>
    <s v="SMA IPS Tahun 2004"/>
    <s v="Pramu Bakti"/>
    <s v="3403041612810001"/>
    <s v="Subbag. Tata Usaha Pascasarjana "/>
    <d v="2008-01-02T00:00:00"/>
  </r>
  <r>
    <n v="94"/>
    <s v="Wagino"/>
    <x v="0"/>
    <s v="Klaten, 12 September 1975"/>
    <d v="1975-09-12T00:00:00"/>
    <d v="2033-10-01T00:00:00"/>
    <s v="197509120000001101"/>
    <s v="SMA"/>
    <s v="SMA IPA Tahun 1994"/>
    <s v="Pramu Bakti"/>
    <s v="3310091209750001"/>
    <s v="Subbag. Tata Usaha Pascasarjana "/>
    <d v="2008-01-02T00:00:00"/>
  </r>
  <r>
    <n v="95"/>
    <s v="Sigit Budi Prasetyo"/>
    <x v="0"/>
    <s v="Bantul, 27 Oktober 1988"/>
    <d v="1988-07-27T00:00:00"/>
    <d v="2046-08-01T00:00:00"/>
    <s v="198810270000001101"/>
    <s v="SMK"/>
    <s v="SMK Teknik Mesin "/>
    <s v="Pengemudi "/>
    <s v="3402172710880002"/>
    <s v="Subbag. Tata Usaha Pascasarjana "/>
    <d v="2020-01-02T00:00:00"/>
  </r>
  <r>
    <n v="96"/>
    <s v="Supardi"/>
    <x v="0"/>
    <s v="Sleman, 8 Februari 1976"/>
    <d v="1976-02-08T00:00:00"/>
    <d v="2034-03-01T00:00:00"/>
    <s v="197602080000001101"/>
    <s v="SMK"/>
    <s v="SMK Teknik Elektronika Tahun 1997"/>
    <s v="Pramu Bakti"/>
    <s v="3404070107760030"/>
    <s v="Bagian Tata Usaha Fakultas Ilmu Sosial dan Humaniora"/>
    <d v="2024-06-03T00:00:00"/>
  </r>
  <r>
    <n v="97"/>
    <s v="Eko Imam Wardianto"/>
    <x v="0"/>
    <s v="Yogyakarta, 24 Mei 1971"/>
    <d v="1971-05-24T00:00:00"/>
    <d v="2029-06-01T00:00:00"/>
    <s v="197105240000001101"/>
    <s v="STM"/>
    <s v="STM Listrik Tahun 1993"/>
    <s v="Pramu Bakti"/>
    <s v="3402122405710002"/>
    <s v="Subbag. Tata Usaha Pascasarjana "/>
    <d v="2008-01-02T00:00:00"/>
  </r>
  <r>
    <n v="98"/>
    <s v="Anggit Damaz Istoko, S.Kom."/>
    <x v="0"/>
    <s v="Magelang, 4 Juli 1993"/>
    <d v="1993-07-04T00:00:00"/>
    <d v="2051-08-01T00:00:00"/>
    <s v="199307040000001101"/>
    <s v="S1"/>
    <s v="S1 Teknik Informatika UIN Sunan Kalijaga Yogyakarta Tahun 2018"/>
    <s v="Pengadministrasi Data Penyajian dan Publikasi_x000a_ "/>
    <s v="3308020407930001"/>
    <s v="Biro Administrasi Akademik, Kemahasiswaan dan Kerjasama ditugaskan pada Pusat Admisi"/>
    <d v="2018-08-01T00:00:00"/>
  </r>
  <r>
    <n v="99"/>
    <s v="Raden Novan Aryo Seto, ST."/>
    <x v="0"/>
    <s v="Yogyakarta, 27 November 1984"/>
    <d v="1984-11-27T00:00:00"/>
    <d v="2042-12-01T00:00:00"/>
    <s v="198411270000001101"/>
    <s v="S1"/>
    <s v="S1 Teknik Informatika UAD Tahun 2008"/>
    <s v="Pengadministrasi Data Penyajian dan Publikasi_x000a_ "/>
    <s v="3471082711840001"/>
    <s v="Biro Administrasi Akademik, Kemahasiswaan dan Kerjasama ditugaskan pada Pusat Admisi"/>
    <d v="2013-04-01T00:00:00"/>
  </r>
  <r>
    <n v="100"/>
    <s v="Anitasari, S.E.I."/>
    <x v="1"/>
    <s v="Bantul, 4 Agustus 1990"/>
    <d v="1990-08-04T00:00:00"/>
    <d v="2048-09-01T00:00:00"/>
    <s v="199008040000002101"/>
    <s v="S1"/>
    <s v="S1 Keuangan Islam UIN Sunan Kalijaga Yogyakarta"/>
    <s v="Pengelola Keuangan"/>
    <s v="3402094408900001"/>
    <s v="Biro Administrasi Umum dan Keuangan ditugaskan pada  Satuan Pengawasan Internal"/>
    <d v="2020-01-01T00:00:00"/>
  </r>
  <r>
    <n v="101"/>
    <s v="Lucky Al Faruq, S.Kom."/>
    <x v="0"/>
    <s v="Lampung, 24 Juli 1993"/>
    <d v="1993-07-24T00:00:00"/>
    <d v="2051-08-01T00:00:00"/>
    <s v="199307240000001101"/>
    <s v="S1"/>
    <s v="S1 Teknik Informatika UIN Sunan Kalijaga Yogyakarta Tahun 2018"/>
    <s v="Pengelola Sistem Informasi"/>
    <s v="1812012407930004"/>
    <s v="Biro Administrasi Umum dan Keuangan ditugaskan pada PTIPD"/>
    <d v="2018-04-01T00:00:00"/>
  </r>
  <r>
    <n v="102"/>
    <s v="Faqih Masyhad, SE.I, S.Pd."/>
    <x v="0"/>
    <s v="Banyumas, 2 Februari 1982"/>
    <d v="1982-02-02T00:00:00"/>
    <d v="2040-03-01T00:00:00"/>
    <s v="198202020000001101"/>
    <s v="S1"/>
    <s v="S1 KUI UIN Sunan Kalijaga Tahun 2007 &amp; S1 Pendidikan Bahasa Jerman Universitas Negeri Yogyakarta Tahun 2007"/>
    <s v="Pengelola Terjemahan dan Kerjasama"/>
    <s v="3471130202820002"/>
    <s v="Biro Administrasi Akademik, Kemahasiswaan dan Kerjasama ditugaskan pada UPT Pusat Pengembangan Bahasa"/>
    <d v="2009-01-01T00:00:00"/>
  </r>
  <r>
    <n v="103"/>
    <s v="Widianningrum, S.E."/>
    <x v="1"/>
    <s v="Sleman, 6 Desember 1983"/>
    <d v="1983-12-06T00:00:00"/>
    <d v="2042-01-01T00:00:00"/>
    <s v="198312060000002101"/>
    <s v="S1"/>
    <s v="S1 Ekonomi Akuntansi Universitas Janabadra YK Tahun 2006"/>
    <s v="Pengelola Bahan Akademik dan Pengajaran"/>
    <s v="3404074612830005"/>
    <s v="Bagian Tata Usaha Fakultas Ilmu Tarbiyah dan Keguruan"/>
    <d v="2024-06-03T00:00:00"/>
  </r>
  <r>
    <n v="104"/>
    <s v="Basuki Rohmat"/>
    <x v="0"/>
    <s v="Bantul, 6 Februari 1978"/>
    <d v="1978-02-06T00:00:00"/>
    <d v="2036-03-01T00:00:00"/>
    <s v="197802060000001101"/>
    <s v="SMA"/>
    <s v="SMA IPS Tahun 2010"/>
    <s v="Pengadministrasi Umum"/>
    <s v="3402110602780002"/>
    <s v="Biro Administrasi Akademik, Kemahasiswaan dan Kerjasama ditugaskan pada UPT Pusat Pengembangan Bahasa"/>
    <d v="2008-01-02T00:00:00"/>
  </r>
  <r>
    <n v="105"/>
    <s v="Anang Sudarmadi"/>
    <x v="0"/>
    <s v="Yogyakarta, 8 Januari 1971"/>
    <d v="1971-01-08T00:00:00"/>
    <d v="2029-02-01T00:00:00"/>
    <s v="197101080000001101"/>
    <s v="SMA"/>
    <s v="SMA IPS Tahun 1991"/>
    <s v="Pramu Bakti"/>
    <s v="3471120801710001"/>
    <s v="Biro Administrasi Akademik, Kemahasiswaan dan Kerjasama ditugaskan pada UPT Pusat Pengembangan Bahasa"/>
    <d v="2009-01-01T00:00:00"/>
  </r>
  <r>
    <n v="106"/>
    <s v="Muhammad Nursalim, A.Md."/>
    <x v="0"/>
    <s v="Klaten, 1 Juni 1991"/>
    <d v="1991-06-01T00:00:00"/>
    <d v="2049-07-01T00:00:00"/>
    <s v="199106010000001101"/>
    <s v="D3"/>
    <s v="D3 Manajemen Informatika STIE AUB Surakarta"/>
    <s v="Pramu Bakti"/>
    <s v="3310180106910005"/>
    <s v="Biro Administrasi Umum dan Keuangan ditugaskan pada UPT Pusat Pengembangan Bisnis"/>
    <d v="2017-01-01T00:00:00"/>
  </r>
  <r>
    <n v="107"/>
    <s v="Puji Sri Rahayu, SE"/>
    <x v="1"/>
    <s v="Bantul, 26 Maret 1982"/>
    <d v="1982-03-26T00:00:00"/>
    <d v="2040-04-01T00:00:00"/>
    <s v="198203260000002101"/>
    <s v="S1"/>
    <s v="S1 Akuntansi Universitas Mercu Buana Yogyakarta Tahun 2005"/>
    <s v="Pengelola Keuangan"/>
    <s v="3404056603820004"/>
    <s v="Biro Administrasi Umum dan Keuangan ditugaskan pada UPT Pusat Pengembangan Bisnis"/>
    <d v="2012-03-01T00:00:00"/>
  </r>
  <r>
    <n v="108"/>
    <s v="Lilik Kusumawati, SE."/>
    <x v="1"/>
    <s v="Pangkalanbun, 8 Mei 1981"/>
    <d v="1981-05-08T00:00:00"/>
    <d v="2039-06-01T00:00:00"/>
    <s v="198105080000002101"/>
    <s v="S1"/>
    <s v="S1 Akuntansi STIE Widya Wiwaha Tahun 2004"/>
    <s v="Pengelola Barang Milik Negara"/>
    <s v="3404074805810009"/>
    <s v="Biro Administrasi Umum dan Keuangan ditugaskan pada UPT Pusat Pengembangan Bisnis"/>
    <d v="2014-01-01T00:00:00"/>
  </r>
  <r>
    <n v="109"/>
    <s v="Maryanto"/>
    <x v="0"/>
    <s v="Klaten, 26 April 1982"/>
    <d v="1982-04-26T00:00:00"/>
    <d v="2040-05-01T00:00:00"/>
    <s v="198204260000001101"/>
    <s v="SMA"/>
    <s v="SMA IPS Tahun 2001"/>
    <s v="Pramu Bakti"/>
    <s v="3404072604820005"/>
    <s v="Biro Administrasi Umum dan Keuangan ditugaskan pada UPT Pusat Pengembangan Bisnis"/>
    <d v="2012-02-01T00:00:00"/>
  </r>
  <r>
    <n v="110"/>
    <s v="Jarwani"/>
    <x v="0"/>
    <s v="Sleman, 16 Agustus 1987"/>
    <d v="1987-08-16T00:00:00"/>
    <d v="2045-09-01T00:00:00"/>
    <s v="198708160000001101"/>
    <s v="SMK"/>
    <s v="SMK Mekanik Otomotif Tahun 2007"/>
    <s v="Petugas Keamanan"/>
    <s v="3404101608870001"/>
    <s v="Biro Administrasi Umum dan Keuangan ditugaskan pada UPT Pusat Pengembangan Bisnis"/>
    <d v="2014-01-01T00:00:00"/>
  </r>
  <r>
    <n v="111"/>
    <s v="Miftakhul Yazid Fuadi, SIP."/>
    <x v="0"/>
    <s v="Trenggalek, 19 Juli 1988"/>
    <d v="1988-07-19T00:00:00"/>
    <d v="2046-08-01T00:00:00"/>
    <s v="198807190000001101"/>
    <s v="S1"/>
    <s v="S1 Ilmu Perpustakaan UIN Sunan Kalijaga Yogyakarta "/>
    <s v="Pengelola Perpustakaan"/>
    <s v="3503081907880002"/>
    <s v="Biro Administrasi Akademik, Kemahasiswaan dan Kerjasama ditugaskan pada UPT Pusat Perpustakaan "/>
    <d v="2014-01-01T00:00:00"/>
  </r>
  <r>
    <n v="112"/>
    <s v="Minto Wasono"/>
    <x v="0"/>
    <s v="Bantul, 16 Mei 1979"/>
    <d v="1979-05-16T00:00:00"/>
    <d v="2037-06-01T00:00:00"/>
    <s v="197905160000001101"/>
    <s v="SMK"/>
    <s v="SMK Elektronika Komunikasi Tahun 1998"/>
    <s v="Pengadministrasi Umum"/>
    <s v="3402121605790001"/>
    <s v="Biro Administrasi Akademik, Kemahasiswaan dan Kerjasama ditugaskan pada UPT Pusat Perpustakaan "/>
    <d v="2012-01-02T00:00: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1"/>
    <s v="1.31 Tahun 2025"/>
    <s v="2 Januari 2025"/>
    <s v="01/01/2025"/>
    <s v="1 Januari 2025 s.d. 28 Desember 2025"/>
    <s v="Jeffri Dian Saputra"/>
    <x v="0"/>
    <s v="199707190000001101"/>
    <s v="3308031907970001"/>
    <s v="Magelang,19 Juli 1997"/>
    <s v="SMK Teknik Otomotif Tahun 2015"/>
    <s v="Pengemudi"/>
    <s v="Lembaga Penelitian dan Pengabdian Kepada Masyarakat "/>
  </r>
  <r>
    <n v="2"/>
    <s v="1.32 Tahun 2025"/>
    <s v="2 Januari 2025"/>
    <s v="01/01/2025"/>
    <s v="1 Januari 2025 s.d. 28 Desember 2025"/>
    <s v="Aminto Nugroho, S.T."/>
    <x v="0"/>
    <s v="197804200000001101"/>
    <s v="3402172004780003"/>
    <s v="Bantul, 20 April 1978"/>
    <s v="S1. UAD Prodi. Teknik Industri 2007"/>
    <s v="Pengemudi"/>
    <s v="Subbag. Perlengkapan dan Pengadaan Barang/Jasa"/>
  </r>
  <r>
    <n v="3"/>
    <s v="1.33 Tahun 2025"/>
    <s v="2 Januari 2025"/>
    <s v="01/01/2025"/>
    <s v="1 Januari 2025 s.d. 28 Desember 2025"/>
    <s v="Pradito Nur Rahman"/>
    <x v="0"/>
    <s v="199910200000001101"/>
    <s v="3404092010390002"/>
    <s v="Sleman, 20 Oktober 1999"/>
    <s v="SMK Seni Tari Tahun 2019"/>
    <s v="Pengemudi"/>
    <s v="Subbag. Perlengkapan dan Pengadaan Barang/Jasa"/>
  </r>
  <r>
    <n v="4"/>
    <s v="1.34 Tahun 2025"/>
    <s v="2 Januari 2025"/>
    <s v="01/01/2025"/>
    <s v="1 Januari 2025 s.d. 28 Desember 2025"/>
    <s v="Syafaul Amrul Azis"/>
    <x v="0"/>
    <s v="199902080000001101"/>
    <s v="3308100802990003"/>
    <s v="Magelang,08 Februari 1999"/>
    <s v="MAN  IPS Tahun 2017"/>
    <s v="Pengemudi"/>
    <s v="Subbag. Perlengkapan dan Pengadaan Barang/Jasa"/>
  </r>
  <r>
    <n v="5"/>
    <s v="1.35 Tahun 2025"/>
    <s v="2 Januari 2025"/>
    <s v="01/01/2025"/>
    <s v="1 Januari 2025 s.d. 28 Desember 2025"/>
    <s v="Liberty Hastu Krisnamurti, S.Pd."/>
    <x v="1"/>
    <s v="199806010000001101"/>
    <s v="3404134106980007"/>
    <s v="Sleman, 1 Juni 1998"/>
    <s v="S1 Pendidikan Ekonomi Bidang Keahlian Khusus Pendidikan Akuntansi Univ Sanata Dharma Yogyakarta Tahun 2020"/>
    <s v="Pengadministrasi Keuangan"/>
    <s v="Subbag. Perlengkapan dan Pengadaan Barang/Jasa"/>
  </r>
  <r>
    <n v="6"/>
    <s v="1.36 Tahun 2025"/>
    <s v="2 Januari 2025"/>
    <s v="01/01/2025"/>
    <s v="1 Januari 2025 s.d. 28 Desember 2025"/>
    <s v="Aswin Mafatikhul Huda"/>
    <x v="0"/>
    <s v="199607200000001101"/>
    <s v="3402152007960003"/>
    <s v="Bantul, 20 Juli 1996"/>
    <s v="SLTA TKJ"/>
    <s v="Pengadministrasi Keuangan"/>
    <s v="Bagian Tata Usaha Fakultas Dakwah dan Komunikasi"/>
  </r>
  <r>
    <n v="7"/>
    <s v="1.37 Tahun 2025"/>
    <s v="2 Januari 2025"/>
    <s v="01/01/2025"/>
    <s v="1 Januari 2025 s.d. 28 Desember 2025"/>
    <s v="Arlizza Muzayyanah, S.H.I."/>
    <x v="1"/>
    <s v="199305240000002101"/>
    <s v="3501046405930002"/>
    <s v="Sumenep, 24 Mei 1993"/>
    <s v="S1 Al-Ahwal al-Syakhsiyyah  UIN Sunan Kalijaga Tahun 2015"/>
    <s v="Pengadministrasi Akademik"/>
    <s v="Bagian Tata Usaha Fakultas Syari'ah dan Hukum"/>
  </r>
  <r>
    <n v="8"/>
    <s v="1.38 Tahun 2025"/>
    <s v="2 Januari 2025"/>
    <s v="01/01/2025"/>
    <s v="1 Januari 2025 s.d. 28 Desember 2025"/>
    <s v="Dina Husna, S.Si."/>
    <x v="1"/>
    <s v="199701230000002101"/>
    <s v="3321136301970003"/>
    <s v="Demak, 23 Januari 1997"/>
    <s v="S1 Kimia UIN Sunan Kalijaga Tahun 2018"/>
    <s v="Pengadministrasi Akademik"/>
    <s v="Laboratorium Terpadu "/>
  </r>
  <r>
    <n v="9"/>
    <s v="1.39 Tahun 2025"/>
    <s v="2 Januari 2025"/>
    <s v="01/01/2025"/>
    <s v="1 Januari 2025 s.d. 28 Desember 2025"/>
    <s v="Vika Artantri Munandar, S.Sos"/>
    <x v="1"/>
    <s v="199301150000002101"/>
    <s v="3308035501930001"/>
    <s v="Magelang, 15 Januari 1993"/>
    <s v="S1 IKS UIN Sunan Kalijaga, Yogyakarta Tahun 2017"/>
    <s v="Pengadministrasi Umum"/>
    <s v="Bagian Tata Usaha Fakultas Ushuluddin dan Pemikiran Islam"/>
  </r>
  <r>
    <n v="10"/>
    <s v="1.40 Tahun 2025"/>
    <s v="2 Januari 2025"/>
    <s v="01/01/2025"/>
    <s v="1 Januari 2025 s.d. 28 Desember 2025"/>
    <s v="Linda Dwi Astuti,  S.E."/>
    <x v="1"/>
    <s v="199404120000002101"/>
    <s v="3401035204940002"/>
    <s v="Kulon Progo, 12 April 1994"/>
    <s v="S1 Manajemen UNY  tahun 2018"/>
    <s v="Pengadministrasi Keuangan"/>
    <s v="Lembaga Penelitian dan Pengabdian Kepada Masyarakat "/>
  </r>
  <r>
    <n v="11"/>
    <s v="1.41 Tahun 2025"/>
    <s v="2 Januari 2025"/>
    <s v="01/01/2025"/>
    <s v="1 Januari 2025 s.d. 28 Desember 2025"/>
    <s v="Dwi Priantoro Pambudi"/>
    <x v="0"/>
    <s v="199403050000001101"/>
    <s v="3404070503940002"/>
    <s v="Sleman, 5 Maret 1994"/>
    <s v="SMK Teknik Ketenagalistrikan Tahun 2012"/>
    <s v="Teknisi Peralatan Kantor"/>
    <s v="Subbag. Perlengkapan dan Pengadaan Barang/Jasa"/>
  </r>
  <r>
    <n v="12"/>
    <s v="1.42 Tahun 2025"/>
    <s v="2 Januari 2025"/>
    <s v="01/01/2025"/>
    <s v="1 Januari 2025 s.d. 28 Desember 2025"/>
    <s v="Bakhtiar Alfan, S.I.Kom."/>
    <x v="0"/>
    <s v="198711100000001101"/>
    <s v="3404071011370003"/>
    <s v="Purbalingga, 10 November 1987"/>
    <s v="S1 Ilmu Komunikasi UIN Sunan Kalijaga Yogyakarta"/>
    <s v="Pengadministrasi Data, Penyajian dan Publikasi"/>
    <s v="Subbag. Tata Usaha dan Rumah Tangga"/>
  </r>
  <r>
    <n v="13"/>
    <s v="1.43 Tahun 2025"/>
    <s v="2 Januari 2025"/>
    <s v="01/01/2025"/>
    <s v="1 Januari 2025 s.d. 28 Desember 2025"/>
    <s v="Laili Alfi Rohmah, S.Sos., M.A."/>
    <x v="1"/>
    <s v="199512020000002101"/>
    <s v="3305104212950001"/>
    <s v="Kebumen, 2 Desember 1995"/>
    <s v="S2 Interdisciplinary Islamic Studies UIN Sunan Kalijaga Tahun 2021"/>
    <s v="Pengadministrasi Data, Penyajian dan Publikasi"/>
    <s v="Lembaga Penelitian dan Pengabdian Kepada Masyarakat "/>
  </r>
  <r>
    <n v="14"/>
    <s v="1.44 Tahun 2025"/>
    <s v="2 Januari 2025"/>
    <s v="01/01/2025"/>
    <s v="1 Januari 2025 s.d. 28 Desember 2025"/>
    <s v="Muhammad Hudalloh, S.Kom."/>
    <x v="0"/>
    <s v="199407280000001101"/>
    <s v="3323122807940001"/>
    <s v="Temanggung, 28 Juli 1994"/>
    <s v="S1 Teknik Informatika UIN Sunan Kalijaga Yogyakarta Tahun 2017"/>
    <s v="Pengelola Sistem Informasi"/>
    <s v="UPT Pusat Teknologi Informasi dan Pangkalan Data"/>
  </r>
  <r>
    <n v="15"/>
    <s v="1.45 Tahun 2025"/>
    <s v="2 Januari 2025"/>
    <s v="01/01/2025"/>
    <s v="1 Januari 2025 s.d. 28 Desember 2025"/>
    <s v="Isna Rohman Susetyo, S.Kom."/>
    <x v="0"/>
    <s v="199207250000001101"/>
    <s v="3401112507920002"/>
    <s v="Kulon Progo, 25 Juli 1992"/>
    <s v="S1 Informatika Universitas Amikom Yogyakarta Tahun 2019"/>
    <s v="Pengelola Sistem Informasi"/>
    <s v="UPT Pusat Teknologi Informasi dan Pangkalan Data"/>
  </r>
  <r>
    <n v="16"/>
    <s v="1.46 Tahun 2025"/>
    <s v="2 Januari 2025"/>
    <s v="01/01/2025"/>
    <s v="1 Januari 2025 s.d. 28 Desember 2025"/>
    <s v="Wahyu Anita, A.Md."/>
    <x v="1"/>
    <s v="199908170000002101"/>
    <s v="3402125708990002"/>
    <s v="Sleman, 17 Agustus 1999"/>
    <s v="D3 Manajemen Informatika Universitas Amikom Yogyakarta Tahun 2020"/>
    <s v="Pengelola Sistem Informasi"/>
    <s v="UPT Pusat Teknologi Informasi dan Pangkalan Data"/>
  </r>
  <r>
    <n v="17"/>
    <s v="1.47 Tahun 2025"/>
    <s v="2 Januari 2025"/>
    <s v="01/01/2025"/>
    <s v="1 Januari 2025 s.d. 28 Desember 2025"/>
    <s v="Thalytha Aqila Kharisma Nadia Hassany, S.S"/>
    <x v="1"/>
    <s v="199609090000002101"/>
    <s v="3471144809860001"/>
    <s v="Yogyakarta, 9 September 1996"/>
    <s v="S1 Sastra Inggris UIN Sunan Kalijaga Yogyakarta Tahun 2019"/>
    <s v="Pengadministrasi Keuangan "/>
    <s v="UPT Pusat Pengembangan Bahasa"/>
  </r>
  <r>
    <n v="18"/>
    <s v="1.48 Tahun 2025"/>
    <s v="2 Januari 2025"/>
    <s v="01/01/2025"/>
    <s v="1 Januari 2025 s.d. 28 Desember 2025"/>
    <s v="Naili Isnawati Sayida, S.Sos., M.Si."/>
    <x v="1"/>
    <s v="199202210000002101"/>
    <s v="3402126102920002"/>
    <s v="Bantul, 21 Februari 1992"/>
    <s v="S2 Sosiologi Universitas Jenderal Soedirman Tahun 2019"/>
    <s v="Pengadministrasi Akademik"/>
    <s v="Bagian Tata Usaha Fakultas Ekonomi dan Bisnis Islam"/>
  </r>
  <r>
    <n v="19"/>
    <s v="1.49 Tahun 2025"/>
    <s v="2 Januari 2025"/>
    <s v="01/01/2025"/>
    <s v="1 Januari 2025 s.d. 28 Desember 2025"/>
    <s v="Arifah Fauziah, S. S., M. Ed"/>
    <x v="1"/>
    <s v="199501010000002101"/>
    <s v="3404094101950001"/>
    <s v="Sleman, 1 Januari 1995"/>
    <s v="S2 Global Education Korea National University of Education Tahun 2021"/>
    <s v="Pengadministrasi Akademik"/>
    <s v="Bagian Tata Usaha Fakultas Ilmu Tarbiyah dan Keguruan"/>
  </r>
  <r>
    <n v="20"/>
    <s v="1.50 Tahun 2025"/>
    <s v="2 Januari 2025"/>
    <s v="01/01/2025"/>
    <s v="1 Januari 2025 s.d. 28 Desember 2025"/>
    <s v="Nasrul"/>
    <x v="0"/>
    <s v="197602160000001201"/>
    <s v="1301081502760001"/>
    <s v="Surantih, 15 Februari 1976"/>
    <s v="STM Mekanik Umum"/>
    <s v="Pramu Bakti"/>
    <s v="Subbag. Tata Usaha dan Rumah Tangga"/>
  </r>
  <r>
    <n v="21"/>
    <s v="1.51 Tahun 2025"/>
    <s v="2 Januari 2025"/>
    <s v="01/01/2025"/>
    <s v="1 Januari 2025 s.d. 28 Desember 2025"/>
    <s v="Tsarwan Al Ghafari, S.E."/>
    <x v="0"/>
    <s v="199307300000001201"/>
    <s v="2172043007930001"/>
    <s v="Batam, 30 Juli 1993"/>
    <s v="S1 Akuntansi STIE Pembangunan Tanjungpinang Tahun 2017"/>
    <s v="Pengadministrasi Keuangan"/>
    <s v="UPT Pusat Pengembangan Bisnis"/>
  </r>
  <r>
    <n v="22"/>
    <s v="1.52 Tahun 2025"/>
    <s v="2 Januari 2025"/>
    <s v="01/01/2025"/>
    <s v="1 Januari 2025 s.d. 28 Desember 2025"/>
    <s v="Nuzul Ramadhan, A.Md Akt."/>
    <x v="0"/>
    <s v="199901040000001201"/>
    <s v="3404070401990003"/>
    <s v="Kulonprogo, 4 Januari 1999"/>
    <s v="S1 Akuntansi Universitas Negeri Yogyakarta Tahun 2021"/>
    <s v="Pengadministrasi Keuangan"/>
    <s v="Bagian Tata Usaha Fakultas Dakwah dan Komunikasi"/>
  </r>
  <r>
    <n v="23"/>
    <s v="1.53 Tahun 2025"/>
    <s v="2 Januari 2025"/>
    <s v="01/01/2025"/>
    <s v="1 Januari 2025 s.d. 28 Desember 2025"/>
    <s v="Risti Asih, S.E."/>
    <x v="1"/>
    <s v="199605230000002201"/>
    <s v="3402016305960001"/>
    <s v="Bantul, 23 Mei 1996"/>
    <s v="S1 Akuntansi Universitas Negeri Yogyakarta Tahun 2021"/>
    <s v="Pengadministrasi Keuangan"/>
    <s v="Bagian Tata Usaha Fakultas Ilmu Sosial dan Humaniora"/>
  </r>
  <r>
    <n v="24"/>
    <s v="1.54 Tahun 2025"/>
    <s v="2 Januari 2025"/>
    <s v="01/01/2025"/>
    <s v="1 Januari 2025 s.d. 28 Desember 2025"/>
    <s v="Azza Nikmaturrochmah, S.E"/>
    <x v="1"/>
    <s v="199907250000002201"/>
    <s v="3404066507990001"/>
    <s v="Sleman, 25 Juli 1999"/>
    <s v="S1 Manajemen Keuangan Syariah UIN Sunan Kalijaga Yogyakarta Tahun 2021"/>
    <s v="Pengadministrasi Keuangan"/>
    <s v="Bagian Tata Usaha Fakultas Ilmu Tarbiyah dan Keguruan"/>
  </r>
  <r>
    <n v="25"/>
    <s v="1.55 Tahun 2025"/>
    <s v="2 Januari 2025"/>
    <s v="01/01/2025"/>
    <s v="1 Januari 2025 s.d. 28 Desember 2025"/>
    <s v="Dzikra Azzahra S.E."/>
    <x v="1"/>
    <s v="199909130000002201"/>
    <s v="3175065309991006"/>
    <s v="Jakarta, 13 September 1999"/>
    <s v="S1 Manajemen Keuangan Syariah UIN Sunan Kalijaga Yogyakarta Tahun 2021"/>
    <s v="Pengadministrasi Keuangan"/>
    <s v="Bagian Tata Usaha Fakultas Syari'ah dan Hukum"/>
  </r>
  <r>
    <n v="26"/>
    <s v="1.56 Tahun 2025"/>
    <s v="2 Januari 2025"/>
    <s v="01/01/2025"/>
    <s v="1 Januari 2025 s.d. 28 Desember 2025"/>
    <s v="Shifa Fauziah Yundi, S.E."/>
    <x v="1"/>
    <s v="199211220000002201"/>
    <s v="3404126211920001"/>
    <s v="Sleman, 22 November 1992"/>
    <s v="S1 Akuntansi Universitas Islam Indonesia Tahun 2016"/>
    <s v="Pengadministrasi Keuangan"/>
    <s v="Bagian Tata Usaha Fakultas Ushuluddin dan Pemikiran Islam"/>
  </r>
  <r>
    <n v="27"/>
    <s v="1.57 Tahun 2025"/>
    <s v="2 Januari 2025"/>
    <s v="01/01/2025"/>
    <s v="1 Januari 2025 s.d. 28 Desember 2025"/>
    <s v="Novelia Nabila Nihayati, S.Ak."/>
    <x v="1"/>
    <s v="199811270000002201"/>
    <s v="3402126711980001"/>
    <s v="Bantul, 27 November 1998"/>
    <s v="S1 Akuntansi Universitas Muhammadiyah Yogyakarta Tahun 2021"/>
    <s v="Pengadministrasi Keuangan"/>
    <s v="Biro Administrasi Akademik, Kemahasiswaan dan Kerjasama"/>
  </r>
  <r>
    <n v="28"/>
    <s v="1.58 Tahun 2025"/>
    <s v="2 Januari 2025"/>
    <s v="01/01/2025"/>
    <s v="1 Januari 2025 s.d. 28 Desember 2025"/>
    <s v="Zaki Sima Fashimado, S.Ak"/>
    <x v="0"/>
    <s v="199406200000001201"/>
    <s v="3209072006940008"/>
    <s v="Cirebon, 20 Juni 1994"/>
    <s v="S1 Akuntansi Universitas Teknologi Yogyakarta Tahun 2016"/>
    <s v="Pengadministrasi Keuangan"/>
    <s v="Satuan Pengawasan Internal"/>
  </r>
  <r>
    <n v="29"/>
    <s v="1.59 Tahun 2025"/>
    <s v="2 Januari 2025"/>
    <s v="01/01/2025"/>
    <s v="1 Januari 2025 s.d. 28 Desember 2025"/>
    <s v="Eko Musbiantoro"/>
    <x v="0"/>
    <s v="198011260000001201"/>
    <s v="3402072611800001"/>
    <s v="Bantul, 26 November 1980"/>
    <s v="SMK Tahun 1999"/>
    <s v="Pramu Bakti"/>
    <s v="Subbag. Tata Usaha dan Rumah Tangga"/>
  </r>
  <r>
    <n v="30"/>
    <s v="1.60 Tahun 2025"/>
    <s v="2 Januari 2025"/>
    <s v="01/01/2025"/>
    <s v="1 Januari 2025 s.d. 28 Desember 2025"/>
    <s v="Sardiman Hadi Saputra, A.Md."/>
    <x v="0"/>
    <s v="197605090000001201 "/>
    <s v="3402170905760002"/>
    <s v="Medan, 9 Mei 1976"/>
    <s v="D3 Ketatalaksanaan Pelayaran Niaga  Akademi Maritim Yogyakarta Tahun 1999"/>
    <s v="Pengemudi"/>
    <s v="Subbag. Perlengkapan dan Pengadaan Barang/Jasa"/>
  </r>
  <r>
    <n v="31"/>
    <s v="1.61 Tahun 2025"/>
    <s v="2 Januari 2025"/>
    <s v="01/01/2025"/>
    <s v="1 Januari 2025 s.d. 28 Desember 2025"/>
    <s v="Yusfida Awalia Rohma, S.Sos."/>
    <x v="1"/>
    <s v="199505050000002201"/>
    <s v="3404154505950001"/>
    <s v="Sleman, 5 Mei 1995"/>
    <s v="S1 Sosiologi Agama UIN Sunan Kalijaga Yogyakarta Tahun 2018"/>
    <s v="Pengadministrasi Umum"/>
    <s v="Lembaga Penelitian dan Pengabdian Kepada Masyarakat"/>
  </r>
  <r>
    <n v="32"/>
    <s v="1.62 Tahun 2025"/>
    <s v="2 Januari 2025"/>
    <s v="01/01/2025"/>
    <s v="1 Januari 2025 s.d. 28 Desember 2025"/>
    <s v="Aan Nurdiyanto, S.T."/>
    <x v="0"/>
    <s v="198701260000001201"/>
    <s v="3402162601870003"/>
    <s v="Bantul, 26 Januari 1987"/>
    <s v="S1 Teknik Industri UIN Sunan Kalijaga Yogyakarta Tahun 2016"/>
    <s v="Pengadministrasi Umum"/>
    <s v="Lembaga Penelitian dan Pengabdian Kepada Masyarakat"/>
  </r>
  <r>
    <n v="33"/>
    <s v="1.63 Tahun 2025"/>
    <s v="2 Januari 2025"/>
    <s v="01/01/2025"/>
    <s v="1 Januari 2025 s.d. 28 Desember 2025"/>
    <s v="Hikmah Supriyati, S.Pd., M.Pd."/>
    <x v="1"/>
    <s v="199502280000002201"/>
    <s v="3305126802950004"/>
    <s v="Kebumen, 28 Februari 1995"/>
    <s v="S2 Magister Pendidikan Biologi, UNY, Tahun 2021"/>
    <s v="Pengadministrasi Umum"/>
    <s v="Lembaga Penelitian dan Pengabdian Kepada Masyarakat"/>
  </r>
  <r>
    <n v="34"/>
    <s v="1.64 Tahun 2025"/>
    <s v="2 Januari 2025"/>
    <s v="01/01/2025"/>
    <s v="1 Januari 2025 s.d. 28 Desember 2025"/>
    <s v="Siti Shofiyah, S.Kom."/>
    <x v="1"/>
    <s v="199805090000002201"/>
    <s v="3404054905980001"/>
    <s v="Sleman, 9 Mei 1998"/>
    <s v="S1 Teknik Informatika UIN Sunan Kalijaga Tahun 2020"/>
    <s v="Petugas Teknologi Informasi Komputer"/>
    <s v="Lembaga Penjaminan Mutu"/>
  </r>
  <r>
    <n v="35"/>
    <s v="1.65 Tahun 2025"/>
    <s v="2 Januari 2025"/>
    <s v="01/01/2025"/>
    <s v="1 Januari 2025 s.d. 28 Desember 2025"/>
    <s v="Agung Nugroho, S.Pd."/>
    <x v="0"/>
    <s v="199602170000001201"/>
    <s v="3471081702960002"/>
    <s v="Magelang, 17 Februari 1996"/>
    <s v="S1 Pendidikan Bahasa Inggris UNY Tahun 2020"/>
    <s v="Pengadministrasi Akademik"/>
    <s v="Subbag. Tata Usaha Pascasarjana"/>
  </r>
  <r>
    <n v="36"/>
    <s v="1.66 Tahun 2025"/>
    <s v="2 Januari 2025"/>
    <s v="01/01/2025"/>
    <s v="1 Januari 2025 s.d. 28 Desember 2025"/>
    <s v="Festy Umu Hikmatin, S.Pd."/>
    <x v="1"/>
    <s v="199407240000002201"/>
    <s v="3404036407940001"/>
    <s v="Sleman, 24 Juli 1994"/>
    <s v="S1 PGMI UIN Sunan Kalijaga Tahun 2016"/>
    <s v="Pengadministrasi Umum"/>
    <s v="Subbag. Tata Usaha dan Rumah Tangga"/>
  </r>
  <r>
    <n v="37"/>
    <s v="1.67 Tahun 2025"/>
    <s v="2 Januari 2025"/>
    <s v="01/01/2025"/>
    <s v="1 Januari 2025 s.d. 28 Desember 2025"/>
    <s v="Ulfa Syarifah, S.Tr.Gz"/>
    <x v="1"/>
    <s v="199510280000002201"/>
    <s v="340217681095001"/>
    <s v="Bantul, 28 Oktober 1995"/>
    <s v="S1 Gizi dan Dietetika Politeknik Kesehatan Kementerian Kesehatan Tahun 2018"/>
    <s v="Pengadministrasi Layanan Bimbingan dan Konseling"/>
    <s v="Klinik Pratama UIN Sunan Kalijaga Yogyakarta"/>
  </r>
  <r>
    <n v="38"/>
    <s v="1.68 Tahun 2025"/>
    <s v="2 Januari 2025"/>
    <s v="01/01/2025"/>
    <s v="1 Januari 2025 s.d. 28 Desember 2025"/>
    <s v="Devi Aryani Setyaningrum, S.Pd."/>
    <x v="1"/>
    <s v="199512210000002201"/>
    <s v="340202611950001"/>
    <s v="Bantul, 21 Desember 1995"/>
    <s v="S1 Pendidikan Agama Islam UIN Sunan Kalijaga Tahun 2018"/>
    <s v="Pengadministrasi Persuratan"/>
    <s v="Subbag. Tata Usaha dan Rumah Tangga"/>
  </r>
  <r>
    <n v="39"/>
    <s v="1.69 Tahun 2025"/>
    <s v="2 Januari 2025"/>
    <s v="01/01/2025"/>
    <s v="1 Januari 2025 s.d. 28 Desember 2025"/>
    <s v="Muhammad Beny Fahri Widagdo, ST."/>
    <x v="0"/>
    <s v="199802060000001201"/>
    <s v="3404080602980003"/>
    <s v="Yogyakarta, 6 Februari 1998"/>
    <s v="S1 Teknik Industri UIN Sunan Kalijaga Yogyakarta Tahun 2020"/>
    <s v="Pengadministrasi Akademik"/>
    <s v="Bagian Tata Usaha Fakultas Adab dan Ilmu Budaya"/>
  </r>
  <r>
    <n v="40"/>
    <s v="1.70 Tahun 2025"/>
    <s v="2 Januari 2025"/>
    <s v="01/01/2025"/>
    <s v="1 Januari 2025 s.d. 28 Desember 2025"/>
    <s v="Fajar Fanani"/>
    <x v="0"/>
    <s v="198712230000001201"/>
    <s v="3404172312870002"/>
    <s v="Bantul, 23 Desember 1987"/>
    <s v="SMK, Listrik Pemakaian Tahun 2007"/>
    <s v="Petugas Keamanan"/>
    <s v="Subbag. Tata Usaha dan Rumah Tangga"/>
  </r>
  <r>
    <n v="41"/>
    <s v="1.71 Tahun 2025"/>
    <s v="2 Januari 2025"/>
    <s v="01/01/2025"/>
    <s v="1 Januari 2025 s.d. 28 Desember 2025"/>
    <s v="Fira Kumala Sari, S.Pd. "/>
    <x v="1"/>
    <s v="199702230000002201"/>
    <s v="3304028302000001"/>
    <s v="Banjarnegara, 23 Februari 1997 "/>
    <s v="S1 Pendidikan Biologi UIN Sunan Kalijaga Tahun 2019"/>
    <s v="Pengadministrasi Akademik"/>
    <s v="Lembaga Penjaminan Mutu"/>
  </r>
  <r>
    <n v="42"/>
    <s v="1.72 Tahun 2025"/>
    <s v="2 Januari 2025"/>
    <s v="01/01/2025"/>
    <s v="1 Januari 2025 s.d. 28 Desember 2025"/>
    <s v="Natria Bunga Pradifta Nur Amina, SE."/>
    <x v="1"/>
    <s v="199908280000002201"/>
    <s v="3310146808990002"/>
    <s v="Solo, 28 Agustus 1999"/>
    <s v="S1 Manajemen Keuangan Syari'ah UIN Sunan Kalijaga Tahun 2021"/>
    <s v="Pengadministrasi Keuangan"/>
    <s v="Lembaga Penjaminan Mutu"/>
  </r>
  <r>
    <n v="43"/>
    <s v="1.73 Tahun 2025"/>
    <s v="2 Januari 2025"/>
    <s v="01/01/2025"/>
    <s v="1 Januari 2025 s.d. 28 Desember 2025"/>
    <s v="Sulistyo Budi Prabowo, SH."/>
    <x v="0"/>
    <s v="199506050000001201"/>
    <s v="3402120506950002"/>
    <s v="Bantul, 5 Juni 1995"/>
    <s v="S1 Ilmu Hukum UIN Sunan Kalijaga Yogyakarta Tahun 2018"/>
    <s v="Pengemudi"/>
    <s v="Subbag. Perlengkapan dan Pengadaan Barang/Jasa"/>
  </r>
  <r>
    <n v="44"/>
    <s v="1.74 Tahun 2025"/>
    <s v="2 Januari 2025"/>
    <s v="01/01/2025"/>
    <s v="1 Januari 2025 s.d. 28 Desember 2025"/>
    <s v="Muhammad Fadhillah"/>
    <x v="0"/>
    <s v="199606160000001201"/>
    <s v="3402151606960004"/>
    <s v="Bantul, 16 Juni 1996"/>
    <s v="SMA IPA Tahun 2014"/>
    <s v="Petugas Keamanan"/>
    <s v="Subbag. Tata Usaha dan Rumah Tangga"/>
  </r>
  <r>
    <n v="45"/>
    <s v="1.75 Tahun 2025"/>
    <s v="2 Januari 2025"/>
    <s v="01/01/2025"/>
    <s v="1 Januari 2025 s.d. 28 Desember 2025"/>
    <s v="Prayuda Wirawan, S.Kom."/>
    <x v="0"/>
    <s v="199110050000001201"/>
    <s v="3404020510890001"/>
    <s v="Jakarta, 5 Oktober 1991"/>
    <s v="S1 Teknik Informatika Univ. Islam Indonesia Tahun 2014"/>
    <s v="Pengelola Sistem Informasi"/>
    <s v="UPT Pusat Perpustakaan  "/>
  </r>
  <r>
    <n v="46"/>
    <s v="1.76 Tahun 2025"/>
    <s v="2 Januari 2025"/>
    <s v="01/01/2025"/>
    <s v="1 Januari 2025 s.d. 28 Desember 2025"/>
    <s v="Jati Hikmawati, S.Kom."/>
    <x v="1"/>
    <s v="198809090000002201"/>
    <s v="6171054909880006"/>
    <s v="Pontianak, 9 September 1988"/>
    <s v="S1 Teknik Informatika UIN Sunan Kalijaga Yogyakarta  Tahun 2013"/>
    <s v="Teknisi Laboratorium  "/>
    <s v="UPT Pusat Teknologi Informasi dan Pangkalan Data"/>
  </r>
  <r>
    <n v="47"/>
    <s v="1.77 Tahun 2025"/>
    <s v="2 Januari 2025"/>
    <s v="01/01/2025"/>
    <s v="1 Januari 2025 s.d. 28 Desember 2025"/>
    <s v="Pratita Ripindha Buwana, S.Kom."/>
    <x v="0"/>
    <s v="199603290000001201"/>
    <s v="3404102903960001"/>
    <s v="Pekalongan, 29 Maret 1996"/>
    <s v="S1 Informatika Univ. AMIKOM Yogyakarta Tahun 2018"/>
    <s v="Pengelola Sistem Informasi"/>
    <s v="UPT Pusat Teknologi Informasi dan Pangkalan Data"/>
  </r>
  <r>
    <n v="48"/>
    <s v="1.78 Tahun 2025"/>
    <s v="2 Januari 2025"/>
    <s v="01/01/2025"/>
    <s v="1 Januari 2025 s.d. 28 Desember 2025"/>
    <s v="Choirul Umam, S.Kom."/>
    <x v="0"/>
    <s v="199412270000001201"/>
    <s v="3403032712940001"/>
    <s v="Gunungkidul, 27 Desember 1994"/>
    <s v="S1 Sistem Informasi Univ AMIKOM Yogyakarta Tahun 2021"/>
    <s v="Pengelola Sistem Informasi"/>
    <s v="UPT Pusat Teknologi Informasi dan Pangkalan Data"/>
  </r>
  <r>
    <n v="49"/>
    <s v="1.79 Tahun 2025"/>
    <s v="2 Januari 2025"/>
    <s v="01/01/2025"/>
    <s v="1 Januari 2025 s.d. 28 Desember 2025"/>
    <s v="Dewi Astuti, S.Kom.  "/>
    <x v="1"/>
    <s v="199206130000002201"/>
    <s v="3404105306920001"/>
    <s v="Sleman, 13 Juni 1992"/>
    <s v="S1 Teknik Informatika UIN Sunan Kalijaga Yogyakarta  Tahun 2015"/>
    <s v="Teknisi Laboratorium  "/>
    <s v="UPT Pusat Teknologi Informasi dan Pangkalan Data"/>
  </r>
  <r>
    <n v="50"/>
    <s v="1.80 Tahun 2025"/>
    <s v="2 Januari 2025"/>
    <s v="01/01/2025"/>
    <s v="1 Januari 2025 s.d. 28 Desember 2025"/>
    <s v="Kawit Wintolo"/>
    <x v="0"/>
    <s v="196909040000001101 "/>
    <s v="3471030409690001"/>
    <s v="Yogyakarta, 4 September 1969"/>
    <s v="Program Paket C"/>
    <s v="Pramu Bakti"/>
    <s v="UPT Pusat Pengembangan Bisnis"/>
  </r>
  <r>
    <n v="52"/>
    <m/>
    <s v="2 Januari 2025"/>
    <s v="01/01/2025"/>
    <s v="1 Januari 2025 s.d. 31 Maret 2025"/>
    <s v="Jarwadi, SIP."/>
    <x v="0"/>
    <s v="196407050000001201"/>
    <s v="3402120507640006"/>
    <s v="Sleman, 5 Juli 1964"/>
    <s v="S1 Stisipol Kartika Bangsa, Ilmu Administrasi Negara, Tahun 2005"/>
    <s v="Petugas Keamanan"/>
    <s v="Biro Administrasi Akademik, Kemahasiswaan dan Kerjasam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rekap 5" cacheId="89" applyNumberFormats="0" applyBorderFormats="0" applyFontFormats="0" applyPatternFormats="0" applyAlignmentFormats="0" applyWidthHeightFormats="0" dataCaption="" updatedVersion="8" compact="0" compactData="0">
  <location ref="A20:B23" firstHeaderRow="1" firstDataRow="1" firstDataCol="1"/>
  <pivotFields count="14">
    <pivotField name="NO" compact="0" outline="0" multipleItemSelectionAllowed="1" showAll="0"/>
    <pivotField name="NOMOR SK" compact="0" outline="0" multipleItemSelectionAllowed="1" showAll="0"/>
    <pivotField name="TANGGAL SK" compact="0" numFmtId="15" outline="0" multipleItemSelectionAllowed="1" showAll="0"/>
    <pivotField name="NAMA" compact="0" outline="0" multipleItemSelectionAllowed="1" showAll="0"/>
    <pivotField name="JK" axis="axisRow" dataField="1" compact="0" outline="0" multipleItemSelectionAllowed="1" showAll="0" sortType="ascending">
      <items count="3">
        <item x="1"/>
        <item x="0"/>
        <item t="default"/>
      </items>
    </pivotField>
    <pivotField name="TEMPAT DAN TANGGAL LAHIR" compact="0" outline="0" multipleItemSelectionAllowed="1" showAll="0"/>
    <pivotField name="NIP" compact="0" outline="0" multipleItemSelectionAllowed="1" showAll="0"/>
    <pivotField name="GOLONGAN" compact="0" outline="0" multipleItemSelectionAllowed="1" showAll="0"/>
    <pivotField name="PDDK" compact="0" outline="0" multipleItemSelectionAllowed="1" showAll="0"/>
    <pivotField name="pddk2" compact="0" outline="0" multipleItemSelectionAllowed="1" showAll="0"/>
    <pivotField name="JABATAN  " compact="0" outline="0" multipleItemSelectionAllowed="1" showAll="0"/>
    <pivotField name="NIK" compact="0" outline="0" multipleItemSelectionAllowed="1" showAll="0"/>
    <pivotField name="UNIT KERJA" compact="0" outline="0" multipleItemSelectionAllowed="1" showAll="0"/>
    <pivotField name="MASA KONTRAK" compact="0" numFmtId="14" outline="0" multipleItemSelectionAllowe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JK PEGAWAI P3K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rekap 6" cacheId="85" applyNumberFormats="0" applyBorderFormats="0" applyFontFormats="0" applyPatternFormats="0" applyAlignmentFormats="0" applyWidthHeightFormats="0" dataCaption="" updatedVersion="8" compact="0" compactData="0">
  <location ref="A26:B30" firstHeaderRow="1" firstDataRow="1" firstDataCol="1"/>
  <pivotFields count="26">
    <pivotField name="NO." compact="0" outline="0" multipleItemSelectionAllowed="1" showAll="0"/>
    <pivotField name="NAMA" compact="0" outline="0" multipleItemSelectionAllowed="1" showAll="0"/>
    <pivotField name="JK" axis="axisRow" dataField="1" compact="0" outline="0" multipleItemSelectionAllowed="1" showAll="0" sortType="ascending">
      <items count="4">
        <item x="1"/>
        <item x="2"/>
        <item x="0"/>
        <item t="default"/>
      </items>
    </pivotField>
    <pivotField name="KARPEG" compact="0" outline="0" multipleItemSelectionAllowed="1" showAll="0"/>
    <pivotField name="TEMPAT " compact="0" outline="0" multipleItemSelectionAllowed="1" showAll="0"/>
    <pivotField name="TGL " compact="0" outline="0" multipleItemSelectionAllowed="1" showAll="0"/>
    <pivotField name="NIP" compact="0" outline="0" multipleItemSelectionAllowed="1" showAll="0"/>
    <pivotField name="NIK" compact="0" outline="0" multipleItemSelectionAllowed="1" showAll="0"/>
    <pivotField name="GOL" compact="0" outline="0" multipleItemSelectionAllowed="1" showAll="0"/>
    <pivotField name="TMT GOL" compact="0" outline="0" multipleItemSelectionAllowed="1" showAll="0"/>
    <pivotField name="TAHUN" compact="0" outline="0" multipleItemSelectionAllowed="1" showAll="0"/>
    <pivotField name="BULAN" compact="0" outline="0" multipleItemSelectionAllowed="1" showAll="0"/>
    <pivotField name="JABATAN" compact="0" outline="0" multipleItemSelectionAllowed="1" showAll="0"/>
    <pivotField name="TMT JABATAN" compact="0" outline="0" multipleItemSelectionAllowed="1" showAll="0"/>
    <pivotField name="PDDK" compact="0" outline="0" multipleItemSelectionAllowed="1" showAll="0"/>
    <pivotField name="S1" compact="0" outline="0" multipleItemSelectionAllowed="1" showAll="0"/>
    <pivotField name="S2" compact="0" outline="0" multipleItemSelectionAllowed="1" showAll="0"/>
    <pivotField name="S3" compact="0" outline="0" multipleItemSelectionAllowed="1" showAll="0"/>
    <pivotField name="No Sertifikasi" compact="0" outline="0" multipleItemSelectionAllowed="1" showAll="0"/>
    <pivotField name="NIDN" compact="0" outline="0" multipleItemSelectionAllowed="1" showAll="0"/>
    <pivotField name="TMT" compact="0" outline="0" multipleItemSelectionAllowed="1" showAll="0"/>
    <pivotField name="PROGRAM STUDI" compact="0" outline="0" multipleItemSelectionAllowed="1" showAll="0"/>
    <pivotField name="MATA KULIAH" compact="0" outline="0" multipleItemSelectionAllowed="1" showAll="0"/>
    <pivotField name="TUGAS TAMBAHAN" compact="0" outline="0" multipleItemSelectionAllowed="1" showAll="0"/>
    <pivotField name="tmt2" compact="0" outline="0" multipleItemSelectionAllowed="1" showAll="0"/>
    <pivotField name="KETERANGAN" compact="0" outline="0" multipleItemSelectionAllowe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JK DOSEN PNS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rekap" cacheId="107" applyNumberFormats="0" applyBorderFormats="0" applyFontFormats="0" applyPatternFormats="0" applyAlignmentFormats="0" applyWidthHeightFormats="0" dataCaption="" updatedVersion="8" compact="0" compactData="0">
  <location ref="A2:B5" firstHeaderRow="1" firstDataRow="1" firstDataCol="1"/>
  <pivotFields count="13">
    <pivotField name="No" compact="0" outline="0" multipleItemSelectionAllowed="1" showAll="0"/>
    <pivotField name="NO. SK" compact="0" outline="0" multipleItemSelectionAllowed="1" showAll="0"/>
    <pivotField name="TANGGAL SK" compact="0" numFmtId="49" outline="0" multipleItemSelectionAllowed="1" showAll="0"/>
    <pivotField name="TMT" compact="0" numFmtId="49" outline="0" multipleItemSelectionAllowed="1" showAll="0"/>
    <pivotField name="MASA TUGAS" compact="0" outline="0" multipleItemSelectionAllowed="1" showAll="0"/>
    <pivotField name="NAMA" compact="0" outline="0" multipleItemSelectionAllowed="1" showAll="0"/>
    <pivotField name="Jk" axis="axisRow" dataField="1" compact="0" outline="0" multipleItemSelectionAllowed="1" showAll="0" sortType="ascending">
      <items count="3">
        <item x="0"/>
        <item x="1"/>
        <item t="default"/>
      </items>
    </pivotField>
    <pivotField name="NIP" compact="0" outline="0" multipleItemSelectionAllowed="1" showAll="0"/>
    <pivotField name="NIK" compact="0" outline="0" multipleItemSelectionAllowed="1" showAll="0"/>
    <pivotField name="TEMPAT TANGGAL LAHIR" compact="0" outline="0" multipleItemSelectionAllowed="1" showAll="0"/>
    <pivotField name="KUALIFIKASI AKADEMIK" compact="0" outline="0" multipleItemSelectionAllowed="1" showAll="0"/>
    <pivotField name="FORMASI" compact="0" outline="0" multipleItemSelectionAllowed="1" showAll="0"/>
    <pivotField name="UNIT KERJA" compact="0" outline="0" multipleItemSelectionAllowed="1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Jk PEGAWAI KONTRAK BLU BARU 2025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rekap 2" cacheId="103" applyNumberFormats="0" applyBorderFormats="0" applyFontFormats="0" applyPatternFormats="0" applyAlignmentFormats="0" applyWidthHeightFormats="0" dataCaption="" updatedVersion="8" compact="0" compactData="0">
  <location ref="A8:B11" firstHeaderRow="1" firstDataRow="1" firstDataCol="1"/>
  <pivotFields count="13">
    <pivotField name="NO" compact="0" outline="0" multipleItemSelectionAllowed="1" showAll="0"/>
    <pivotField name="NAMA" compact="0" outline="0" multipleItemSelectionAllowed="1" showAll="0"/>
    <pivotField name="JK" axis="axisRow" dataField="1" compact="0" outline="0" multipleItemSelectionAllowed="1" showAll="0" sortType="ascending">
      <items count="3">
        <item x="0"/>
        <item x="1"/>
        <item t="default"/>
      </items>
    </pivotField>
    <pivotField name="TEMPAT DAN TANGGAL LAHIR" compact="0" outline="0" multipleItemSelectionAllowed="1" showAll="0"/>
    <pivotField name=" TANGGAL LAHIR" compact="0" numFmtId="15" outline="0" multipleItemSelectionAllowed="1" showAll="0"/>
    <pivotField name="TMT PENSIUN" compact="0" numFmtId="14" outline="0" multipleItemSelectionAllowed="1" showAll="0"/>
    <pivotField name="NIP" compact="0" numFmtId="49" outline="0" multipleItemSelectionAllowed="1" showAll="0"/>
    <pivotField name="PDDK" compact="0" outline="0" multipleItemSelectionAllowed="1" showAll="0"/>
    <pivotField name="pddk2" compact="0" outline="0" multipleItemSelectionAllowed="1" showAll="0"/>
    <pivotField name="JABATAN  " compact="0" numFmtId="1" outline="0" multipleItemSelectionAllowed="1" showAll="0"/>
    <pivotField name="NIK" compact="0" outline="0" multipleItemSelectionAllowed="1" showAll="0"/>
    <pivotField name="UNIT KERJA" compact="0" outline="0" multipleItemSelectionAllowed="1" showAll="0"/>
    <pivotField name="TMT " compact="0" outline="0" multipleItemSelectionAllowe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JK PEGAWAI TETAP BLU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rekap 7" cacheId="85" applyNumberFormats="0" applyBorderFormats="0" applyFontFormats="0" applyPatternFormats="0" applyAlignmentFormats="0" applyWidthHeightFormats="0" dataCaption="" updatedVersion="8" compact="0" compactData="0">
  <location ref="I31:J35" firstHeaderRow="1" firstDataRow="1" firstDataCol="1"/>
  <pivotFields count="26">
    <pivotField name="NO." compact="0" outline="0" multipleItemSelectionAllowed="1" showAll="0"/>
    <pivotField name="NAMA" compact="0" outline="0" multipleItemSelectionAllowed="1" showAll="0"/>
    <pivotField name="JK" compact="0" outline="0" multipleItemSelectionAllowed="1" showAll="0"/>
    <pivotField name="KARPEG" compact="0" outline="0" multipleItemSelectionAllowed="1" showAll="0"/>
    <pivotField name="TEMPAT " compact="0" outline="0" multipleItemSelectionAllowed="1" showAll="0"/>
    <pivotField name="TGL " compact="0" outline="0" multipleItemSelectionAllowed="1" showAll="0"/>
    <pivotField name="NIP" compact="0" outline="0" multipleItemSelectionAllowed="1" showAll="0"/>
    <pivotField name="NIK" compact="0" outline="0" multipleItemSelectionAllowed="1" showAll="0"/>
    <pivotField name="GOL" compact="0" outline="0" multipleItemSelectionAllowed="1" showAll="0"/>
    <pivotField name="TMT GOL" compact="0" outline="0" multipleItemSelectionAllowed="1" showAll="0"/>
    <pivotField name="TAHUN" compact="0" outline="0" multipleItemSelectionAllowed="1" showAll="0"/>
    <pivotField name="BULAN" compact="0" outline="0" multipleItemSelectionAllowed="1" showAll="0"/>
    <pivotField name="JABATAN" compact="0" outline="0" multipleItemSelectionAllowed="1" showAll="0"/>
    <pivotField name="TMT JABATAN" compact="0" outline="0" multipleItemSelectionAllowed="1" showAll="0"/>
    <pivotField name="PDDK" axis="axisRow" dataField="1" compact="0" outline="0" multipleItemSelectionAllowed="1" showAll="0" sortType="ascending">
      <items count="4">
        <item x="2"/>
        <item x="1"/>
        <item x="0"/>
        <item t="default"/>
      </items>
    </pivotField>
    <pivotField name="S1" compact="0" outline="0" multipleItemSelectionAllowed="1" showAll="0"/>
    <pivotField name="S2" compact="0" outline="0" multipleItemSelectionAllowed="1" showAll="0"/>
    <pivotField name="S3" compact="0" outline="0" multipleItemSelectionAllowed="1" showAll="0"/>
    <pivotField name="No Sertifikasi" compact="0" outline="0" multipleItemSelectionAllowed="1" showAll="0"/>
    <pivotField name="NIDN" compact="0" outline="0" multipleItemSelectionAllowed="1" showAll="0"/>
    <pivotField name="TMT" compact="0" outline="0" multipleItemSelectionAllowed="1" showAll="0"/>
    <pivotField name="PROGRAM STUDI" compact="0" outline="0" multipleItemSelectionAllowed="1" showAll="0"/>
    <pivotField name="MATA KULIAH" compact="0" outline="0" multipleItemSelectionAllowed="1" showAll="0"/>
    <pivotField name="TUGAS TAMBAHAN" compact="0" outline="0" multipleItemSelectionAllowed="1" showAll="0"/>
    <pivotField name="tmt2" compact="0" outline="0" multipleItemSelectionAllowed="1" showAll="0"/>
    <pivotField name="KETERANGAN" compact="0" outline="0" multipleItemSelectionAllowe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DDK DOSEN PNS" fld="1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rekap 3" cacheId="99" applyNumberFormats="0" applyBorderFormats="0" applyFontFormats="0" applyPatternFormats="0" applyAlignmentFormats="0" applyWidthHeightFormats="0" dataCaption="" updatedVersion="8" compact="0" compactData="0">
  <location ref="I8:J25" firstHeaderRow="1" firstDataRow="1" firstDataCol="1"/>
  <pivotFields count="19">
    <pivotField name="NO" compact="0" outline="0" multipleItemSelectionAllowed="1" showAll="0"/>
    <pivotField name="N A M A " compact="0" outline="0" multipleItemSelectionAllowed="1" showAll="0"/>
    <pivotField name="JK" compact="0" outline="0" multipleItemSelectionAllowed="1" showAll="0"/>
    <pivotField name="TEMPAT LAHIR" compact="0" outline="0" multipleItemSelectionAllowed="1" showAll="0"/>
    <pivotField name="TGL. LAHIR" compact="0" outline="0" multipleItemSelectionAllowed="1" showAll="0"/>
    <pivotField name="NIP" compact="0" outline="0" multipleItemSelectionAllowed="1" showAll="0"/>
    <pivotField name="NIK" compact="0" outline="0" multipleItemSelectionAllowed="1" showAll="0"/>
    <pivotField name="NITK" compact="0" outline="0" multipleItemSelectionAllowed="1" showAll="0"/>
    <pivotField name="JABATAN" compact="0" outline="0" multipleItemSelectionAllowed="1" showAll="0"/>
    <pivotField name="UNIT KERJA" compact="0" outline="0" multipleItemSelectionAllowed="1" showAll="0"/>
    <pivotField name="TMT" compact="0" outline="0" multipleItemSelectionAllowed="1" showAll="0"/>
    <pivotField name="GOL." compact="0" outline="0" multipleItemSelectionAllowed="1" showAll="0"/>
    <pivotField name="tmt2" compact="0" outline="0" multipleItemSelectionAllowed="1" showAll="0"/>
    <pivotField name="TH" compact="0" outline="0" multipleItemSelectionAllowed="1" showAll="0"/>
    <pivotField name="BLN" compact="0" outline="0" multipleItemSelectionAllowed="1" showAll="0"/>
    <pivotField name="PDDK" axis="axisRow" dataField="1" compact="0" outline="0" multipleItemSelectionAllowed="1" showAll="0" sortType="ascending">
      <items count="17">
        <item x="4"/>
        <item x="14"/>
        <item x="15"/>
        <item x="11"/>
        <item x="3"/>
        <item x="2"/>
        <item x="1"/>
        <item x="5"/>
        <item x="7"/>
        <item x="9"/>
        <item x="12"/>
        <item x="13"/>
        <item x="6"/>
        <item x="10"/>
        <item x="8"/>
        <item x="0"/>
        <item t="default"/>
      </items>
    </pivotField>
    <pivotField name="PENDIDIKAN" compact="0" outline="0" multipleItemSelectionAllowed="1" showAll="0"/>
    <pivotField name="tmt3" compact="0" outline="0" multipleItemSelectionAllowed="1" showAll="0"/>
    <pivotField name="TMT TUGAS" compact="0" outline="0" multipleItemSelectionAllowed="1"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PDDK DATA PEGAWAI" fld="1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rekap 8" cacheId="99" applyNumberFormats="0" applyBorderFormats="0" applyFontFormats="0" applyPatternFormats="0" applyAlignmentFormats="0" applyWidthHeightFormats="0" dataCaption="" updatedVersion="8" compact="0" compactData="0">
  <location ref="A33:B37" firstHeaderRow="1" firstDataRow="1" firstDataCol="1"/>
  <pivotFields count="19">
    <pivotField name="NO" compact="0" outline="0" multipleItemSelectionAllowed="1" showAll="0"/>
    <pivotField name="N A M A " compact="0" outline="0" multipleItemSelectionAllowed="1" showAll="0"/>
    <pivotField name="JK" axis="axisRow" dataField="1" compact="0" outline="0" multipleItemSelectionAllowed="1" showAll="0" sortType="ascending">
      <items count="4">
        <item x="1"/>
        <item x="2"/>
        <item x="0"/>
        <item t="default"/>
      </items>
    </pivotField>
    <pivotField name="TEMPAT LAHIR" compact="0" outline="0" multipleItemSelectionAllowed="1" showAll="0"/>
    <pivotField name="TGL. LAHIR" compact="0" outline="0" multipleItemSelectionAllowed="1" showAll="0"/>
    <pivotField name="NIP" compact="0" outline="0" multipleItemSelectionAllowed="1" showAll="0"/>
    <pivotField name="NIK" compact="0" outline="0" multipleItemSelectionAllowed="1" showAll="0"/>
    <pivotField name="NITK" compact="0" outline="0" multipleItemSelectionAllowed="1" showAll="0"/>
    <pivotField name="JABATAN" compact="0" outline="0" multipleItemSelectionAllowed="1" showAll="0"/>
    <pivotField name="UNIT KERJA" compact="0" outline="0" multipleItemSelectionAllowed="1" showAll="0"/>
    <pivotField name="TMT" compact="0" outline="0" multipleItemSelectionAllowed="1" showAll="0"/>
    <pivotField name="GOL." compact="0" outline="0" multipleItemSelectionAllowed="1" showAll="0"/>
    <pivotField name="tmt2" compact="0" outline="0" multipleItemSelectionAllowed="1" showAll="0"/>
    <pivotField name="TH" compact="0" outline="0" multipleItemSelectionAllowed="1" showAll="0"/>
    <pivotField name="BLN" compact="0" outline="0" multipleItemSelectionAllowed="1" showAll="0"/>
    <pivotField name="PDDK" compact="0" outline="0" multipleItemSelectionAllowed="1" showAll="0"/>
    <pivotField name="PENDIDIKAN" compact="0" outline="0" multipleItemSelectionAllowed="1" showAll="0"/>
    <pivotField name="tmt3" compact="0" outline="0" multipleItemSelectionAllowed="1" showAll="0"/>
    <pivotField name="TMT TUGAS" compact="0" outline="0" multipleItemSelectionAllowe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JK DATA PEGAWAI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rekap 9" cacheId="94" applyNumberFormats="0" applyBorderFormats="0" applyFontFormats="0" applyPatternFormats="0" applyAlignmentFormats="0" applyWidthHeightFormats="0" dataCaption="" updatedVersion="8" compact="0" compactData="0">
  <location ref="I38:J41" firstHeaderRow="1" firstDataRow="1" firstDataCol="1"/>
  <pivotFields count="19">
    <pivotField name="NO" compact="0" outline="0" multipleItemSelectionAllowed="1" showAll="0"/>
    <pivotField name="NAMA" compact="0" outline="0" multipleItemSelectionAllowed="1" showAll="0"/>
    <pivotField name="NIP" compact="0" outline="0" multipleItemSelectionAllowed="1" showAll="0"/>
    <pivotField name="JK" compact="0" outline="0" multipleItemSelectionAllowed="1" showAll="0"/>
    <pivotField name="TEMPAT LAHIR" compact="0" outline="0" multipleItemSelectionAllowed="1" showAll="0"/>
    <pivotField name="TANGGAL LAHIR" compact="0" numFmtId="14" outline="0" multipleItemSelectionAllowed="1" showAll="0"/>
    <pivotField name="JABATAN" compact="0" outline="0" multipleItemSelectionAllowed="1" showAll="0"/>
    <pivotField name="TMT" compact="0" numFmtId="14" outline="0" multipleItemSelectionAllowed="1" showAll="0"/>
    <pivotField name="GOLONGAN" compact="0" numFmtId="14" outline="0" multipleItemSelectionAllowed="1" showAll="0"/>
    <pivotField name="JABATAN TAMBAHAN" compact="0" outline="0" multipleItemSelectionAllowed="1" showAll="0"/>
    <pivotField name="tmt2" compact="0" outline="0" multipleItemSelectionAllowed="1" showAll="0"/>
    <pivotField name="PDDK" axis="axisRow" dataField="1" compact="0" outline="0" multipleItemSelectionAllowed="1" showAll="0" sortType="ascending">
      <items count="3">
        <item x="0"/>
        <item x="1"/>
        <item t="default"/>
      </items>
    </pivotField>
    <pivotField name="JURUSAN/TEMPAT PDDK" compact="0" outline="0" multipleItemSelectionAllowed="1" showAll="0"/>
    <pivotField name="NIDN" compact="0" outline="0" multipleItemSelectionAllowed="1" showAll="0"/>
    <pivotField name="SERTIFIKASI" compact="0" outline="0" multipleItemSelectionAllowed="1" showAll="0"/>
    <pivotField name="NIK" compact="0" numFmtId="49" outline="0" multipleItemSelectionAllowed="1" showAll="0"/>
    <pivotField name="UNIT KERJA" compact="0" numFmtId="2" outline="0" multipleItemSelectionAllowed="1" showAll="0"/>
    <pivotField name="PROGRAM STUDI " compact="0" outline="0" multipleItemSelectionAllowed="1" showAll="0"/>
    <pivotField name="MATA KULIAH/BIDANG ILMU PADA SAAT MENJADI DTPNS" compact="0" outline="0" multipleItemSelectionAllowed="1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PDDK DOSEN P3K" fld="1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rekap 4" cacheId="94" applyNumberFormats="0" applyBorderFormats="0" applyFontFormats="0" applyPatternFormats="0" applyAlignmentFormats="0" applyWidthHeightFormats="0" dataCaption="" updatedVersion="8" compact="0" compactData="0">
  <location ref="A14:B17" firstHeaderRow="1" firstDataRow="1" firstDataCol="1"/>
  <pivotFields count="19">
    <pivotField name="NO" compact="0" outline="0" multipleItemSelectionAllowed="1" showAll="0"/>
    <pivotField name="NAMA" compact="0" outline="0" multipleItemSelectionAllowed="1" showAll="0"/>
    <pivotField name="NIP" compact="0" outline="0" multipleItemSelectionAllowed="1" showAll="0"/>
    <pivotField name="JK" axis="axisRow" dataField="1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numFmtId="14" outline="0" multipleItemSelectionAllowed="1" showAll="0"/>
    <pivotField name="JABATAN" compact="0" outline="0" multipleItemSelectionAllowed="1" showAll="0"/>
    <pivotField name="TMT" compact="0" numFmtId="14" outline="0" multipleItemSelectionAllowed="1" showAll="0"/>
    <pivotField name="GOLONGAN" compact="0" numFmtId="14" outline="0" multipleItemSelectionAllowed="1" showAll="0"/>
    <pivotField name="JABATAN TAMBAHAN" compact="0" outline="0" multipleItemSelectionAllowed="1" showAll="0"/>
    <pivotField name="tmt2" compact="0" outline="0" multipleItemSelectionAllowed="1" showAll="0"/>
    <pivotField name="PDDK" compact="0" outline="0" multipleItemSelectionAllowed="1" showAll="0"/>
    <pivotField name="JURUSAN/TEMPAT PDDK" compact="0" outline="0" multipleItemSelectionAllowed="1" showAll="0"/>
    <pivotField name="NIDN" compact="0" outline="0" multipleItemSelectionAllowed="1" showAll="0"/>
    <pivotField name="SERTIFIKASI" compact="0" outline="0" multipleItemSelectionAllowed="1" showAll="0"/>
    <pivotField name="NIK" compact="0" numFmtId="49" outline="0" multipleItemSelectionAllowed="1" showAll="0"/>
    <pivotField name="UNIT KERJA" compact="0" numFmtId="2" outline="0" multipleItemSelectionAllowed="1" showAll="0"/>
    <pivotField name="PROGRAM STUDI " compact="0" outline="0" multipleItemSelectionAllowed="1" showAll="0"/>
    <pivotField name="MATA KULIAH/BIDANG ILMU PADA SAAT MENJADI DTPNS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JK DOSEN P3K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iskandar.zulkarnain@uin-suka.ac.id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Z1000"/>
  <sheetViews>
    <sheetView tabSelected="1" workbookViewId="0"/>
  </sheetViews>
  <sheetFormatPr defaultColWidth="14.42578125" defaultRowHeight="15" customHeight="1" x14ac:dyDescent="0.25"/>
  <cols>
    <col min="1" max="1" width="7.42578125" customWidth="1"/>
    <col min="2" max="2" width="26.7109375" customWidth="1"/>
    <col min="3" max="3" width="16" customWidth="1"/>
    <col min="4" max="4" width="15" customWidth="1"/>
    <col min="5" max="5" width="36.42578125" customWidth="1"/>
    <col min="6" max="6" width="29.7109375" customWidth="1"/>
    <col min="7" max="7" width="5.85546875" customWidth="1"/>
    <col min="8" max="8" width="26.140625" customWidth="1"/>
    <col min="9" max="9" width="22.7109375" customWidth="1"/>
    <col min="10" max="10" width="29.42578125" customWidth="1"/>
    <col min="11" max="11" width="34.5703125" customWidth="1"/>
    <col min="12" max="12" width="24.140625" customWidth="1"/>
    <col min="13" max="13" width="41.85546875" customWidth="1"/>
    <col min="14" max="26" width="8" customWidth="1"/>
  </cols>
  <sheetData>
    <row r="1" spans="1:26" x14ac:dyDescent="0.25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</row>
    <row r="2" spans="1:26" x14ac:dyDescent="0.25">
      <c r="A2" s="1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</row>
    <row r="3" spans="1:26" x14ac:dyDescent="0.25">
      <c r="A3" s="3" t="s">
        <v>0</v>
      </c>
      <c r="B3" s="4" t="s">
        <v>1</v>
      </c>
      <c r="C3" s="5" t="s">
        <v>2</v>
      </c>
      <c r="D3" s="5" t="s">
        <v>3</v>
      </c>
      <c r="E3" s="5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</row>
    <row r="4" spans="1:26" ht="30.75" customHeight="1" x14ac:dyDescent="0.3">
      <c r="A4" s="5">
        <v>1</v>
      </c>
      <c r="B4" s="6" t="s">
        <v>13</v>
      </c>
      <c r="C4" s="7" t="s">
        <v>14</v>
      </c>
      <c r="D4" s="8" t="s">
        <v>15</v>
      </c>
      <c r="E4" s="5" t="s">
        <v>16</v>
      </c>
      <c r="F4" s="9" t="s">
        <v>17</v>
      </c>
      <c r="G4" s="10" t="s">
        <v>18</v>
      </c>
      <c r="H4" s="5" t="s">
        <v>19</v>
      </c>
      <c r="I4" s="10" t="s">
        <v>20</v>
      </c>
      <c r="J4" s="9" t="s">
        <v>21</v>
      </c>
      <c r="K4" s="11" t="s">
        <v>22</v>
      </c>
      <c r="L4" s="12" t="s">
        <v>23</v>
      </c>
      <c r="M4" s="9" t="s">
        <v>24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0.75" customHeight="1" x14ac:dyDescent="0.3">
      <c r="A5" s="5">
        <v>2</v>
      </c>
      <c r="B5" s="6" t="s">
        <v>25</v>
      </c>
      <c r="C5" s="7" t="s">
        <v>14</v>
      </c>
      <c r="D5" s="8" t="s">
        <v>15</v>
      </c>
      <c r="E5" s="5" t="s">
        <v>16</v>
      </c>
      <c r="F5" s="9" t="s">
        <v>26</v>
      </c>
      <c r="G5" s="10" t="s">
        <v>18</v>
      </c>
      <c r="H5" s="5" t="s">
        <v>27</v>
      </c>
      <c r="I5" s="10" t="s">
        <v>28</v>
      </c>
      <c r="J5" s="9" t="s">
        <v>29</v>
      </c>
      <c r="K5" s="11" t="s">
        <v>30</v>
      </c>
      <c r="L5" s="12" t="s">
        <v>23</v>
      </c>
      <c r="M5" s="9" t="s">
        <v>31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30.75" customHeight="1" x14ac:dyDescent="0.3">
      <c r="A6" s="5">
        <v>3</v>
      </c>
      <c r="B6" s="6" t="s">
        <v>32</v>
      </c>
      <c r="C6" s="7" t="s">
        <v>14</v>
      </c>
      <c r="D6" s="8" t="s">
        <v>15</v>
      </c>
      <c r="E6" s="5" t="s">
        <v>16</v>
      </c>
      <c r="F6" s="9" t="s">
        <v>33</v>
      </c>
      <c r="G6" s="10" t="s">
        <v>18</v>
      </c>
      <c r="H6" s="5" t="s">
        <v>34</v>
      </c>
      <c r="I6" s="10" t="s">
        <v>35</v>
      </c>
      <c r="J6" s="9" t="s">
        <v>36</v>
      </c>
      <c r="K6" s="11" t="s">
        <v>37</v>
      </c>
      <c r="L6" s="12" t="s">
        <v>23</v>
      </c>
      <c r="M6" s="9" t="s">
        <v>31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.75" customHeight="1" x14ac:dyDescent="0.3">
      <c r="A7" s="5">
        <v>4</v>
      </c>
      <c r="B7" s="6" t="s">
        <v>38</v>
      </c>
      <c r="C7" s="7" t="s">
        <v>14</v>
      </c>
      <c r="D7" s="8" t="s">
        <v>15</v>
      </c>
      <c r="E7" s="5" t="s">
        <v>16</v>
      </c>
      <c r="F7" s="9" t="s">
        <v>39</v>
      </c>
      <c r="G7" s="10" t="s">
        <v>18</v>
      </c>
      <c r="H7" s="5" t="s">
        <v>40</v>
      </c>
      <c r="I7" s="10" t="s">
        <v>41</v>
      </c>
      <c r="J7" s="9" t="s">
        <v>42</v>
      </c>
      <c r="K7" s="11" t="s">
        <v>43</v>
      </c>
      <c r="L7" s="12" t="s">
        <v>23</v>
      </c>
      <c r="M7" s="9" t="s">
        <v>31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30.75" customHeight="1" x14ac:dyDescent="0.3">
      <c r="A8" s="5">
        <v>5</v>
      </c>
      <c r="B8" s="6" t="s">
        <v>44</v>
      </c>
      <c r="C8" s="7" t="s">
        <v>14</v>
      </c>
      <c r="D8" s="8" t="s">
        <v>15</v>
      </c>
      <c r="E8" s="5" t="s">
        <v>16</v>
      </c>
      <c r="F8" s="9" t="s">
        <v>45</v>
      </c>
      <c r="G8" s="10" t="s">
        <v>46</v>
      </c>
      <c r="H8" s="5" t="s">
        <v>47</v>
      </c>
      <c r="I8" s="10" t="s">
        <v>48</v>
      </c>
      <c r="J8" s="9" t="s">
        <v>49</v>
      </c>
      <c r="K8" s="11" t="s">
        <v>50</v>
      </c>
      <c r="L8" s="12" t="s">
        <v>51</v>
      </c>
      <c r="M8" s="9" t="s">
        <v>31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.75" customHeight="1" x14ac:dyDescent="0.3">
      <c r="A9" s="5">
        <v>6</v>
      </c>
      <c r="B9" s="6" t="s">
        <v>52</v>
      </c>
      <c r="C9" s="7" t="s">
        <v>14</v>
      </c>
      <c r="D9" s="8" t="s">
        <v>15</v>
      </c>
      <c r="E9" s="5" t="s">
        <v>16</v>
      </c>
      <c r="F9" s="9" t="s">
        <v>53</v>
      </c>
      <c r="G9" s="10" t="s">
        <v>18</v>
      </c>
      <c r="H9" s="10" t="s">
        <v>54</v>
      </c>
      <c r="I9" s="10" t="s">
        <v>55</v>
      </c>
      <c r="J9" s="9" t="s">
        <v>56</v>
      </c>
      <c r="K9" s="14" t="s">
        <v>57</v>
      </c>
      <c r="L9" s="12" t="s">
        <v>51</v>
      </c>
      <c r="M9" s="9" t="s">
        <v>58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.75" customHeight="1" x14ac:dyDescent="0.3">
      <c r="A10" s="5">
        <v>7</v>
      </c>
      <c r="B10" s="6" t="s">
        <v>59</v>
      </c>
      <c r="C10" s="7" t="s">
        <v>14</v>
      </c>
      <c r="D10" s="8" t="s">
        <v>15</v>
      </c>
      <c r="E10" s="5" t="s">
        <v>16</v>
      </c>
      <c r="F10" s="9" t="s">
        <v>60</v>
      </c>
      <c r="G10" s="10" t="s">
        <v>46</v>
      </c>
      <c r="H10" s="10" t="s">
        <v>61</v>
      </c>
      <c r="I10" s="5" t="s">
        <v>62</v>
      </c>
      <c r="J10" s="12" t="s">
        <v>63</v>
      </c>
      <c r="K10" s="11" t="s">
        <v>64</v>
      </c>
      <c r="L10" s="12" t="s">
        <v>65</v>
      </c>
      <c r="M10" s="9" t="s">
        <v>66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0.75" customHeight="1" x14ac:dyDescent="0.3">
      <c r="A11" s="5">
        <v>8</v>
      </c>
      <c r="B11" s="6" t="s">
        <v>67</v>
      </c>
      <c r="C11" s="7" t="s">
        <v>14</v>
      </c>
      <c r="D11" s="8" t="s">
        <v>15</v>
      </c>
      <c r="E11" s="5" t="s">
        <v>16</v>
      </c>
      <c r="F11" s="9" t="s">
        <v>68</v>
      </c>
      <c r="G11" s="10" t="s">
        <v>46</v>
      </c>
      <c r="H11" s="10" t="s">
        <v>69</v>
      </c>
      <c r="I11" s="10" t="s">
        <v>70</v>
      </c>
      <c r="J11" s="9" t="s">
        <v>71</v>
      </c>
      <c r="K11" s="11" t="s">
        <v>72</v>
      </c>
      <c r="L11" s="12" t="s">
        <v>65</v>
      </c>
      <c r="M11" s="9" t="s">
        <v>73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.75" customHeight="1" x14ac:dyDescent="0.3">
      <c r="A12" s="5">
        <v>9</v>
      </c>
      <c r="B12" s="6" t="s">
        <v>74</v>
      </c>
      <c r="C12" s="7" t="s">
        <v>14</v>
      </c>
      <c r="D12" s="8" t="s">
        <v>15</v>
      </c>
      <c r="E12" s="5" t="s">
        <v>16</v>
      </c>
      <c r="F12" s="9" t="s">
        <v>75</v>
      </c>
      <c r="G12" s="10" t="s">
        <v>46</v>
      </c>
      <c r="H12" s="10" t="s">
        <v>76</v>
      </c>
      <c r="I12" s="10" t="s">
        <v>77</v>
      </c>
      <c r="J12" s="9" t="s">
        <v>78</v>
      </c>
      <c r="K12" s="11" t="s">
        <v>79</v>
      </c>
      <c r="L12" s="12" t="s">
        <v>80</v>
      </c>
      <c r="M12" s="9" t="s">
        <v>81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.75" customHeight="1" x14ac:dyDescent="0.3">
      <c r="A13" s="5">
        <v>10</v>
      </c>
      <c r="B13" s="6" t="s">
        <v>82</v>
      </c>
      <c r="C13" s="7" t="s">
        <v>14</v>
      </c>
      <c r="D13" s="8" t="s">
        <v>15</v>
      </c>
      <c r="E13" s="5" t="s">
        <v>16</v>
      </c>
      <c r="F13" s="9" t="s">
        <v>83</v>
      </c>
      <c r="G13" s="10" t="s">
        <v>46</v>
      </c>
      <c r="H13" s="10" t="s">
        <v>84</v>
      </c>
      <c r="I13" s="10" t="s">
        <v>85</v>
      </c>
      <c r="J13" s="9" t="s">
        <v>86</v>
      </c>
      <c r="K13" s="11" t="s">
        <v>87</v>
      </c>
      <c r="L13" s="12" t="s">
        <v>51</v>
      </c>
      <c r="M13" s="9" t="s">
        <v>24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.75" customHeight="1" x14ac:dyDescent="0.3">
      <c r="A14" s="5">
        <v>11</v>
      </c>
      <c r="B14" s="6" t="s">
        <v>88</v>
      </c>
      <c r="C14" s="7" t="s">
        <v>14</v>
      </c>
      <c r="D14" s="8" t="s">
        <v>15</v>
      </c>
      <c r="E14" s="5" t="s">
        <v>16</v>
      </c>
      <c r="F14" s="9" t="s">
        <v>89</v>
      </c>
      <c r="G14" s="10" t="s">
        <v>18</v>
      </c>
      <c r="H14" s="10" t="s">
        <v>90</v>
      </c>
      <c r="I14" s="10" t="s">
        <v>91</v>
      </c>
      <c r="J14" s="9" t="s">
        <v>92</v>
      </c>
      <c r="K14" s="11" t="s">
        <v>93</v>
      </c>
      <c r="L14" s="12" t="s">
        <v>94</v>
      </c>
      <c r="M14" s="9" t="s">
        <v>31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0.75" customHeight="1" x14ac:dyDescent="0.3">
      <c r="A15" s="5">
        <v>12</v>
      </c>
      <c r="B15" s="6" t="s">
        <v>95</v>
      </c>
      <c r="C15" s="7" t="s">
        <v>14</v>
      </c>
      <c r="D15" s="8" t="s">
        <v>15</v>
      </c>
      <c r="E15" s="5" t="s">
        <v>16</v>
      </c>
      <c r="F15" s="9" t="s">
        <v>96</v>
      </c>
      <c r="G15" s="10" t="s">
        <v>18</v>
      </c>
      <c r="H15" s="10" t="s">
        <v>97</v>
      </c>
      <c r="I15" s="10" t="s">
        <v>98</v>
      </c>
      <c r="J15" s="9" t="s">
        <v>99</v>
      </c>
      <c r="K15" s="11" t="s">
        <v>100</v>
      </c>
      <c r="L15" s="9" t="s">
        <v>101</v>
      </c>
      <c r="M15" s="9" t="s">
        <v>102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.75" customHeight="1" x14ac:dyDescent="0.3">
      <c r="A16" s="5">
        <v>13</v>
      </c>
      <c r="B16" s="6" t="s">
        <v>103</v>
      </c>
      <c r="C16" s="7" t="s">
        <v>14</v>
      </c>
      <c r="D16" s="8" t="s">
        <v>15</v>
      </c>
      <c r="E16" s="5" t="s">
        <v>16</v>
      </c>
      <c r="F16" s="9" t="s">
        <v>104</v>
      </c>
      <c r="G16" s="10" t="s">
        <v>46</v>
      </c>
      <c r="H16" s="10" t="s">
        <v>105</v>
      </c>
      <c r="I16" s="10" t="s">
        <v>106</v>
      </c>
      <c r="J16" s="9" t="s">
        <v>107</v>
      </c>
      <c r="K16" s="11" t="s">
        <v>108</v>
      </c>
      <c r="L16" s="9" t="s">
        <v>101</v>
      </c>
      <c r="M16" s="9" t="s">
        <v>24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.75" customHeight="1" x14ac:dyDescent="0.3">
      <c r="A17" s="5">
        <v>14</v>
      </c>
      <c r="B17" s="6" t="s">
        <v>109</v>
      </c>
      <c r="C17" s="7" t="s">
        <v>14</v>
      </c>
      <c r="D17" s="8" t="s">
        <v>15</v>
      </c>
      <c r="E17" s="5" t="s">
        <v>16</v>
      </c>
      <c r="F17" s="9" t="s">
        <v>110</v>
      </c>
      <c r="G17" s="10" t="s">
        <v>18</v>
      </c>
      <c r="H17" s="10" t="s">
        <v>111</v>
      </c>
      <c r="I17" s="10" t="s">
        <v>112</v>
      </c>
      <c r="J17" s="9" t="s">
        <v>113</v>
      </c>
      <c r="K17" s="11" t="s">
        <v>114</v>
      </c>
      <c r="L17" s="12" t="s">
        <v>115</v>
      </c>
      <c r="M17" s="9" t="s">
        <v>116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.75" customHeight="1" x14ac:dyDescent="0.3">
      <c r="A18" s="5">
        <v>15</v>
      </c>
      <c r="B18" s="6" t="s">
        <v>117</v>
      </c>
      <c r="C18" s="7" t="s">
        <v>14</v>
      </c>
      <c r="D18" s="8" t="s">
        <v>15</v>
      </c>
      <c r="E18" s="5" t="s">
        <v>16</v>
      </c>
      <c r="F18" s="9" t="s">
        <v>118</v>
      </c>
      <c r="G18" s="10" t="s">
        <v>18</v>
      </c>
      <c r="H18" s="10" t="s">
        <v>119</v>
      </c>
      <c r="I18" s="10" t="s">
        <v>120</v>
      </c>
      <c r="J18" s="9" t="s">
        <v>121</v>
      </c>
      <c r="K18" s="11" t="s">
        <v>122</v>
      </c>
      <c r="L18" s="12" t="s">
        <v>115</v>
      </c>
      <c r="M18" s="9" t="s">
        <v>116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.75" customHeight="1" x14ac:dyDescent="0.3">
      <c r="A19" s="5">
        <v>16</v>
      </c>
      <c r="B19" s="6" t="s">
        <v>123</v>
      </c>
      <c r="C19" s="7" t="s">
        <v>14</v>
      </c>
      <c r="D19" s="8" t="s">
        <v>15</v>
      </c>
      <c r="E19" s="5" t="s">
        <v>16</v>
      </c>
      <c r="F19" s="9" t="s">
        <v>124</v>
      </c>
      <c r="G19" s="10" t="s">
        <v>46</v>
      </c>
      <c r="H19" s="10" t="s">
        <v>125</v>
      </c>
      <c r="I19" s="10" t="s">
        <v>126</v>
      </c>
      <c r="J19" s="9" t="s">
        <v>127</v>
      </c>
      <c r="K19" s="11" t="s">
        <v>128</v>
      </c>
      <c r="L19" s="12" t="s">
        <v>115</v>
      </c>
      <c r="M19" s="9" t="s">
        <v>116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.75" customHeight="1" x14ac:dyDescent="0.3">
      <c r="A20" s="5">
        <v>17</v>
      </c>
      <c r="B20" s="6" t="s">
        <v>129</v>
      </c>
      <c r="C20" s="7" t="s">
        <v>14</v>
      </c>
      <c r="D20" s="8" t="s">
        <v>15</v>
      </c>
      <c r="E20" s="5" t="s">
        <v>16</v>
      </c>
      <c r="F20" s="9" t="s">
        <v>130</v>
      </c>
      <c r="G20" s="10" t="s">
        <v>46</v>
      </c>
      <c r="H20" s="10" t="s">
        <v>131</v>
      </c>
      <c r="I20" s="10" t="s">
        <v>132</v>
      </c>
      <c r="J20" s="9" t="s">
        <v>133</v>
      </c>
      <c r="K20" s="11" t="s">
        <v>134</v>
      </c>
      <c r="L20" s="12" t="s">
        <v>135</v>
      </c>
      <c r="M20" s="9" t="s">
        <v>136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.75" customHeight="1" x14ac:dyDescent="0.3">
      <c r="A21" s="5">
        <v>18</v>
      </c>
      <c r="B21" s="6" t="s">
        <v>137</v>
      </c>
      <c r="C21" s="7" t="s">
        <v>14</v>
      </c>
      <c r="D21" s="8" t="s">
        <v>15</v>
      </c>
      <c r="E21" s="5" t="s">
        <v>16</v>
      </c>
      <c r="F21" s="9" t="s">
        <v>138</v>
      </c>
      <c r="G21" s="10" t="s">
        <v>46</v>
      </c>
      <c r="H21" s="10" t="s">
        <v>139</v>
      </c>
      <c r="I21" s="10" t="s">
        <v>140</v>
      </c>
      <c r="J21" s="9" t="s">
        <v>141</v>
      </c>
      <c r="K21" s="11" t="s">
        <v>142</v>
      </c>
      <c r="L21" s="12" t="s">
        <v>65</v>
      </c>
      <c r="M21" s="9" t="s">
        <v>143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.75" customHeight="1" x14ac:dyDescent="0.3">
      <c r="A22" s="5">
        <v>19</v>
      </c>
      <c r="B22" s="6" t="s">
        <v>144</v>
      </c>
      <c r="C22" s="7" t="s">
        <v>14</v>
      </c>
      <c r="D22" s="8" t="s">
        <v>15</v>
      </c>
      <c r="E22" s="5" t="s">
        <v>16</v>
      </c>
      <c r="F22" s="9" t="s">
        <v>145</v>
      </c>
      <c r="G22" s="10" t="s">
        <v>46</v>
      </c>
      <c r="H22" s="10" t="s">
        <v>146</v>
      </c>
      <c r="I22" s="10" t="s">
        <v>147</v>
      </c>
      <c r="J22" s="9" t="s">
        <v>148</v>
      </c>
      <c r="K22" s="11" t="s">
        <v>149</v>
      </c>
      <c r="L22" s="12" t="s">
        <v>65</v>
      </c>
      <c r="M22" s="9" t="s">
        <v>150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.75" customHeight="1" x14ac:dyDescent="0.3">
      <c r="A23" s="5">
        <v>20</v>
      </c>
      <c r="B23" s="6" t="s">
        <v>151</v>
      </c>
      <c r="C23" s="7" t="s">
        <v>14</v>
      </c>
      <c r="D23" s="8" t="s">
        <v>15</v>
      </c>
      <c r="E23" s="5" t="s">
        <v>16</v>
      </c>
      <c r="F23" s="12" t="s">
        <v>152</v>
      </c>
      <c r="G23" s="10" t="s">
        <v>18</v>
      </c>
      <c r="H23" s="5" t="s">
        <v>153</v>
      </c>
      <c r="I23" s="5" t="s">
        <v>154</v>
      </c>
      <c r="J23" s="12" t="s">
        <v>155</v>
      </c>
      <c r="K23" s="9" t="s">
        <v>156</v>
      </c>
      <c r="L23" s="12" t="s">
        <v>157</v>
      </c>
      <c r="M23" s="9" t="s">
        <v>102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.75" customHeight="1" x14ac:dyDescent="0.3">
      <c r="A24" s="5">
        <v>21</v>
      </c>
      <c r="B24" s="6" t="s">
        <v>158</v>
      </c>
      <c r="C24" s="7" t="s">
        <v>14</v>
      </c>
      <c r="D24" s="8" t="s">
        <v>15</v>
      </c>
      <c r="E24" s="5" t="s">
        <v>16</v>
      </c>
      <c r="F24" s="12" t="s">
        <v>159</v>
      </c>
      <c r="G24" s="10" t="s">
        <v>18</v>
      </c>
      <c r="H24" s="5" t="s">
        <v>160</v>
      </c>
      <c r="I24" s="15" t="s">
        <v>161</v>
      </c>
      <c r="J24" s="12" t="s">
        <v>162</v>
      </c>
      <c r="K24" s="9" t="s">
        <v>163</v>
      </c>
      <c r="L24" s="12" t="s">
        <v>51</v>
      </c>
      <c r="M24" s="12" t="s">
        <v>164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.75" customHeight="1" x14ac:dyDescent="0.3">
      <c r="A25" s="5">
        <v>22</v>
      </c>
      <c r="B25" s="6" t="s">
        <v>165</v>
      </c>
      <c r="C25" s="7" t="s">
        <v>14</v>
      </c>
      <c r="D25" s="8" t="s">
        <v>15</v>
      </c>
      <c r="E25" s="5" t="s">
        <v>16</v>
      </c>
      <c r="F25" s="14" t="s">
        <v>166</v>
      </c>
      <c r="G25" s="10" t="s">
        <v>18</v>
      </c>
      <c r="H25" s="5" t="s">
        <v>167</v>
      </c>
      <c r="I25" s="5" t="s">
        <v>168</v>
      </c>
      <c r="J25" s="14" t="s">
        <v>169</v>
      </c>
      <c r="K25" s="11" t="s">
        <v>170</v>
      </c>
      <c r="L25" s="12" t="s">
        <v>51</v>
      </c>
      <c r="M25" s="11" t="s">
        <v>58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.75" customHeight="1" x14ac:dyDescent="0.3">
      <c r="A26" s="5">
        <v>23</v>
      </c>
      <c r="B26" s="6" t="s">
        <v>171</v>
      </c>
      <c r="C26" s="7" t="s">
        <v>14</v>
      </c>
      <c r="D26" s="8" t="s">
        <v>15</v>
      </c>
      <c r="E26" s="5" t="s">
        <v>16</v>
      </c>
      <c r="F26" s="14" t="s">
        <v>172</v>
      </c>
      <c r="G26" s="10" t="s">
        <v>46</v>
      </c>
      <c r="H26" s="5" t="s">
        <v>173</v>
      </c>
      <c r="I26" s="15" t="s">
        <v>174</v>
      </c>
      <c r="J26" s="14" t="s">
        <v>175</v>
      </c>
      <c r="K26" s="11" t="s">
        <v>170</v>
      </c>
      <c r="L26" s="12" t="s">
        <v>51</v>
      </c>
      <c r="M26" s="11" t="s">
        <v>176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.75" customHeight="1" x14ac:dyDescent="0.3">
      <c r="A27" s="5">
        <v>24</v>
      </c>
      <c r="B27" s="6" t="s">
        <v>177</v>
      </c>
      <c r="C27" s="7" t="s">
        <v>14</v>
      </c>
      <c r="D27" s="8" t="s">
        <v>15</v>
      </c>
      <c r="E27" s="5" t="s">
        <v>16</v>
      </c>
      <c r="F27" s="14" t="s">
        <v>178</v>
      </c>
      <c r="G27" s="10" t="s">
        <v>46</v>
      </c>
      <c r="H27" s="5" t="s">
        <v>179</v>
      </c>
      <c r="I27" s="5" t="s">
        <v>180</v>
      </c>
      <c r="J27" s="14" t="s">
        <v>181</v>
      </c>
      <c r="K27" s="11" t="s">
        <v>182</v>
      </c>
      <c r="L27" s="12" t="s">
        <v>51</v>
      </c>
      <c r="M27" s="11" t="s">
        <v>150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.75" customHeight="1" x14ac:dyDescent="0.3">
      <c r="A28" s="5">
        <v>25</v>
      </c>
      <c r="B28" s="6" t="s">
        <v>183</v>
      </c>
      <c r="C28" s="7" t="s">
        <v>14</v>
      </c>
      <c r="D28" s="8" t="s">
        <v>15</v>
      </c>
      <c r="E28" s="5" t="s">
        <v>16</v>
      </c>
      <c r="F28" s="14" t="s">
        <v>184</v>
      </c>
      <c r="G28" s="10" t="s">
        <v>46</v>
      </c>
      <c r="H28" s="5" t="s">
        <v>185</v>
      </c>
      <c r="I28" s="15" t="s">
        <v>186</v>
      </c>
      <c r="J28" s="14" t="s">
        <v>187</v>
      </c>
      <c r="K28" s="11" t="s">
        <v>182</v>
      </c>
      <c r="L28" s="12" t="s">
        <v>51</v>
      </c>
      <c r="M28" s="11" t="s">
        <v>66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.75" customHeight="1" x14ac:dyDescent="0.3">
      <c r="A29" s="5">
        <v>26</v>
      </c>
      <c r="B29" s="6" t="s">
        <v>188</v>
      </c>
      <c r="C29" s="7" t="s">
        <v>14</v>
      </c>
      <c r="D29" s="8" t="s">
        <v>15</v>
      </c>
      <c r="E29" s="5" t="s">
        <v>16</v>
      </c>
      <c r="F29" s="16" t="s">
        <v>189</v>
      </c>
      <c r="G29" s="10" t="s">
        <v>46</v>
      </c>
      <c r="H29" s="5" t="s">
        <v>190</v>
      </c>
      <c r="I29" s="15" t="s">
        <v>191</v>
      </c>
      <c r="J29" s="16" t="s">
        <v>192</v>
      </c>
      <c r="K29" s="17" t="s">
        <v>193</v>
      </c>
      <c r="L29" s="12" t="s">
        <v>51</v>
      </c>
      <c r="M29" s="9" t="s">
        <v>81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.75" customHeight="1" x14ac:dyDescent="0.3">
      <c r="A30" s="5">
        <v>27</v>
      </c>
      <c r="B30" s="6" t="s">
        <v>194</v>
      </c>
      <c r="C30" s="7" t="s">
        <v>14</v>
      </c>
      <c r="D30" s="8" t="s">
        <v>15</v>
      </c>
      <c r="E30" s="5" t="s">
        <v>16</v>
      </c>
      <c r="F30" s="12" t="s">
        <v>195</v>
      </c>
      <c r="G30" s="10" t="s">
        <v>46</v>
      </c>
      <c r="H30" s="5" t="s">
        <v>196</v>
      </c>
      <c r="I30" s="15" t="s">
        <v>197</v>
      </c>
      <c r="J30" s="12" t="s">
        <v>198</v>
      </c>
      <c r="K30" s="9" t="s">
        <v>199</v>
      </c>
      <c r="L30" s="12" t="s">
        <v>51</v>
      </c>
      <c r="M30" s="18" t="s">
        <v>200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.75" customHeight="1" x14ac:dyDescent="0.3">
      <c r="A31" s="5">
        <v>28</v>
      </c>
      <c r="B31" s="6" t="s">
        <v>201</v>
      </c>
      <c r="C31" s="7" t="s">
        <v>14</v>
      </c>
      <c r="D31" s="8" t="s">
        <v>15</v>
      </c>
      <c r="E31" s="5" t="s">
        <v>16</v>
      </c>
      <c r="F31" s="14" t="s">
        <v>202</v>
      </c>
      <c r="G31" s="10" t="s">
        <v>18</v>
      </c>
      <c r="H31" s="5" t="s">
        <v>203</v>
      </c>
      <c r="I31" s="15" t="s">
        <v>204</v>
      </c>
      <c r="J31" s="14" t="s">
        <v>205</v>
      </c>
      <c r="K31" s="11" t="s">
        <v>206</v>
      </c>
      <c r="L31" s="12" t="s">
        <v>51</v>
      </c>
      <c r="M31" s="11" t="s">
        <v>207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.75" customHeight="1" x14ac:dyDescent="0.3">
      <c r="A32" s="5">
        <v>29</v>
      </c>
      <c r="B32" s="6" t="s">
        <v>208</v>
      </c>
      <c r="C32" s="7" t="s">
        <v>14</v>
      </c>
      <c r="D32" s="8" t="s">
        <v>15</v>
      </c>
      <c r="E32" s="5" t="s">
        <v>16</v>
      </c>
      <c r="F32" s="9" t="s">
        <v>209</v>
      </c>
      <c r="G32" s="10" t="s">
        <v>18</v>
      </c>
      <c r="H32" s="10" t="s">
        <v>210</v>
      </c>
      <c r="I32" s="10" t="s">
        <v>211</v>
      </c>
      <c r="J32" s="9" t="s">
        <v>212</v>
      </c>
      <c r="K32" s="11" t="s">
        <v>213</v>
      </c>
      <c r="L32" s="12" t="s">
        <v>157</v>
      </c>
      <c r="M32" s="9" t="s">
        <v>102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.75" customHeight="1" x14ac:dyDescent="0.3">
      <c r="A33" s="5">
        <v>30</v>
      </c>
      <c r="B33" s="6" t="s">
        <v>214</v>
      </c>
      <c r="C33" s="7" t="s">
        <v>14</v>
      </c>
      <c r="D33" s="8" t="s">
        <v>15</v>
      </c>
      <c r="E33" s="5" t="s">
        <v>16</v>
      </c>
      <c r="F33" s="9" t="s">
        <v>215</v>
      </c>
      <c r="G33" s="10" t="s">
        <v>18</v>
      </c>
      <c r="H33" s="10" t="s">
        <v>216</v>
      </c>
      <c r="I33" s="10" t="s">
        <v>217</v>
      </c>
      <c r="J33" s="9" t="s">
        <v>218</v>
      </c>
      <c r="K33" s="11" t="s">
        <v>219</v>
      </c>
      <c r="L33" s="12" t="s">
        <v>23</v>
      </c>
      <c r="M33" s="9" t="s">
        <v>31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.75" customHeight="1" x14ac:dyDescent="0.3">
      <c r="A34" s="5">
        <v>31</v>
      </c>
      <c r="B34" s="6" t="s">
        <v>220</v>
      </c>
      <c r="C34" s="7" t="s">
        <v>14</v>
      </c>
      <c r="D34" s="8" t="s">
        <v>15</v>
      </c>
      <c r="E34" s="5" t="s">
        <v>16</v>
      </c>
      <c r="F34" s="12" t="s">
        <v>221</v>
      </c>
      <c r="G34" s="10" t="s">
        <v>46</v>
      </c>
      <c r="H34" s="5" t="s">
        <v>222</v>
      </c>
      <c r="I34" s="5" t="s">
        <v>223</v>
      </c>
      <c r="J34" s="12" t="s">
        <v>224</v>
      </c>
      <c r="K34" s="12" t="s">
        <v>225</v>
      </c>
      <c r="L34" s="12" t="s">
        <v>80</v>
      </c>
      <c r="M34" s="9" t="s">
        <v>226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.75" customHeight="1" x14ac:dyDescent="0.3">
      <c r="A35" s="5">
        <v>32</v>
      </c>
      <c r="B35" s="6" t="s">
        <v>227</v>
      </c>
      <c r="C35" s="7" t="s">
        <v>14</v>
      </c>
      <c r="D35" s="8" t="s">
        <v>15</v>
      </c>
      <c r="E35" s="5" t="s">
        <v>16</v>
      </c>
      <c r="F35" s="12" t="s">
        <v>228</v>
      </c>
      <c r="G35" s="10" t="s">
        <v>18</v>
      </c>
      <c r="H35" s="5" t="s">
        <v>229</v>
      </c>
      <c r="I35" s="5" t="s">
        <v>230</v>
      </c>
      <c r="J35" s="12" t="s">
        <v>231</v>
      </c>
      <c r="K35" s="9" t="s">
        <v>232</v>
      </c>
      <c r="L35" s="12" t="s">
        <v>80</v>
      </c>
      <c r="M35" s="9" t="s">
        <v>226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.75" customHeight="1" x14ac:dyDescent="0.3">
      <c r="A36" s="5">
        <v>33</v>
      </c>
      <c r="B36" s="6" t="s">
        <v>233</v>
      </c>
      <c r="C36" s="7" t="s">
        <v>14</v>
      </c>
      <c r="D36" s="8" t="s">
        <v>15</v>
      </c>
      <c r="E36" s="5" t="s">
        <v>16</v>
      </c>
      <c r="F36" s="12" t="s">
        <v>234</v>
      </c>
      <c r="G36" s="10" t="s">
        <v>46</v>
      </c>
      <c r="H36" s="5" t="s">
        <v>235</v>
      </c>
      <c r="I36" s="5" t="s">
        <v>236</v>
      </c>
      <c r="J36" s="12" t="s">
        <v>237</v>
      </c>
      <c r="K36" s="9" t="s">
        <v>238</v>
      </c>
      <c r="L36" s="12" t="s">
        <v>80</v>
      </c>
      <c r="M36" s="9" t="s">
        <v>226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30.75" customHeight="1" x14ac:dyDescent="0.3">
      <c r="A37" s="5">
        <v>34</v>
      </c>
      <c r="B37" s="6" t="s">
        <v>239</v>
      </c>
      <c r="C37" s="7" t="s">
        <v>14</v>
      </c>
      <c r="D37" s="8" t="s">
        <v>15</v>
      </c>
      <c r="E37" s="5" t="s">
        <v>16</v>
      </c>
      <c r="F37" s="12" t="s">
        <v>240</v>
      </c>
      <c r="G37" s="10" t="s">
        <v>46</v>
      </c>
      <c r="H37" s="5" t="s">
        <v>241</v>
      </c>
      <c r="I37" s="5" t="s">
        <v>242</v>
      </c>
      <c r="J37" s="12" t="s">
        <v>243</v>
      </c>
      <c r="K37" s="9" t="s">
        <v>244</v>
      </c>
      <c r="L37" s="9" t="s">
        <v>245</v>
      </c>
      <c r="M37" s="9" t="s">
        <v>246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.75" customHeight="1" x14ac:dyDescent="0.3">
      <c r="A38" s="5">
        <v>35</v>
      </c>
      <c r="B38" s="6" t="s">
        <v>247</v>
      </c>
      <c r="C38" s="7" t="s">
        <v>14</v>
      </c>
      <c r="D38" s="8" t="s">
        <v>15</v>
      </c>
      <c r="E38" s="5" t="s">
        <v>16</v>
      </c>
      <c r="F38" s="12" t="s">
        <v>248</v>
      </c>
      <c r="G38" s="10" t="s">
        <v>18</v>
      </c>
      <c r="H38" s="5" t="s">
        <v>249</v>
      </c>
      <c r="I38" s="5" t="s">
        <v>250</v>
      </c>
      <c r="J38" s="12" t="s">
        <v>251</v>
      </c>
      <c r="K38" s="9" t="s">
        <v>252</v>
      </c>
      <c r="L38" s="12" t="s">
        <v>65</v>
      </c>
      <c r="M38" s="9" t="s">
        <v>253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30.75" customHeight="1" x14ac:dyDescent="0.3">
      <c r="A39" s="5">
        <v>36</v>
      </c>
      <c r="B39" s="6" t="s">
        <v>254</v>
      </c>
      <c r="C39" s="7" t="s">
        <v>14</v>
      </c>
      <c r="D39" s="8" t="s">
        <v>15</v>
      </c>
      <c r="E39" s="5" t="s">
        <v>16</v>
      </c>
      <c r="F39" s="12" t="s">
        <v>255</v>
      </c>
      <c r="G39" s="10" t="s">
        <v>46</v>
      </c>
      <c r="H39" s="5" t="s">
        <v>256</v>
      </c>
      <c r="I39" s="5" t="s">
        <v>257</v>
      </c>
      <c r="J39" s="12" t="s">
        <v>258</v>
      </c>
      <c r="K39" s="9" t="s">
        <v>259</v>
      </c>
      <c r="L39" s="12" t="s">
        <v>80</v>
      </c>
      <c r="M39" s="9" t="s">
        <v>102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30.75" customHeight="1" x14ac:dyDescent="0.3">
      <c r="A40" s="5">
        <v>37</v>
      </c>
      <c r="B40" s="6" t="s">
        <v>260</v>
      </c>
      <c r="C40" s="7" t="s">
        <v>14</v>
      </c>
      <c r="D40" s="8" t="s">
        <v>15</v>
      </c>
      <c r="E40" s="5" t="s">
        <v>16</v>
      </c>
      <c r="F40" s="12" t="s">
        <v>261</v>
      </c>
      <c r="G40" s="10" t="s">
        <v>46</v>
      </c>
      <c r="H40" s="5" t="s">
        <v>262</v>
      </c>
      <c r="I40" s="5" t="s">
        <v>263</v>
      </c>
      <c r="J40" s="12" t="s">
        <v>264</v>
      </c>
      <c r="K40" s="9" t="s">
        <v>265</v>
      </c>
      <c r="L40" s="9" t="s">
        <v>266</v>
      </c>
      <c r="M40" s="9" t="s">
        <v>267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9"/>
      <c r="Y40" s="19"/>
      <c r="Z40" s="19"/>
    </row>
    <row r="41" spans="1:26" ht="30.75" customHeight="1" x14ac:dyDescent="0.3">
      <c r="A41" s="5">
        <v>38</v>
      </c>
      <c r="B41" s="6" t="s">
        <v>268</v>
      </c>
      <c r="C41" s="7" t="s">
        <v>14</v>
      </c>
      <c r="D41" s="8" t="s">
        <v>15</v>
      </c>
      <c r="E41" s="5" t="s">
        <v>16</v>
      </c>
      <c r="F41" s="12" t="s">
        <v>269</v>
      </c>
      <c r="G41" s="10" t="s">
        <v>46</v>
      </c>
      <c r="H41" s="5" t="s">
        <v>270</v>
      </c>
      <c r="I41" s="5" t="s">
        <v>271</v>
      </c>
      <c r="J41" s="12" t="s">
        <v>272</v>
      </c>
      <c r="K41" s="9" t="s">
        <v>273</v>
      </c>
      <c r="L41" s="12" t="s">
        <v>274</v>
      </c>
      <c r="M41" s="9" t="s">
        <v>102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30.75" customHeight="1" x14ac:dyDescent="0.3">
      <c r="A42" s="5">
        <v>39</v>
      </c>
      <c r="B42" s="6" t="s">
        <v>275</v>
      </c>
      <c r="C42" s="7" t="s">
        <v>14</v>
      </c>
      <c r="D42" s="8" t="s">
        <v>15</v>
      </c>
      <c r="E42" s="5" t="s">
        <v>16</v>
      </c>
      <c r="F42" s="9" t="s">
        <v>276</v>
      </c>
      <c r="G42" s="10" t="s">
        <v>18</v>
      </c>
      <c r="H42" s="5" t="s">
        <v>277</v>
      </c>
      <c r="I42" s="20" t="s">
        <v>278</v>
      </c>
      <c r="J42" s="9" t="s">
        <v>279</v>
      </c>
      <c r="K42" s="9" t="s">
        <v>280</v>
      </c>
      <c r="L42" s="12" t="s">
        <v>65</v>
      </c>
      <c r="M42" s="21" t="s">
        <v>281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9"/>
      <c r="Y42" s="19"/>
      <c r="Z42" s="19"/>
    </row>
    <row r="43" spans="1:26" ht="30.75" customHeight="1" x14ac:dyDescent="0.3">
      <c r="A43" s="5">
        <v>40</v>
      </c>
      <c r="B43" s="6" t="s">
        <v>282</v>
      </c>
      <c r="C43" s="7" t="s">
        <v>14</v>
      </c>
      <c r="D43" s="8" t="s">
        <v>15</v>
      </c>
      <c r="E43" s="5" t="s">
        <v>16</v>
      </c>
      <c r="F43" s="9" t="s">
        <v>283</v>
      </c>
      <c r="G43" s="10" t="s">
        <v>18</v>
      </c>
      <c r="H43" s="5" t="s">
        <v>284</v>
      </c>
      <c r="I43" s="20" t="s">
        <v>285</v>
      </c>
      <c r="J43" s="9" t="s">
        <v>286</v>
      </c>
      <c r="K43" s="9" t="s">
        <v>287</v>
      </c>
      <c r="L43" s="12" t="s">
        <v>288</v>
      </c>
      <c r="M43" s="9" t="s">
        <v>102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3"/>
      <c r="Y43" s="13"/>
      <c r="Z43" s="13"/>
    </row>
    <row r="44" spans="1:26" ht="30.75" customHeight="1" x14ac:dyDescent="0.3">
      <c r="A44" s="5">
        <v>41</v>
      </c>
      <c r="B44" s="6" t="s">
        <v>289</v>
      </c>
      <c r="C44" s="7" t="s">
        <v>14</v>
      </c>
      <c r="D44" s="8" t="s">
        <v>15</v>
      </c>
      <c r="E44" s="5" t="s">
        <v>16</v>
      </c>
      <c r="F44" s="9" t="s">
        <v>290</v>
      </c>
      <c r="G44" s="10" t="s">
        <v>46</v>
      </c>
      <c r="H44" s="5" t="s">
        <v>291</v>
      </c>
      <c r="I44" s="5" t="s">
        <v>292</v>
      </c>
      <c r="J44" s="9" t="s">
        <v>293</v>
      </c>
      <c r="K44" s="9" t="s">
        <v>294</v>
      </c>
      <c r="L44" s="12" t="s">
        <v>65</v>
      </c>
      <c r="M44" s="9" t="s">
        <v>246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30.75" customHeight="1" x14ac:dyDescent="0.3">
      <c r="A45" s="5">
        <v>42</v>
      </c>
      <c r="B45" s="6" t="s">
        <v>295</v>
      </c>
      <c r="C45" s="7" t="s">
        <v>14</v>
      </c>
      <c r="D45" s="8" t="s">
        <v>15</v>
      </c>
      <c r="E45" s="5" t="s">
        <v>16</v>
      </c>
      <c r="F45" s="9" t="s">
        <v>296</v>
      </c>
      <c r="G45" s="10" t="s">
        <v>46</v>
      </c>
      <c r="H45" s="5" t="s">
        <v>297</v>
      </c>
      <c r="I45" s="5" t="s">
        <v>298</v>
      </c>
      <c r="J45" s="9" t="s">
        <v>299</v>
      </c>
      <c r="K45" s="9" t="s">
        <v>300</v>
      </c>
      <c r="L45" s="12" t="s">
        <v>51</v>
      </c>
      <c r="M45" s="9" t="s">
        <v>246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30.75" customHeight="1" x14ac:dyDescent="0.3">
      <c r="A46" s="5">
        <v>43</v>
      </c>
      <c r="B46" s="6" t="s">
        <v>301</v>
      </c>
      <c r="C46" s="7" t="s">
        <v>14</v>
      </c>
      <c r="D46" s="8" t="s">
        <v>15</v>
      </c>
      <c r="E46" s="5" t="s">
        <v>16</v>
      </c>
      <c r="F46" s="9" t="s">
        <v>302</v>
      </c>
      <c r="G46" s="10" t="s">
        <v>18</v>
      </c>
      <c r="H46" s="5" t="s">
        <v>303</v>
      </c>
      <c r="I46" s="5" t="s">
        <v>304</v>
      </c>
      <c r="J46" s="9" t="s">
        <v>305</v>
      </c>
      <c r="K46" s="9" t="s">
        <v>306</v>
      </c>
      <c r="L46" s="12" t="s">
        <v>23</v>
      </c>
      <c r="M46" s="9" t="s">
        <v>31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0.75" customHeight="1" x14ac:dyDescent="0.3">
      <c r="A47" s="5">
        <v>44</v>
      </c>
      <c r="B47" s="6" t="s">
        <v>307</v>
      </c>
      <c r="C47" s="7" t="s">
        <v>14</v>
      </c>
      <c r="D47" s="8" t="s">
        <v>15</v>
      </c>
      <c r="E47" s="5" t="s">
        <v>16</v>
      </c>
      <c r="F47" s="9" t="s">
        <v>308</v>
      </c>
      <c r="G47" s="10" t="s">
        <v>18</v>
      </c>
      <c r="H47" s="5" t="s">
        <v>309</v>
      </c>
      <c r="I47" s="5" t="s">
        <v>310</v>
      </c>
      <c r="J47" s="9" t="s">
        <v>311</v>
      </c>
      <c r="K47" s="9" t="s">
        <v>312</v>
      </c>
      <c r="L47" s="12" t="s">
        <v>288</v>
      </c>
      <c r="M47" s="9" t="s">
        <v>102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3"/>
      <c r="Y47" s="13"/>
      <c r="Z47" s="13"/>
    </row>
    <row r="48" spans="1:26" ht="46.5" customHeight="1" x14ac:dyDescent="0.3">
      <c r="A48" s="5">
        <v>45</v>
      </c>
      <c r="B48" s="6" t="s">
        <v>313</v>
      </c>
      <c r="C48" s="7" t="s">
        <v>14</v>
      </c>
      <c r="D48" s="8" t="s">
        <v>15</v>
      </c>
      <c r="E48" s="5" t="s">
        <v>16</v>
      </c>
      <c r="F48" s="9" t="s">
        <v>314</v>
      </c>
      <c r="G48" s="10" t="s">
        <v>18</v>
      </c>
      <c r="H48" s="5" t="s">
        <v>315</v>
      </c>
      <c r="I48" s="5" t="s">
        <v>316</v>
      </c>
      <c r="J48" s="9" t="s">
        <v>317</v>
      </c>
      <c r="K48" s="9" t="s">
        <v>318</v>
      </c>
      <c r="L48" s="9" t="s">
        <v>115</v>
      </c>
      <c r="M48" s="9" t="s">
        <v>319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0.75" customHeight="1" x14ac:dyDescent="0.3">
      <c r="A49" s="5">
        <v>46</v>
      </c>
      <c r="B49" s="6" t="s">
        <v>320</v>
      </c>
      <c r="C49" s="7" t="s">
        <v>14</v>
      </c>
      <c r="D49" s="8" t="s">
        <v>15</v>
      </c>
      <c r="E49" s="5" t="s">
        <v>16</v>
      </c>
      <c r="F49" s="9" t="s">
        <v>321</v>
      </c>
      <c r="G49" s="10" t="s">
        <v>46</v>
      </c>
      <c r="H49" s="5" t="s">
        <v>322</v>
      </c>
      <c r="I49" s="5" t="s">
        <v>323</v>
      </c>
      <c r="J49" s="9" t="s">
        <v>324</v>
      </c>
      <c r="K49" s="9" t="s">
        <v>325</v>
      </c>
      <c r="L49" s="12" t="s">
        <v>326</v>
      </c>
      <c r="M49" s="9" t="s">
        <v>116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30.75" customHeight="1" x14ac:dyDescent="0.3">
      <c r="A50" s="5">
        <v>47</v>
      </c>
      <c r="B50" s="6" t="s">
        <v>327</v>
      </c>
      <c r="C50" s="7" t="s">
        <v>14</v>
      </c>
      <c r="D50" s="8" t="s">
        <v>15</v>
      </c>
      <c r="E50" s="5" t="s">
        <v>16</v>
      </c>
      <c r="F50" s="9" t="s">
        <v>328</v>
      </c>
      <c r="G50" s="10" t="s">
        <v>18</v>
      </c>
      <c r="H50" s="5" t="s">
        <v>329</v>
      </c>
      <c r="I50" s="5" t="s">
        <v>330</v>
      </c>
      <c r="J50" s="9" t="s">
        <v>331</v>
      </c>
      <c r="K50" s="9" t="s">
        <v>332</v>
      </c>
      <c r="L50" s="9" t="s">
        <v>115</v>
      </c>
      <c r="M50" s="9" t="s">
        <v>116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30.75" customHeight="1" x14ac:dyDescent="0.3">
      <c r="A51" s="5">
        <v>48</v>
      </c>
      <c r="B51" s="6" t="s">
        <v>333</v>
      </c>
      <c r="C51" s="7" t="s">
        <v>14</v>
      </c>
      <c r="D51" s="8" t="s">
        <v>15</v>
      </c>
      <c r="E51" s="5" t="s">
        <v>16</v>
      </c>
      <c r="F51" s="9" t="s">
        <v>334</v>
      </c>
      <c r="G51" s="10" t="s">
        <v>18</v>
      </c>
      <c r="H51" s="5" t="s">
        <v>335</v>
      </c>
      <c r="I51" s="5" t="s">
        <v>336</v>
      </c>
      <c r="J51" s="9" t="s">
        <v>337</v>
      </c>
      <c r="K51" s="9" t="s">
        <v>338</v>
      </c>
      <c r="L51" s="9" t="s">
        <v>115</v>
      </c>
      <c r="M51" s="9" t="s">
        <v>116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30.75" customHeight="1" x14ac:dyDescent="0.3">
      <c r="A52" s="5">
        <v>49</v>
      </c>
      <c r="B52" s="6" t="s">
        <v>339</v>
      </c>
      <c r="C52" s="7" t="s">
        <v>14</v>
      </c>
      <c r="D52" s="8" t="s">
        <v>15</v>
      </c>
      <c r="E52" s="5" t="s">
        <v>16</v>
      </c>
      <c r="F52" s="9" t="s">
        <v>340</v>
      </c>
      <c r="G52" s="10" t="s">
        <v>46</v>
      </c>
      <c r="H52" s="5" t="s">
        <v>341</v>
      </c>
      <c r="I52" s="5" t="s">
        <v>342</v>
      </c>
      <c r="J52" s="9" t="s">
        <v>343</v>
      </c>
      <c r="K52" s="9" t="s">
        <v>344</v>
      </c>
      <c r="L52" s="9" t="s">
        <v>326</v>
      </c>
      <c r="M52" s="9" t="s">
        <v>116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0.75" customHeight="1" x14ac:dyDescent="0.3">
      <c r="A53" s="5">
        <v>50</v>
      </c>
      <c r="B53" s="6" t="s">
        <v>345</v>
      </c>
      <c r="C53" s="7" t="s">
        <v>14</v>
      </c>
      <c r="D53" s="8" t="s">
        <v>15</v>
      </c>
      <c r="E53" s="5" t="s">
        <v>16</v>
      </c>
      <c r="F53" s="9" t="s">
        <v>346</v>
      </c>
      <c r="G53" s="10" t="s">
        <v>18</v>
      </c>
      <c r="H53" s="5" t="s">
        <v>347</v>
      </c>
      <c r="I53" s="5" t="s">
        <v>348</v>
      </c>
      <c r="J53" s="9" t="s">
        <v>349</v>
      </c>
      <c r="K53" s="9" t="s">
        <v>350</v>
      </c>
      <c r="L53" s="9" t="s">
        <v>157</v>
      </c>
      <c r="M53" s="9" t="s">
        <v>164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0.75" customHeight="1" x14ac:dyDescent="0.25">
      <c r="A54" s="5">
        <v>52</v>
      </c>
      <c r="B54" s="5"/>
      <c r="C54" s="8" t="s">
        <v>14</v>
      </c>
      <c r="D54" s="8" t="s">
        <v>15</v>
      </c>
      <c r="E54" s="5" t="s">
        <v>351</v>
      </c>
      <c r="F54" s="22" t="s">
        <v>352</v>
      </c>
      <c r="G54" s="10" t="s">
        <v>18</v>
      </c>
      <c r="H54" s="5" t="s">
        <v>353</v>
      </c>
      <c r="I54" s="5" t="s">
        <v>354</v>
      </c>
      <c r="J54" s="23" t="s">
        <v>355</v>
      </c>
      <c r="K54" s="24" t="s">
        <v>356</v>
      </c>
      <c r="L54" s="12" t="s">
        <v>288</v>
      </c>
      <c r="M54" s="18" t="s">
        <v>200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5">
      <c r="A55" s="1"/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</row>
    <row r="56" spans="1:26" ht="15.75" customHeight="1" x14ac:dyDescent="0.25">
      <c r="A56" s="1"/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</row>
    <row r="57" spans="1:26" ht="15.75" customHeight="1" x14ac:dyDescent="0.25">
      <c r="A57" s="1"/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</row>
    <row r="58" spans="1:26" ht="15.75" customHeight="1" x14ac:dyDescent="0.25">
      <c r="A58" s="1"/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</row>
    <row r="59" spans="1:26" ht="15.75" customHeight="1" x14ac:dyDescent="0.25">
      <c r="A59" s="1"/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</row>
    <row r="60" spans="1:26" ht="15.75" customHeight="1" x14ac:dyDescent="0.25">
      <c r="A60" s="1"/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</row>
    <row r="61" spans="1:26" ht="15.75" customHeight="1" x14ac:dyDescent="0.25">
      <c r="A61" s="1"/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</row>
    <row r="62" spans="1:26" ht="15.75" customHeight="1" x14ac:dyDescent="0.25">
      <c r="A62" s="1"/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</row>
    <row r="63" spans="1:26" ht="15.75" customHeight="1" x14ac:dyDescent="0.25">
      <c r="A63" s="1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</row>
    <row r="64" spans="1:26" ht="15.75" customHeight="1" x14ac:dyDescent="0.25">
      <c r="A64" s="1"/>
      <c r="B64" s="2"/>
      <c r="C64" s="2"/>
      <c r="D64" s="2"/>
      <c r="E64" s="2"/>
      <c r="F64" s="1"/>
      <c r="G64" s="1"/>
      <c r="H64" s="1"/>
      <c r="I64" s="1"/>
      <c r="J64" s="1"/>
      <c r="K64" s="1"/>
      <c r="L64" s="1"/>
      <c r="M64" s="1"/>
    </row>
    <row r="65" spans="1:13" ht="15.75" customHeight="1" x14ac:dyDescent="0.25">
      <c r="A65" s="1"/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</row>
    <row r="66" spans="1:13" ht="15.75" customHeight="1" x14ac:dyDescent="0.25">
      <c r="A66" s="1"/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</row>
    <row r="67" spans="1:13" ht="15.75" customHeight="1" x14ac:dyDescent="0.25">
      <c r="A67" s="1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</row>
    <row r="68" spans="1:13" ht="15.75" customHeight="1" x14ac:dyDescent="0.25">
      <c r="A68" s="1"/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</row>
    <row r="69" spans="1:13" ht="15.75" customHeight="1" x14ac:dyDescent="0.25">
      <c r="A69" s="1"/>
      <c r="B69" s="2"/>
      <c r="C69" s="2"/>
      <c r="D69" s="2"/>
      <c r="E69" s="2"/>
      <c r="F69" s="1"/>
      <c r="G69" s="1"/>
      <c r="H69" s="1"/>
      <c r="I69" s="1"/>
      <c r="J69" s="1"/>
      <c r="K69" s="1"/>
      <c r="L69" s="1"/>
      <c r="M69" s="1"/>
    </row>
    <row r="70" spans="1:13" ht="15.75" customHeight="1" x14ac:dyDescent="0.25">
      <c r="A70" s="1"/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</row>
    <row r="71" spans="1:13" ht="15.75" customHeight="1" x14ac:dyDescent="0.25">
      <c r="A71" s="1"/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</row>
    <row r="72" spans="1:13" ht="15.75" customHeight="1" x14ac:dyDescent="0.25">
      <c r="A72" s="1"/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</row>
    <row r="73" spans="1:13" ht="15.75" customHeight="1" x14ac:dyDescent="0.25">
      <c r="A73" s="1"/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</row>
    <row r="74" spans="1:13" ht="15.75" customHeight="1" x14ac:dyDescent="0.25">
      <c r="A74" s="1"/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</row>
    <row r="75" spans="1:13" ht="15.75" customHeight="1" x14ac:dyDescent="0.25">
      <c r="A75" s="1"/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</row>
    <row r="76" spans="1:13" ht="15.75" customHeight="1" x14ac:dyDescent="0.25">
      <c r="A76" s="1"/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</row>
    <row r="77" spans="1:13" ht="15.75" customHeight="1" x14ac:dyDescent="0.25">
      <c r="A77" s="1"/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</row>
    <row r="78" spans="1:13" ht="15.75" customHeight="1" x14ac:dyDescent="0.25">
      <c r="A78" s="1"/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</row>
    <row r="79" spans="1:13" ht="15.75" customHeight="1" x14ac:dyDescent="0.25">
      <c r="A79" s="1"/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</row>
    <row r="80" spans="1:13" ht="15.75" customHeight="1" x14ac:dyDescent="0.25">
      <c r="A80" s="1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</row>
    <row r="81" spans="1:13" ht="15.75" customHeight="1" x14ac:dyDescent="0.25">
      <c r="A81" s="1"/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</row>
    <row r="82" spans="1:13" ht="15.75" customHeight="1" x14ac:dyDescent="0.25">
      <c r="A82" s="1"/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</row>
    <row r="83" spans="1:13" ht="15.75" customHeight="1" x14ac:dyDescent="0.25">
      <c r="A83" s="1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</row>
    <row r="84" spans="1:13" ht="15.75" customHeight="1" x14ac:dyDescent="0.25">
      <c r="A84" s="1"/>
      <c r="B84" s="2"/>
      <c r="C84" s="2"/>
      <c r="D84" s="2"/>
      <c r="E84" s="2"/>
      <c r="F84" s="1"/>
      <c r="G84" s="1"/>
      <c r="H84" s="1"/>
      <c r="I84" s="1"/>
      <c r="J84" s="1"/>
      <c r="K84" s="1"/>
      <c r="L84" s="1"/>
      <c r="M84" s="1"/>
    </row>
    <row r="85" spans="1:13" ht="15.75" customHeight="1" x14ac:dyDescent="0.25">
      <c r="A85" s="1"/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</row>
    <row r="86" spans="1:13" ht="15.75" customHeight="1" x14ac:dyDescent="0.25">
      <c r="A86" s="1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</row>
    <row r="87" spans="1:13" ht="15.75" customHeight="1" x14ac:dyDescent="0.25">
      <c r="A87" s="1"/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</row>
    <row r="88" spans="1:13" ht="15.75" customHeight="1" x14ac:dyDescent="0.25">
      <c r="A88" s="1"/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</row>
    <row r="89" spans="1:13" ht="15.75" customHeight="1" x14ac:dyDescent="0.25">
      <c r="A89" s="1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</row>
    <row r="90" spans="1:13" ht="15.75" customHeight="1" x14ac:dyDescent="0.25">
      <c r="A90" s="1"/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</row>
    <row r="91" spans="1:13" ht="15.75" customHeight="1" x14ac:dyDescent="0.25">
      <c r="A91" s="1"/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</row>
    <row r="92" spans="1:13" ht="15.75" customHeight="1" x14ac:dyDescent="0.25">
      <c r="A92" s="1"/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</row>
    <row r="93" spans="1:13" ht="15.75" customHeight="1" x14ac:dyDescent="0.25">
      <c r="A93" s="1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</row>
    <row r="94" spans="1:13" ht="15.75" customHeight="1" x14ac:dyDescent="0.25">
      <c r="A94" s="1"/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</row>
    <row r="95" spans="1:13" ht="15.75" customHeight="1" x14ac:dyDescent="0.25">
      <c r="A95" s="1"/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</row>
    <row r="96" spans="1:13" ht="15.75" customHeight="1" x14ac:dyDescent="0.25">
      <c r="A96" s="1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</row>
    <row r="97" spans="1:13" ht="15.75" customHeight="1" x14ac:dyDescent="0.25">
      <c r="A97" s="1"/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</row>
    <row r="98" spans="1:13" ht="15.75" customHeight="1" x14ac:dyDescent="0.25">
      <c r="A98" s="1"/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</row>
    <row r="99" spans="1:13" ht="15.75" customHeight="1" x14ac:dyDescent="0.25">
      <c r="A99" s="1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</row>
    <row r="100" spans="1:13" ht="15.75" customHeight="1" x14ac:dyDescent="0.25">
      <c r="A100" s="1"/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</row>
    <row r="101" spans="1:13" ht="15.75" customHeight="1" x14ac:dyDescent="0.25">
      <c r="A101" s="1"/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</row>
    <row r="102" spans="1:13" ht="15.75" customHeight="1" x14ac:dyDescent="0.25">
      <c r="A102" s="1"/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</row>
    <row r="103" spans="1:13" ht="15.75" customHeight="1" x14ac:dyDescent="0.25">
      <c r="A103" s="1"/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</row>
    <row r="104" spans="1:13" ht="15.75" customHeight="1" x14ac:dyDescent="0.25">
      <c r="A104" s="1"/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</row>
    <row r="105" spans="1:13" ht="15.75" customHeight="1" x14ac:dyDescent="0.25">
      <c r="A105" s="1"/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</row>
    <row r="106" spans="1:13" ht="15.75" customHeight="1" x14ac:dyDescent="0.25">
      <c r="A106" s="1"/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</row>
    <row r="107" spans="1:13" ht="15.75" customHeight="1" x14ac:dyDescent="0.25">
      <c r="A107" s="1"/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</row>
    <row r="108" spans="1:13" ht="15.75" customHeight="1" x14ac:dyDescent="0.25">
      <c r="A108" s="1"/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</row>
    <row r="109" spans="1:13" ht="15.75" customHeight="1" x14ac:dyDescent="0.25">
      <c r="A109" s="1"/>
      <c r="B109" s="2"/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</row>
    <row r="110" spans="1:13" ht="15.75" customHeight="1" x14ac:dyDescent="0.25">
      <c r="A110" s="1"/>
      <c r="B110" s="2"/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</row>
    <row r="111" spans="1:13" ht="15.75" customHeight="1" x14ac:dyDescent="0.25">
      <c r="A111" s="1"/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</row>
    <row r="112" spans="1:13" ht="15.75" customHeight="1" x14ac:dyDescent="0.25">
      <c r="A112" s="1"/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</row>
    <row r="113" spans="1:13" ht="15.75" customHeight="1" x14ac:dyDescent="0.25">
      <c r="A113" s="1"/>
      <c r="B113" s="2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</row>
    <row r="114" spans="1:13" ht="15.75" customHeight="1" x14ac:dyDescent="0.25">
      <c r="A114" s="1"/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</row>
    <row r="115" spans="1:13" ht="15.75" customHeight="1" x14ac:dyDescent="0.25">
      <c r="A115" s="1"/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</row>
    <row r="116" spans="1:13" ht="15.75" customHeight="1" x14ac:dyDescent="0.25">
      <c r="A116" s="1"/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</row>
    <row r="117" spans="1:13" ht="15.75" customHeight="1" x14ac:dyDescent="0.25">
      <c r="A117" s="1"/>
      <c r="B117" s="2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</row>
    <row r="118" spans="1:13" ht="15.75" customHeight="1" x14ac:dyDescent="0.25">
      <c r="A118" s="1"/>
      <c r="B118" s="2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</row>
    <row r="119" spans="1:13" ht="15.75" customHeight="1" x14ac:dyDescent="0.25">
      <c r="A119" s="1"/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</row>
    <row r="120" spans="1:13" ht="15.75" customHeight="1" x14ac:dyDescent="0.25">
      <c r="A120" s="1"/>
      <c r="B120" s="2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</row>
    <row r="121" spans="1:13" ht="15.75" customHeight="1" x14ac:dyDescent="0.25">
      <c r="A121" s="1"/>
      <c r="B121" s="2"/>
      <c r="C121" s="2"/>
      <c r="D121" s="2"/>
      <c r="E121" s="2"/>
      <c r="F121" s="1"/>
      <c r="G121" s="1"/>
      <c r="H121" s="1"/>
      <c r="I121" s="1"/>
      <c r="J121" s="1"/>
      <c r="K121" s="1"/>
      <c r="L121" s="1"/>
      <c r="M121" s="1"/>
    </row>
    <row r="122" spans="1:13" ht="15.75" customHeight="1" x14ac:dyDescent="0.25">
      <c r="A122" s="1"/>
      <c r="B122" s="2"/>
      <c r="C122" s="2"/>
      <c r="D122" s="2"/>
      <c r="E122" s="2"/>
      <c r="F122" s="1"/>
      <c r="G122" s="1"/>
      <c r="H122" s="1"/>
      <c r="I122" s="1"/>
      <c r="J122" s="1"/>
      <c r="K122" s="1"/>
      <c r="L122" s="1"/>
      <c r="M122" s="1"/>
    </row>
    <row r="123" spans="1:13" ht="15.75" customHeight="1" x14ac:dyDescent="0.25">
      <c r="A123" s="1"/>
      <c r="B123" s="2"/>
      <c r="C123" s="2"/>
      <c r="D123" s="2"/>
      <c r="E123" s="2"/>
      <c r="F123" s="1"/>
      <c r="G123" s="1"/>
      <c r="H123" s="1"/>
      <c r="I123" s="1"/>
      <c r="J123" s="1"/>
      <c r="K123" s="1"/>
      <c r="L123" s="1"/>
      <c r="M123" s="1"/>
    </row>
    <row r="124" spans="1:13" ht="15.75" customHeight="1" x14ac:dyDescent="0.25">
      <c r="A124" s="1"/>
      <c r="B124" s="2"/>
      <c r="C124" s="2"/>
      <c r="D124" s="2"/>
      <c r="E124" s="2"/>
      <c r="F124" s="1"/>
      <c r="G124" s="1"/>
      <c r="H124" s="1"/>
      <c r="I124" s="1"/>
      <c r="J124" s="1"/>
      <c r="K124" s="1"/>
      <c r="L124" s="1"/>
      <c r="M124" s="1"/>
    </row>
    <row r="125" spans="1:13" ht="15.75" customHeight="1" x14ac:dyDescent="0.25">
      <c r="A125" s="1"/>
      <c r="B125" s="2"/>
      <c r="C125" s="2"/>
      <c r="D125" s="2"/>
      <c r="E125" s="2"/>
      <c r="F125" s="1"/>
      <c r="G125" s="1"/>
      <c r="H125" s="1"/>
      <c r="I125" s="1"/>
      <c r="J125" s="1"/>
      <c r="K125" s="1"/>
      <c r="L125" s="1"/>
      <c r="M125" s="1"/>
    </row>
    <row r="126" spans="1:13" ht="15.75" customHeight="1" x14ac:dyDescent="0.25">
      <c r="A126" s="1"/>
      <c r="B126" s="2"/>
      <c r="C126" s="2"/>
      <c r="D126" s="2"/>
      <c r="E126" s="2"/>
      <c r="F126" s="1"/>
      <c r="G126" s="1"/>
      <c r="H126" s="1"/>
      <c r="I126" s="1"/>
      <c r="J126" s="1"/>
      <c r="K126" s="1"/>
      <c r="L126" s="1"/>
      <c r="M126" s="1"/>
    </row>
    <row r="127" spans="1:13" ht="15.75" customHeight="1" x14ac:dyDescent="0.25">
      <c r="A127" s="1"/>
      <c r="B127" s="2"/>
      <c r="C127" s="2"/>
      <c r="D127" s="2"/>
      <c r="E127" s="2"/>
      <c r="F127" s="1"/>
      <c r="G127" s="1"/>
      <c r="H127" s="1"/>
      <c r="I127" s="1"/>
      <c r="J127" s="1"/>
      <c r="K127" s="1"/>
      <c r="L127" s="1"/>
      <c r="M127" s="1"/>
    </row>
    <row r="128" spans="1:13" ht="15.75" customHeight="1" x14ac:dyDescent="0.25">
      <c r="A128" s="1"/>
      <c r="B128" s="2"/>
      <c r="C128" s="2"/>
      <c r="D128" s="2"/>
      <c r="E128" s="2"/>
      <c r="F128" s="1"/>
      <c r="G128" s="1"/>
      <c r="H128" s="1"/>
      <c r="I128" s="1"/>
      <c r="J128" s="1"/>
      <c r="K128" s="1"/>
      <c r="L128" s="1"/>
      <c r="M128" s="1"/>
    </row>
    <row r="129" spans="1:13" ht="15.75" customHeight="1" x14ac:dyDescent="0.25">
      <c r="A129" s="1"/>
      <c r="B129" s="2"/>
      <c r="C129" s="2"/>
      <c r="D129" s="2"/>
      <c r="E129" s="2"/>
      <c r="F129" s="1"/>
      <c r="G129" s="1"/>
      <c r="H129" s="1"/>
      <c r="I129" s="1"/>
      <c r="J129" s="1"/>
      <c r="K129" s="1"/>
      <c r="L129" s="1"/>
      <c r="M129" s="1"/>
    </row>
    <row r="130" spans="1:13" ht="15.75" customHeight="1" x14ac:dyDescent="0.25">
      <c r="A130" s="1"/>
      <c r="B130" s="2"/>
      <c r="C130" s="2"/>
      <c r="D130" s="2"/>
      <c r="E130" s="2"/>
      <c r="F130" s="1"/>
      <c r="G130" s="1"/>
      <c r="H130" s="1"/>
      <c r="I130" s="1"/>
      <c r="J130" s="1"/>
      <c r="K130" s="1"/>
      <c r="L130" s="1"/>
      <c r="M130" s="1"/>
    </row>
    <row r="131" spans="1:13" ht="15.75" customHeight="1" x14ac:dyDescent="0.25">
      <c r="A131" s="1"/>
      <c r="B131" s="2"/>
      <c r="C131" s="2"/>
      <c r="D131" s="2"/>
      <c r="E131" s="2"/>
      <c r="F131" s="1"/>
      <c r="G131" s="1"/>
      <c r="H131" s="1"/>
      <c r="I131" s="1"/>
      <c r="J131" s="1"/>
      <c r="K131" s="1"/>
      <c r="L131" s="1"/>
      <c r="M131" s="1"/>
    </row>
    <row r="132" spans="1:13" ht="15.75" customHeight="1" x14ac:dyDescent="0.25">
      <c r="A132" s="1"/>
      <c r="B132" s="2"/>
      <c r="C132" s="2"/>
      <c r="D132" s="2"/>
      <c r="E132" s="2"/>
      <c r="F132" s="1"/>
      <c r="G132" s="1"/>
      <c r="H132" s="1"/>
      <c r="I132" s="1"/>
      <c r="J132" s="1"/>
      <c r="K132" s="1"/>
      <c r="L132" s="1"/>
      <c r="M132" s="1"/>
    </row>
    <row r="133" spans="1:13" ht="15.75" customHeight="1" x14ac:dyDescent="0.25">
      <c r="A133" s="1"/>
      <c r="B133" s="2"/>
      <c r="C133" s="2"/>
      <c r="D133" s="2"/>
      <c r="E133" s="2"/>
      <c r="F133" s="1"/>
      <c r="G133" s="1"/>
      <c r="H133" s="1"/>
      <c r="I133" s="1"/>
      <c r="J133" s="1"/>
      <c r="K133" s="1"/>
      <c r="L133" s="1"/>
      <c r="M133" s="1"/>
    </row>
    <row r="134" spans="1:13" ht="15.75" customHeight="1" x14ac:dyDescent="0.25">
      <c r="A134" s="1"/>
      <c r="B134" s="2"/>
      <c r="C134" s="2"/>
      <c r="D134" s="2"/>
      <c r="E134" s="2"/>
      <c r="F134" s="1"/>
      <c r="G134" s="1"/>
      <c r="H134" s="1"/>
      <c r="I134" s="1"/>
      <c r="J134" s="1"/>
      <c r="K134" s="1"/>
      <c r="L134" s="1"/>
      <c r="M134" s="1"/>
    </row>
    <row r="135" spans="1:13" ht="15.75" customHeight="1" x14ac:dyDescent="0.25">
      <c r="A135" s="1"/>
      <c r="B135" s="2"/>
      <c r="C135" s="2"/>
      <c r="D135" s="2"/>
      <c r="E135" s="2"/>
      <c r="F135" s="1"/>
      <c r="G135" s="1"/>
      <c r="H135" s="1"/>
      <c r="I135" s="1"/>
      <c r="J135" s="1"/>
      <c r="K135" s="1"/>
      <c r="L135" s="1"/>
      <c r="M135" s="1"/>
    </row>
    <row r="136" spans="1:13" ht="15.75" customHeight="1" x14ac:dyDescent="0.25">
      <c r="A136" s="1"/>
      <c r="B136" s="2"/>
      <c r="C136" s="2"/>
      <c r="D136" s="2"/>
      <c r="E136" s="2"/>
      <c r="F136" s="1"/>
      <c r="G136" s="1"/>
      <c r="H136" s="1"/>
      <c r="I136" s="1"/>
      <c r="J136" s="1"/>
      <c r="K136" s="1"/>
      <c r="L136" s="1"/>
      <c r="M136" s="1"/>
    </row>
    <row r="137" spans="1:13" ht="15.75" customHeight="1" x14ac:dyDescent="0.25">
      <c r="A137" s="1"/>
      <c r="B137" s="2"/>
      <c r="C137" s="2"/>
      <c r="D137" s="2"/>
      <c r="E137" s="2"/>
      <c r="F137" s="1"/>
      <c r="G137" s="1"/>
      <c r="H137" s="1"/>
      <c r="I137" s="1"/>
      <c r="J137" s="1"/>
      <c r="K137" s="1"/>
      <c r="L137" s="1"/>
      <c r="M137" s="1"/>
    </row>
    <row r="138" spans="1:13" ht="15.75" customHeight="1" x14ac:dyDescent="0.25">
      <c r="A138" s="1"/>
      <c r="B138" s="2"/>
      <c r="C138" s="2"/>
      <c r="D138" s="2"/>
      <c r="E138" s="2"/>
      <c r="F138" s="1"/>
      <c r="G138" s="1"/>
      <c r="H138" s="1"/>
      <c r="I138" s="1"/>
      <c r="J138" s="1"/>
      <c r="K138" s="1"/>
      <c r="L138" s="1"/>
      <c r="M138" s="1"/>
    </row>
    <row r="139" spans="1:13" ht="15.75" customHeight="1" x14ac:dyDescent="0.25">
      <c r="A139" s="1"/>
      <c r="B139" s="2"/>
      <c r="C139" s="2"/>
      <c r="D139" s="2"/>
      <c r="E139" s="2"/>
      <c r="F139" s="1"/>
      <c r="G139" s="1"/>
      <c r="H139" s="1"/>
      <c r="I139" s="1"/>
      <c r="J139" s="1"/>
      <c r="K139" s="1"/>
      <c r="L139" s="1"/>
      <c r="M139" s="1"/>
    </row>
    <row r="140" spans="1:13" ht="15.75" customHeight="1" x14ac:dyDescent="0.25">
      <c r="A140" s="1"/>
      <c r="B140" s="2"/>
      <c r="C140" s="2"/>
      <c r="D140" s="2"/>
      <c r="E140" s="2"/>
      <c r="F140" s="1"/>
      <c r="G140" s="1"/>
      <c r="H140" s="1"/>
      <c r="I140" s="1"/>
      <c r="J140" s="1"/>
      <c r="K140" s="1"/>
      <c r="L140" s="1"/>
      <c r="M140" s="1"/>
    </row>
    <row r="141" spans="1:13" ht="15.75" customHeight="1" x14ac:dyDescent="0.25">
      <c r="A141" s="1"/>
      <c r="B141" s="2"/>
      <c r="C141" s="2"/>
      <c r="D141" s="2"/>
      <c r="E141" s="2"/>
      <c r="F141" s="1"/>
      <c r="G141" s="1"/>
      <c r="H141" s="1"/>
      <c r="I141" s="1"/>
      <c r="J141" s="1"/>
      <c r="K141" s="1"/>
      <c r="L141" s="1"/>
      <c r="M141" s="1"/>
    </row>
    <row r="142" spans="1:13" ht="15.75" customHeight="1" x14ac:dyDescent="0.25">
      <c r="A142" s="1"/>
      <c r="B142" s="2"/>
      <c r="C142" s="2"/>
      <c r="D142" s="2"/>
      <c r="E142" s="2"/>
      <c r="F142" s="1"/>
      <c r="G142" s="1"/>
      <c r="H142" s="1"/>
      <c r="I142" s="1"/>
      <c r="J142" s="1"/>
      <c r="K142" s="1"/>
      <c r="L142" s="1"/>
      <c r="M142" s="1"/>
    </row>
    <row r="143" spans="1:13" ht="15.75" customHeight="1" x14ac:dyDescent="0.25">
      <c r="A143" s="1"/>
      <c r="B143" s="2"/>
      <c r="C143" s="2"/>
      <c r="D143" s="2"/>
      <c r="E143" s="2"/>
      <c r="F143" s="1"/>
      <c r="G143" s="1"/>
      <c r="H143" s="1"/>
      <c r="I143" s="1"/>
      <c r="J143" s="1"/>
      <c r="K143" s="1"/>
      <c r="L143" s="1"/>
      <c r="M143" s="1"/>
    </row>
    <row r="144" spans="1:13" ht="15.75" customHeight="1" x14ac:dyDescent="0.25">
      <c r="A144" s="1"/>
      <c r="B144" s="2"/>
      <c r="C144" s="2"/>
      <c r="D144" s="2"/>
      <c r="E144" s="2"/>
      <c r="F144" s="1"/>
      <c r="G144" s="1"/>
      <c r="H144" s="1"/>
      <c r="I144" s="1"/>
      <c r="J144" s="1"/>
      <c r="K144" s="1"/>
      <c r="L144" s="1"/>
      <c r="M144" s="1"/>
    </row>
    <row r="145" spans="1:13" ht="15.75" customHeight="1" x14ac:dyDescent="0.25">
      <c r="A145" s="1"/>
      <c r="B145" s="2"/>
      <c r="C145" s="2"/>
      <c r="D145" s="2"/>
      <c r="E145" s="2"/>
      <c r="F145" s="1"/>
      <c r="G145" s="1"/>
      <c r="H145" s="1"/>
      <c r="I145" s="1"/>
      <c r="J145" s="1"/>
      <c r="K145" s="1"/>
      <c r="L145" s="1"/>
      <c r="M145" s="1"/>
    </row>
    <row r="146" spans="1:13" ht="15.75" customHeight="1" x14ac:dyDescent="0.25">
      <c r="A146" s="1"/>
      <c r="B146" s="2"/>
      <c r="C146" s="2"/>
      <c r="D146" s="2"/>
      <c r="E146" s="2"/>
      <c r="F146" s="1"/>
      <c r="G146" s="1"/>
      <c r="H146" s="1"/>
      <c r="I146" s="1"/>
      <c r="J146" s="1"/>
      <c r="K146" s="1"/>
      <c r="L146" s="1"/>
      <c r="M146" s="1"/>
    </row>
    <row r="147" spans="1:13" ht="15.75" customHeight="1" x14ac:dyDescent="0.25">
      <c r="A147" s="1"/>
      <c r="B147" s="2"/>
      <c r="C147" s="2"/>
      <c r="D147" s="2"/>
      <c r="E147" s="2"/>
      <c r="F147" s="1"/>
      <c r="G147" s="1"/>
      <c r="H147" s="1"/>
      <c r="I147" s="1"/>
      <c r="J147" s="1"/>
      <c r="K147" s="1"/>
      <c r="L147" s="1"/>
      <c r="M147" s="1"/>
    </row>
    <row r="148" spans="1:13" ht="15.75" customHeight="1" x14ac:dyDescent="0.25">
      <c r="A148" s="1"/>
      <c r="B148" s="2"/>
      <c r="C148" s="2"/>
      <c r="D148" s="2"/>
      <c r="E148" s="2"/>
      <c r="F148" s="1"/>
      <c r="G148" s="1"/>
      <c r="H148" s="1"/>
      <c r="I148" s="1"/>
      <c r="J148" s="1"/>
      <c r="K148" s="1"/>
      <c r="L148" s="1"/>
      <c r="M148" s="1"/>
    </row>
    <row r="149" spans="1:13" ht="15.75" customHeight="1" x14ac:dyDescent="0.25">
      <c r="A149" s="1"/>
      <c r="B149" s="2"/>
      <c r="C149" s="2"/>
      <c r="D149" s="2"/>
      <c r="E149" s="2"/>
      <c r="F149" s="1"/>
      <c r="G149" s="1"/>
      <c r="H149" s="1"/>
      <c r="I149" s="1"/>
      <c r="J149" s="1"/>
      <c r="K149" s="1"/>
      <c r="L149" s="1"/>
      <c r="M149" s="1"/>
    </row>
    <row r="150" spans="1:13" ht="15.75" customHeight="1" x14ac:dyDescent="0.25">
      <c r="A150" s="1"/>
      <c r="B150" s="2"/>
      <c r="C150" s="2"/>
      <c r="D150" s="2"/>
      <c r="E150" s="2"/>
      <c r="F150" s="1"/>
      <c r="G150" s="1"/>
      <c r="H150" s="1"/>
      <c r="I150" s="1"/>
      <c r="J150" s="1"/>
      <c r="K150" s="1"/>
      <c r="L150" s="1"/>
      <c r="M150" s="1"/>
    </row>
    <row r="151" spans="1:13" ht="15.75" customHeight="1" x14ac:dyDescent="0.25">
      <c r="A151" s="1"/>
      <c r="B151" s="2"/>
      <c r="C151" s="2"/>
      <c r="D151" s="2"/>
      <c r="E151" s="2"/>
      <c r="F151" s="1"/>
      <c r="G151" s="1"/>
      <c r="H151" s="1"/>
      <c r="I151" s="1"/>
      <c r="J151" s="1"/>
      <c r="K151" s="1"/>
      <c r="L151" s="1"/>
      <c r="M151" s="1"/>
    </row>
    <row r="152" spans="1:13" ht="15.75" customHeight="1" x14ac:dyDescent="0.25">
      <c r="A152" s="1"/>
      <c r="B152" s="2"/>
      <c r="C152" s="2"/>
      <c r="D152" s="2"/>
      <c r="E152" s="2"/>
      <c r="F152" s="1"/>
      <c r="G152" s="1"/>
      <c r="H152" s="1"/>
      <c r="I152" s="1"/>
      <c r="J152" s="1"/>
      <c r="K152" s="1"/>
      <c r="L152" s="1"/>
      <c r="M152" s="1"/>
    </row>
    <row r="153" spans="1:13" ht="15.75" customHeight="1" x14ac:dyDescent="0.25">
      <c r="A153" s="1"/>
      <c r="B153" s="2"/>
      <c r="C153" s="2"/>
      <c r="D153" s="2"/>
      <c r="E153" s="2"/>
      <c r="F153" s="1"/>
      <c r="G153" s="1"/>
      <c r="H153" s="1"/>
      <c r="I153" s="1"/>
      <c r="J153" s="1"/>
      <c r="K153" s="1"/>
      <c r="L153" s="1"/>
      <c r="M153" s="1"/>
    </row>
    <row r="154" spans="1:13" ht="15.75" customHeight="1" x14ac:dyDescent="0.25">
      <c r="A154" s="1"/>
      <c r="B154" s="2"/>
      <c r="C154" s="2"/>
      <c r="D154" s="2"/>
      <c r="E154" s="2"/>
      <c r="F154" s="1"/>
      <c r="G154" s="1"/>
      <c r="H154" s="1"/>
      <c r="I154" s="1"/>
      <c r="J154" s="1"/>
      <c r="K154" s="1"/>
      <c r="L154" s="1"/>
      <c r="M154" s="1"/>
    </row>
    <row r="155" spans="1:13" ht="15.75" customHeight="1" x14ac:dyDescent="0.25">
      <c r="A155" s="1"/>
      <c r="B155" s="2"/>
      <c r="C155" s="2"/>
      <c r="D155" s="2"/>
      <c r="E155" s="2"/>
      <c r="F155" s="1"/>
      <c r="G155" s="1"/>
      <c r="H155" s="1"/>
      <c r="I155" s="1"/>
      <c r="J155" s="1"/>
      <c r="K155" s="1"/>
      <c r="L155" s="1"/>
      <c r="M155" s="1"/>
    </row>
    <row r="156" spans="1:13" ht="15.75" customHeight="1" x14ac:dyDescent="0.25">
      <c r="A156" s="1"/>
      <c r="B156" s="2"/>
      <c r="C156" s="2"/>
      <c r="D156" s="2"/>
      <c r="E156" s="2"/>
      <c r="F156" s="1"/>
      <c r="G156" s="1"/>
      <c r="H156" s="1"/>
      <c r="I156" s="1"/>
      <c r="J156" s="1"/>
      <c r="K156" s="1"/>
      <c r="L156" s="1"/>
      <c r="M156" s="1"/>
    </row>
    <row r="157" spans="1:13" ht="15.75" customHeight="1" x14ac:dyDescent="0.25">
      <c r="A157" s="1"/>
      <c r="B157" s="2"/>
      <c r="C157" s="2"/>
      <c r="D157" s="2"/>
      <c r="E157" s="2"/>
      <c r="F157" s="1"/>
      <c r="G157" s="1"/>
      <c r="H157" s="1"/>
      <c r="I157" s="1"/>
      <c r="J157" s="1"/>
      <c r="K157" s="1"/>
      <c r="L157" s="1"/>
      <c r="M157" s="1"/>
    </row>
    <row r="158" spans="1:13" ht="15.75" customHeight="1" x14ac:dyDescent="0.25">
      <c r="A158" s="1"/>
      <c r="B158" s="2"/>
      <c r="C158" s="2"/>
      <c r="D158" s="2"/>
      <c r="E158" s="2"/>
      <c r="F158" s="1"/>
      <c r="G158" s="1"/>
      <c r="H158" s="1"/>
      <c r="I158" s="1"/>
      <c r="J158" s="1"/>
      <c r="K158" s="1"/>
      <c r="L158" s="1"/>
      <c r="M158" s="1"/>
    </row>
    <row r="159" spans="1:13" ht="15.75" customHeight="1" x14ac:dyDescent="0.25">
      <c r="A159" s="1"/>
      <c r="B159" s="2"/>
      <c r="C159" s="2"/>
      <c r="D159" s="2"/>
      <c r="E159" s="2"/>
      <c r="F159" s="1"/>
      <c r="G159" s="1"/>
      <c r="H159" s="1"/>
      <c r="I159" s="1"/>
      <c r="J159" s="1"/>
      <c r="K159" s="1"/>
      <c r="L159" s="1"/>
      <c r="M159" s="1"/>
    </row>
    <row r="160" spans="1:13" ht="15.75" customHeight="1" x14ac:dyDescent="0.25">
      <c r="A160" s="1"/>
      <c r="B160" s="2"/>
      <c r="C160" s="2"/>
      <c r="D160" s="2"/>
      <c r="E160" s="2"/>
      <c r="F160" s="1"/>
      <c r="G160" s="1"/>
      <c r="H160" s="1"/>
      <c r="I160" s="1"/>
      <c r="J160" s="1"/>
      <c r="K160" s="1"/>
      <c r="L160" s="1"/>
      <c r="M160" s="1"/>
    </row>
    <row r="161" spans="1:13" ht="15.75" customHeight="1" x14ac:dyDescent="0.25">
      <c r="A161" s="1"/>
      <c r="B161" s="2"/>
      <c r="C161" s="2"/>
      <c r="D161" s="2"/>
      <c r="E161" s="2"/>
      <c r="F161" s="1"/>
      <c r="G161" s="1"/>
      <c r="H161" s="1"/>
      <c r="I161" s="1"/>
      <c r="J161" s="1"/>
      <c r="K161" s="1"/>
      <c r="L161" s="1"/>
      <c r="M161" s="1"/>
    </row>
    <row r="162" spans="1:13" ht="15.75" customHeight="1" x14ac:dyDescent="0.25">
      <c r="A162" s="1"/>
      <c r="B162" s="2"/>
      <c r="C162" s="2"/>
      <c r="D162" s="2"/>
      <c r="E162" s="2"/>
      <c r="F162" s="1"/>
      <c r="G162" s="1"/>
      <c r="H162" s="1"/>
      <c r="I162" s="1"/>
      <c r="J162" s="1"/>
      <c r="K162" s="1"/>
      <c r="L162" s="1"/>
      <c r="M162" s="1"/>
    </row>
    <row r="163" spans="1:13" ht="15.75" customHeight="1" x14ac:dyDescent="0.25">
      <c r="A163" s="1"/>
      <c r="B163" s="2"/>
      <c r="C163" s="2"/>
      <c r="D163" s="2"/>
      <c r="E163" s="2"/>
      <c r="F163" s="1"/>
      <c r="G163" s="1"/>
      <c r="H163" s="1"/>
      <c r="I163" s="1"/>
      <c r="J163" s="1"/>
      <c r="K163" s="1"/>
      <c r="L163" s="1"/>
      <c r="M163" s="1"/>
    </row>
    <row r="164" spans="1:13" ht="15.75" customHeight="1" x14ac:dyDescent="0.25">
      <c r="A164" s="1"/>
      <c r="B164" s="2"/>
      <c r="C164" s="2"/>
      <c r="D164" s="2"/>
      <c r="E164" s="2"/>
      <c r="F164" s="1"/>
      <c r="G164" s="1"/>
      <c r="H164" s="1"/>
      <c r="I164" s="1"/>
      <c r="J164" s="1"/>
      <c r="K164" s="1"/>
      <c r="L164" s="1"/>
      <c r="M164" s="1"/>
    </row>
    <row r="165" spans="1:13" ht="15.75" customHeight="1" x14ac:dyDescent="0.25">
      <c r="A165" s="1"/>
      <c r="B165" s="2"/>
      <c r="C165" s="2"/>
      <c r="D165" s="2"/>
      <c r="E165" s="2"/>
      <c r="F165" s="1"/>
      <c r="G165" s="1"/>
      <c r="H165" s="1"/>
      <c r="I165" s="1"/>
      <c r="J165" s="1"/>
      <c r="K165" s="1"/>
      <c r="L165" s="1"/>
      <c r="M165" s="1"/>
    </row>
    <row r="166" spans="1:13" ht="15.75" customHeight="1" x14ac:dyDescent="0.25">
      <c r="A166" s="1"/>
      <c r="B166" s="2"/>
      <c r="C166" s="2"/>
      <c r="D166" s="2"/>
      <c r="E166" s="2"/>
      <c r="F166" s="1"/>
      <c r="G166" s="1"/>
      <c r="H166" s="1"/>
      <c r="I166" s="1"/>
      <c r="J166" s="1"/>
      <c r="K166" s="1"/>
      <c r="L166" s="1"/>
      <c r="M166" s="1"/>
    </row>
    <row r="167" spans="1:13" ht="15.75" customHeight="1" x14ac:dyDescent="0.25">
      <c r="A167" s="1"/>
      <c r="B167" s="2"/>
      <c r="C167" s="2"/>
      <c r="D167" s="2"/>
      <c r="E167" s="2"/>
      <c r="F167" s="1"/>
      <c r="G167" s="1"/>
      <c r="H167" s="1"/>
      <c r="I167" s="1"/>
      <c r="J167" s="1"/>
      <c r="K167" s="1"/>
      <c r="L167" s="1"/>
      <c r="M167" s="1"/>
    </row>
    <row r="168" spans="1:13" ht="15.75" customHeight="1" x14ac:dyDescent="0.25">
      <c r="A168" s="1"/>
      <c r="B168" s="2"/>
      <c r="C168" s="2"/>
      <c r="D168" s="2"/>
      <c r="E168" s="2"/>
      <c r="F168" s="1"/>
      <c r="G168" s="1"/>
      <c r="H168" s="1"/>
      <c r="I168" s="1"/>
      <c r="J168" s="1"/>
      <c r="K168" s="1"/>
      <c r="L168" s="1"/>
      <c r="M168" s="1"/>
    </row>
    <row r="169" spans="1:13" ht="15.75" customHeight="1" x14ac:dyDescent="0.25">
      <c r="A169" s="1"/>
      <c r="B169" s="2"/>
      <c r="C169" s="2"/>
      <c r="D169" s="2"/>
      <c r="E169" s="2"/>
      <c r="F169" s="1"/>
      <c r="G169" s="1"/>
      <c r="H169" s="1"/>
      <c r="I169" s="1"/>
      <c r="J169" s="1"/>
      <c r="K169" s="1"/>
      <c r="L169" s="1"/>
      <c r="M169" s="1"/>
    </row>
    <row r="170" spans="1:13" ht="15.75" customHeight="1" x14ac:dyDescent="0.25">
      <c r="A170" s="1"/>
      <c r="B170" s="2"/>
      <c r="C170" s="2"/>
      <c r="D170" s="2"/>
      <c r="E170" s="2"/>
      <c r="F170" s="1"/>
      <c r="G170" s="1"/>
      <c r="H170" s="1"/>
      <c r="I170" s="1"/>
      <c r="J170" s="1"/>
      <c r="K170" s="1"/>
      <c r="L170" s="1"/>
      <c r="M170" s="1"/>
    </row>
    <row r="171" spans="1:13" ht="15.75" customHeight="1" x14ac:dyDescent="0.25">
      <c r="A171" s="1"/>
      <c r="B171" s="2"/>
      <c r="C171" s="2"/>
      <c r="D171" s="2"/>
      <c r="E171" s="2"/>
      <c r="F171" s="1"/>
      <c r="G171" s="1"/>
      <c r="H171" s="1"/>
      <c r="I171" s="1"/>
      <c r="J171" s="1"/>
      <c r="K171" s="1"/>
      <c r="L171" s="1"/>
      <c r="M171" s="1"/>
    </row>
    <row r="172" spans="1:13" ht="15.75" customHeight="1" x14ac:dyDescent="0.25">
      <c r="A172" s="1"/>
      <c r="B172" s="2"/>
      <c r="C172" s="2"/>
      <c r="D172" s="2"/>
      <c r="E172" s="2"/>
      <c r="F172" s="1"/>
      <c r="G172" s="1"/>
      <c r="H172" s="1"/>
      <c r="I172" s="1"/>
      <c r="J172" s="1"/>
      <c r="K172" s="1"/>
      <c r="L172" s="1"/>
      <c r="M172" s="1"/>
    </row>
    <row r="173" spans="1:13" ht="15.75" customHeight="1" x14ac:dyDescent="0.25">
      <c r="A173" s="1"/>
      <c r="B173" s="2"/>
      <c r="C173" s="2"/>
      <c r="D173" s="2"/>
      <c r="E173" s="2"/>
      <c r="F173" s="1"/>
      <c r="G173" s="1"/>
      <c r="H173" s="1"/>
      <c r="I173" s="1"/>
      <c r="J173" s="1"/>
      <c r="K173" s="1"/>
      <c r="L173" s="1"/>
      <c r="M173" s="1"/>
    </row>
    <row r="174" spans="1:13" ht="15.75" customHeight="1" x14ac:dyDescent="0.25">
      <c r="A174" s="1"/>
      <c r="B174" s="2"/>
      <c r="C174" s="2"/>
      <c r="D174" s="2"/>
      <c r="E174" s="2"/>
      <c r="F174" s="1"/>
      <c r="G174" s="1"/>
      <c r="H174" s="1"/>
      <c r="I174" s="1"/>
      <c r="J174" s="1"/>
      <c r="K174" s="1"/>
      <c r="L174" s="1"/>
      <c r="M174" s="1"/>
    </row>
    <row r="175" spans="1:13" ht="15.75" customHeight="1" x14ac:dyDescent="0.25">
      <c r="A175" s="1"/>
      <c r="B175" s="2"/>
      <c r="C175" s="2"/>
      <c r="D175" s="2"/>
      <c r="E175" s="2"/>
      <c r="F175" s="1"/>
      <c r="G175" s="1"/>
      <c r="H175" s="1"/>
      <c r="I175" s="1"/>
      <c r="J175" s="1"/>
      <c r="K175" s="1"/>
      <c r="L175" s="1"/>
      <c r="M175" s="1"/>
    </row>
    <row r="176" spans="1:13" ht="15.75" customHeight="1" x14ac:dyDescent="0.25">
      <c r="A176" s="1"/>
      <c r="B176" s="2"/>
      <c r="C176" s="2"/>
      <c r="D176" s="2"/>
      <c r="E176" s="2"/>
      <c r="F176" s="1"/>
      <c r="G176" s="1"/>
      <c r="H176" s="1"/>
      <c r="I176" s="1"/>
      <c r="J176" s="1"/>
      <c r="K176" s="1"/>
      <c r="L176" s="1"/>
      <c r="M176" s="1"/>
    </row>
    <row r="177" spans="1:13" ht="15.75" customHeight="1" x14ac:dyDescent="0.25">
      <c r="A177" s="1"/>
      <c r="B177" s="2"/>
      <c r="C177" s="2"/>
      <c r="D177" s="2"/>
      <c r="E177" s="2"/>
      <c r="F177" s="1"/>
      <c r="G177" s="1"/>
      <c r="H177" s="1"/>
      <c r="I177" s="1"/>
      <c r="J177" s="1"/>
      <c r="K177" s="1"/>
      <c r="L177" s="1"/>
      <c r="M177" s="1"/>
    </row>
    <row r="178" spans="1:13" ht="15.75" customHeight="1" x14ac:dyDescent="0.25">
      <c r="A178" s="1"/>
      <c r="B178" s="2"/>
      <c r="C178" s="2"/>
      <c r="D178" s="2"/>
      <c r="E178" s="2"/>
      <c r="F178" s="1"/>
      <c r="G178" s="1"/>
      <c r="H178" s="1"/>
      <c r="I178" s="1"/>
      <c r="J178" s="1"/>
      <c r="K178" s="1"/>
      <c r="L178" s="1"/>
      <c r="M178" s="1"/>
    </row>
    <row r="179" spans="1:13" ht="15.75" customHeight="1" x14ac:dyDescent="0.25">
      <c r="A179" s="1"/>
      <c r="B179" s="2"/>
      <c r="C179" s="2"/>
      <c r="D179" s="2"/>
      <c r="E179" s="2"/>
      <c r="F179" s="1"/>
      <c r="G179" s="1"/>
      <c r="H179" s="1"/>
      <c r="I179" s="1"/>
      <c r="J179" s="1"/>
      <c r="K179" s="1"/>
      <c r="L179" s="1"/>
      <c r="M179" s="1"/>
    </row>
    <row r="180" spans="1:13" ht="15.75" customHeight="1" x14ac:dyDescent="0.25">
      <c r="A180" s="1"/>
      <c r="B180" s="2"/>
      <c r="C180" s="2"/>
      <c r="D180" s="2"/>
      <c r="E180" s="2"/>
      <c r="F180" s="1"/>
      <c r="G180" s="1"/>
      <c r="H180" s="1"/>
      <c r="I180" s="1"/>
      <c r="J180" s="1"/>
      <c r="K180" s="1"/>
      <c r="L180" s="1"/>
      <c r="M180" s="1"/>
    </row>
    <row r="181" spans="1:13" ht="15.75" customHeight="1" x14ac:dyDescent="0.25">
      <c r="A181" s="1"/>
      <c r="B181" s="2"/>
      <c r="C181" s="2"/>
      <c r="D181" s="2"/>
      <c r="E181" s="2"/>
      <c r="F181" s="1"/>
      <c r="G181" s="1"/>
      <c r="H181" s="1"/>
      <c r="I181" s="1"/>
      <c r="J181" s="1"/>
      <c r="K181" s="1"/>
      <c r="L181" s="1"/>
      <c r="M181" s="1"/>
    </row>
    <row r="182" spans="1:13" ht="15.75" customHeight="1" x14ac:dyDescent="0.25">
      <c r="A182" s="1"/>
      <c r="B182" s="2"/>
      <c r="C182" s="2"/>
      <c r="D182" s="2"/>
      <c r="E182" s="2"/>
      <c r="F182" s="1"/>
      <c r="G182" s="1"/>
      <c r="H182" s="1"/>
      <c r="I182" s="1"/>
      <c r="J182" s="1"/>
      <c r="K182" s="1"/>
      <c r="L182" s="1"/>
      <c r="M182" s="1"/>
    </row>
    <row r="183" spans="1:13" ht="15.75" customHeight="1" x14ac:dyDescent="0.25">
      <c r="A183" s="1"/>
      <c r="B183" s="2"/>
      <c r="C183" s="2"/>
      <c r="D183" s="2"/>
      <c r="E183" s="2"/>
      <c r="F183" s="1"/>
      <c r="G183" s="1"/>
      <c r="H183" s="1"/>
      <c r="I183" s="1"/>
      <c r="J183" s="1"/>
      <c r="K183" s="1"/>
      <c r="L183" s="1"/>
      <c r="M183" s="1"/>
    </row>
    <row r="184" spans="1:13" ht="15.75" customHeight="1" x14ac:dyDescent="0.25">
      <c r="A184" s="1"/>
      <c r="B184" s="2"/>
      <c r="C184" s="2"/>
      <c r="D184" s="2"/>
      <c r="E184" s="2"/>
      <c r="F184" s="1"/>
      <c r="G184" s="1"/>
      <c r="H184" s="1"/>
      <c r="I184" s="1"/>
      <c r="J184" s="1"/>
      <c r="K184" s="1"/>
      <c r="L184" s="1"/>
      <c r="M184" s="1"/>
    </row>
    <row r="185" spans="1:13" ht="15.75" customHeight="1" x14ac:dyDescent="0.25">
      <c r="A185" s="1"/>
      <c r="B185" s="2"/>
      <c r="C185" s="2"/>
      <c r="D185" s="2"/>
      <c r="E185" s="2"/>
      <c r="F185" s="1"/>
      <c r="G185" s="1"/>
      <c r="H185" s="1"/>
      <c r="I185" s="1"/>
      <c r="J185" s="1"/>
      <c r="K185" s="1"/>
      <c r="L185" s="1"/>
      <c r="M185" s="1"/>
    </row>
    <row r="186" spans="1:13" ht="15.75" customHeight="1" x14ac:dyDescent="0.25">
      <c r="A186" s="1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</row>
    <row r="187" spans="1:13" ht="15.75" customHeight="1" x14ac:dyDescent="0.25">
      <c r="A187" s="1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</row>
    <row r="188" spans="1:13" ht="15.75" customHeight="1" x14ac:dyDescent="0.25">
      <c r="A188" s="1"/>
      <c r="B188" s="2"/>
      <c r="C188" s="2"/>
      <c r="D188" s="2"/>
      <c r="E188" s="2"/>
      <c r="F188" s="1"/>
      <c r="G188" s="1"/>
      <c r="H188" s="1"/>
      <c r="I188" s="1"/>
      <c r="J188" s="1"/>
      <c r="K188" s="1"/>
      <c r="L188" s="1"/>
      <c r="M188" s="1"/>
    </row>
    <row r="189" spans="1:13" ht="15.75" customHeight="1" x14ac:dyDescent="0.25">
      <c r="A189" s="1"/>
      <c r="B189" s="2"/>
      <c r="C189" s="2"/>
      <c r="D189" s="2"/>
      <c r="E189" s="2"/>
      <c r="F189" s="1"/>
      <c r="G189" s="1"/>
      <c r="H189" s="1"/>
      <c r="I189" s="1"/>
      <c r="J189" s="1"/>
      <c r="K189" s="1"/>
      <c r="L189" s="1"/>
      <c r="M189" s="1"/>
    </row>
    <row r="190" spans="1:13" ht="15.75" customHeight="1" x14ac:dyDescent="0.25">
      <c r="A190" s="1"/>
      <c r="B190" s="2"/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</row>
    <row r="191" spans="1:13" ht="15.75" customHeight="1" x14ac:dyDescent="0.25">
      <c r="A191" s="1"/>
      <c r="B191" s="2"/>
      <c r="C191" s="2"/>
      <c r="D191" s="2"/>
      <c r="E191" s="2"/>
      <c r="F191" s="1"/>
      <c r="G191" s="1"/>
      <c r="H191" s="1"/>
      <c r="I191" s="1"/>
      <c r="J191" s="1"/>
      <c r="K191" s="1"/>
      <c r="L191" s="1"/>
      <c r="M191" s="1"/>
    </row>
    <row r="192" spans="1:13" ht="15.75" customHeight="1" x14ac:dyDescent="0.25">
      <c r="A192" s="1"/>
      <c r="B192" s="2"/>
      <c r="C192" s="2"/>
      <c r="D192" s="2"/>
      <c r="E192" s="2"/>
      <c r="F192" s="1"/>
      <c r="G192" s="1"/>
      <c r="H192" s="1"/>
      <c r="I192" s="1"/>
      <c r="J192" s="1"/>
      <c r="K192" s="1"/>
      <c r="L192" s="1"/>
      <c r="M192" s="1"/>
    </row>
    <row r="193" spans="1:13" ht="15.75" customHeight="1" x14ac:dyDescent="0.25">
      <c r="A193" s="1"/>
      <c r="B193" s="2"/>
      <c r="C193" s="2"/>
      <c r="D193" s="2"/>
      <c r="E193" s="2"/>
      <c r="F193" s="1"/>
      <c r="G193" s="1"/>
      <c r="H193" s="1"/>
      <c r="I193" s="1"/>
      <c r="J193" s="1"/>
      <c r="K193" s="1"/>
      <c r="L193" s="1"/>
      <c r="M193" s="1"/>
    </row>
    <row r="194" spans="1:13" ht="15.75" customHeight="1" x14ac:dyDescent="0.25">
      <c r="A194" s="1"/>
      <c r="B194" s="2"/>
      <c r="C194" s="2"/>
      <c r="D194" s="2"/>
      <c r="E194" s="2"/>
      <c r="F194" s="1"/>
      <c r="G194" s="1"/>
      <c r="H194" s="1"/>
      <c r="I194" s="1"/>
      <c r="J194" s="1"/>
      <c r="K194" s="1"/>
      <c r="L194" s="1"/>
      <c r="M194" s="1"/>
    </row>
    <row r="195" spans="1:13" ht="15.75" customHeight="1" x14ac:dyDescent="0.25">
      <c r="A195" s="1"/>
      <c r="B195" s="2"/>
      <c r="C195" s="2"/>
      <c r="D195" s="2"/>
      <c r="E195" s="2"/>
      <c r="F195" s="1"/>
      <c r="G195" s="1"/>
      <c r="H195" s="1"/>
      <c r="I195" s="1"/>
      <c r="J195" s="1"/>
      <c r="K195" s="1"/>
      <c r="L195" s="1"/>
      <c r="M195" s="1"/>
    </row>
    <row r="196" spans="1:13" ht="15.75" customHeight="1" x14ac:dyDescent="0.25">
      <c r="A196" s="1"/>
      <c r="B196" s="2"/>
      <c r="C196" s="2"/>
      <c r="D196" s="2"/>
      <c r="E196" s="2"/>
      <c r="F196" s="1"/>
      <c r="G196" s="1"/>
      <c r="H196" s="1"/>
      <c r="I196" s="1"/>
      <c r="J196" s="1"/>
      <c r="K196" s="1"/>
      <c r="L196" s="1"/>
      <c r="M196" s="1"/>
    </row>
    <row r="197" spans="1:13" ht="15.75" customHeight="1" x14ac:dyDescent="0.25">
      <c r="A197" s="1"/>
      <c r="B197" s="2"/>
      <c r="C197" s="2"/>
      <c r="D197" s="2"/>
      <c r="E197" s="2"/>
      <c r="F197" s="1"/>
      <c r="G197" s="1"/>
      <c r="H197" s="1"/>
      <c r="I197" s="1"/>
      <c r="J197" s="1"/>
      <c r="K197" s="1"/>
      <c r="L197" s="1"/>
      <c r="M197" s="1"/>
    </row>
    <row r="198" spans="1:13" ht="15.75" customHeight="1" x14ac:dyDescent="0.25">
      <c r="A198" s="1"/>
      <c r="B198" s="2"/>
      <c r="C198" s="2"/>
      <c r="D198" s="2"/>
      <c r="E198" s="2"/>
      <c r="F198" s="1"/>
      <c r="G198" s="1"/>
      <c r="H198" s="1"/>
      <c r="I198" s="1"/>
      <c r="J198" s="1"/>
      <c r="K198" s="1"/>
      <c r="L198" s="1"/>
      <c r="M198" s="1"/>
    </row>
    <row r="199" spans="1:13" ht="15.75" customHeight="1" x14ac:dyDescent="0.25">
      <c r="A199" s="1"/>
      <c r="B199" s="2"/>
      <c r="C199" s="2"/>
      <c r="D199" s="2"/>
      <c r="E199" s="2"/>
      <c r="F199" s="1"/>
      <c r="G199" s="1"/>
      <c r="H199" s="1"/>
      <c r="I199" s="1"/>
      <c r="J199" s="1"/>
      <c r="K199" s="1"/>
      <c r="L199" s="1"/>
      <c r="M199" s="1"/>
    </row>
    <row r="200" spans="1:13" ht="15.75" customHeight="1" x14ac:dyDescent="0.25">
      <c r="A200" s="1"/>
      <c r="B200" s="2"/>
      <c r="C200" s="2"/>
      <c r="D200" s="2"/>
      <c r="E200" s="2"/>
      <c r="F200" s="1"/>
      <c r="G200" s="1"/>
      <c r="H200" s="1"/>
      <c r="I200" s="1"/>
      <c r="J200" s="1"/>
      <c r="K200" s="1"/>
      <c r="L200" s="1"/>
      <c r="M200" s="1"/>
    </row>
    <row r="201" spans="1:13" ht="15.75" customHeight="1" x14ac:dyDescent="0.25">
      <c r="A201" s="1"/>
      <c r="B201" s="2"/>
      <c r="C201" s="2"/>
      <c r="D201" s="2"/>
      <c r="E201" s="2"/>
      <c r="F201" s="1"/>
      <c r="G201" s="1"/>
      <c r="H201" s="1"/>
      <c r="I201" s="1"/>
      <c r="J201" s="1"/>
      <c r="K201" s="1"/>
      <c r="L201" s="1"/>
      <c r="M201" s="1"/>
    </row>
    <row r="202" spans="1:13" ht="15.75" customHeight="1" x14ac:dyDescent="0.25">
      <c r="A202" s="1"/>
      <c r="B202" s="2"/>
      <c r="C202" s="2"/>
      <c r="D202" s="2"/>
      <c r="E202" s="2"/>
      <c r="F202" s="1"/>
      <c r="G202" s="1"/>
      <c r="H202" s="1"/>
      <c r="I202" s="1"/>
      <c r="J202" s="1"/>
      <c r="K202" s="1"/>
      <c r="L202" s="1"/>
      <c r="M202" s="1"/>
    </row>
    <row r="203" spans="1:13" ht="15.75" customHeight="1" x14ac:dyDescent="0.25">
      <c r="A203" s="1"/>
      <c r="B203" s="2"/>
      <c r="C203" s="2"/>
      <c r="D203" s="2"/>
      <c r="E203" s="2"/>
      <c r="F203" s="1"/>
      <c r="G203" s="1"/>
      <c r="H203" s="1"/>
      <c r="I203" s="1"/>
      <c r="J203" s="1"/>
      <c r="K203" s="1"/>
      <c r="L203" s="1"/>
      <c r="M203" s="1"/>
    </row>
    <row r="204" spans="1:13" ht="15.75" customHeight="1" x14ac:dyDescent="0.25">
      <c r="A204" s="1"/>
      <c r="B204" s="2"/>
      <c r="C204" s="2"/>
      <c r="D204" s="2"/>
      <c r="E204" s="2"/>
      <c r="F204" s="1"/>
      <c r="G204" s="1"/>
      <c r="H204" s="1"/>
      <c r="I204" s="1"/>
      <c r="J204" s="1"/>
      <c r="K204" s="1"/>
      <c r="L204" s="1"/>
      <c r="M204" s="1"/>
    </row>
    <row r="205" spans="1:13" ht="15.75" customHeight="1" x14ac:dyDescent="0.25">
      <c r="A205" s="1"/>
      <c r="B205" s="2"/>
      <c r="C205" s="2"/>
      <c r="D205" s="2"/>
      <c r="E205" s="2"/>
      <c r="F205" s="1"/>
      <c r="G205" s="1"/>
      <c r="H205" s="1"/>
      <c r="I205" s="1"/>
      <c r="J205" s="1"/>
      <c r="K205" s="1"/>
      <c r="L205" s="1"/>
      <c r="M205" s="1"/>
    </row>
    <row r="206" spans="1:13" ht="15.75" customHeight="1" x14ac:dyDescent="0.25">
      <c r="A206" s="1"/>
      <c r="B206" s="2"/>
      <c r="C206" s="2"/>
      <c r="D206" s="2"/>
      <c r="E206" s="2"/>
      <c r="F206" s="1"/>
      <c r="G206" s="1"/>
      <c r="H206" s="1"/>
      <c r="I206" s="1"/>
      <c r="J206" s="1"/>
      <c r="K206" s="1"/>
      <c r="L206" s="1"/>
      <c r="M206" s="1"/>
    </row>
    <row r="207" spans="1:13" ht="15.75" customHeight="1" x14ac:dyDescent="0.25">
      <c r="A207" s="1"/>
      <c r="B207" s="2"/>
      <c r="C207" s="2"/>
      <c r="D207" s="2"/>
      <c r="E207" s="2"/>
      <c r="F207" s="1"/>
      <c r="G207" s="1"/>
      <c r="H207" s="1"/>
      <c r="I207" s="1"/>
      <c r="J207" s="1"/>
      <c r="K207" s="1"/>
      <c r="L207" s="1"/>
      <c r="M207" s="1"/>
    </row>
    <row r="208" spans="1:13" ht="15.75" customHeight="1" x14ac:dyDescent="0.25">
      <c r="A208" s="1"/>
      <c r="B208" s="2"/>
      <c r="C208" s="2"/>
      <c r="D208" s="2"/>
      <c r="E208" s="2"/>
      <c r="F208" s="1"/>
      <c r="G208" s="1"/>
      <c r="H208" s="1"/>
      <c r="I208" s="1"/>
      <c r="J208" s="1"/>
      <c r="K208" s="1"/>
      <c r="L208" s="1"/>
      <c r="M208" s="1"/>
    </row>
    <row r="209" spans="1:13" ht="15.75" customHeight="1" x14ac:dyDescent="0.25">
      <c r="A209" s="1"/>
      <c r="B209" s="2"/>
      <c r="C209" s="2"/>
      <c r="D209" s="2"/>
      <c r="E209" s="2"/>
      <c r="F209" s="1"/>
      <c r="G209" s="1"/>
      <c r="H209" s="1"/>
      <c r="I209" s="1"/>
      <c r="J209" s="1"/>
      <c r="K209" s="1"/>
      <c r="L209" s="1"/>
      <c r="M209" s="1"/>
    </row>
    <row r="210" spans="1:13" ht="15.75" customHeight="1" x14ac:dyDescent="0.25">
      <c r="A210" s="1"/>
      <c r="B210" s="2"/>
      <c r="C210" s="2"/>
      <c r="D210" s="2"/>
      <c r="E210" s="2"/>
      <c r="F210" s="1"/>
      <c r="G210" s="1"/>
      <c r="H210" s="1"/>
      <c r="I210" s="1"/>
      <c r="J210" s="1"/>
      <c r="K210" s="1"/>
      <c r="L210" s="1"/>
      <c r="M210" s="1"/>
    </row>
    <row r="211" spans="1:13" ht="15.75" customHeight="1" x14ac:dyDescent="0.25">
      <c r="A211" s="1"/>
      <c r="B211" s="2"/>
      <c r="C211" s="2"/>
      <c r="D211" s="2"/>
      <c r="E211" s="2"/>
      <c r="F211" s="1"/>
      <c r="G211" s="1"/>
      <c r="H211" s="1"/>
      <c r="I211" s="1"/>
      <c r="J211" s="1"/>
      <c r="K211" s="1"/>
      <c r="L211" s="1"/>
      <c r="M211" s="1"/>
    </row>
    <row r="212" spans="1:13" ht="15.75" customHeight="1" x14ac:dyDescent="0.25">
      <c r="A212" s="1"/>
      <c r="B212" s="2"/>
      <c r="C212" s="2"/>
      <c r="D212" s="2"/>
      <c r="E212" s="2"/>
      <c r="F212" s="1"/>
      <c r="G212" s="1"/>
      <c r="H212" s="1"/>
      <c r="I212" s="1"/>
      <c r="J212" s="1"/>
      <c r="K212" s="1"/>
      <c r="L212" s="1"/>
      <c r="M212" s="1"/>
    </row>
    <row r="213" spans="1:13" ht="15.75" customHeight="1" x14ac:dyDescent="0.25">
      <c r="A213" s="1"/>
      <c r="B213" s="2"/>
      <c r="C213" s="2"/>
      <c r="D213" s="2"/>
      <c r="E213" s="2"/>
      <c r="F213" s="1"/>
      <c r="G213" s="1"/>
      <c r="H213" s="1"/>
      <c r="I213" s="1"/>
      <c r="J213" s="1"/>
      <c r="K213" s="1"/>
      <c r="L213" s="1"/>
      <c r="M213" s="1"/>
    </row>
    <row r="214" spans="1:13" ht="15.75" customHeight="1" x14ac:dyDescent="0.25">
      <c r="A214" s="1"/>
      <c r="B214" s="2"/>
      <c r="C214" s="2"/>
      <c r="D214" s="2"/>
      <c r="E214" s="2"/>
      <c r="F214" s="1"/>
      <c r="G214" s="1"/>
      <c r="H214" s="1"/>
      <c r="I214" s="1"/>
      <c r="J214" s="1"/>
      <c r="K214" s="1"/>
      <c r="L214" s="1"/>
      <c r="M214" s="1"/>
    </row>
    <row r="215" spans="1:13" ht="15.75" customHeight="1" x14ac:dyDescent="0.25">
      <c r="A215" s="1"/>
      <c r="B215" s="2"/>
      <c r="C215" s="2"/>
      <c r="D215" s="2"/>
      <c r="E215" s="2"/>
      <c r="F215" s="1"/>
      <c r="G215" s="1"/>
      <c r="H215" s="1"/>
      <c r="I215" s="1"/>
      <c r="J215" s="1"/>
      <c r="K215" s="1"/>
      <c r="L215" s="1"/>
      <c r="M215" s="1"/>
    </row>
    <row r="216" spans="1:13" ht="15.75" customHeight="1" x14ac:dyDescent="0.25">
      <c r="A216" s="1"/>
      <c r="B216" s="2"/>
      <c r="C216" s="2"/>
      <c r="D216" s="2"/>
      <c r="E216" s="2"/>
      <c r="F216" s="1"/>
      <c r="G216" s="1"/>
      <c r="H216" s="1"/>
      <c r="I216" s="1"/>
      <c r="J216" s="1"/>
      <c r="K216" s="1"/>
      <c r="L216" s="1"/>
      <c r="M216" s="1"/>
    </row>
    <row r="217" spans="1:13" ht="15.75" customHeight="1" x14ac:dyDescent="0.25">
      <c r="A217" s="1"/>
      <c r="B217" s="2"/>
      <c r="C217" s="2"/>
      <c r="D217" s="2"/>
      <c r="E217" s="2"/>
      <c r="F217" s="1"/>
      <c r="G217" s="1"/>
      <c r="H217" s="1"/>
      <c r="I217" s="1"/>
      <c r="J217" s="1"/>
      <c r="K217" s="1"/>
      <c r="L217" s="1"/>
      <c r="M217" s="1"/>
    </row>
    <row r="218" spans="1:13" ht="15.75" customHeight="1" x14ac:dyDescent="0.25">
      <c r="A218" s="1"/>
      <c r="B218" s="2"/>
      <c r="C218" s="2"/>
      <c r="D218" s="2"/>
      <c r="E218" s="2"/>
      <c r="F218" s="1"/>
      <c r="G218" s="1"/>
      <c r="H218" s="1"/>
      <c r="I218" s="1"/>
      <c r="J218" s="1"/>
      <c r="K218" s="1"/>
      <c r="L218" s="1"/>
      <c r="M218" s="1"/>
    </row>
    <row r="219" spans="1:13" ht="15.75" customHeight="1" x14ac:dyDescent="0.25">
      <c r="A219" s="1"/>
      <c r="B219" s="2"/>
      <c r="C219" s="2"/>
      <c r="D219" s="2"/>
      <c r="E219" s="2"/>
      <c r="F219" s="1"/>
      <c r="G219" s="1"/>
      <c r="H219" s="1"/>
      <c r="I219" s="1"/>
      <c r="J219" s="1"/>
      <c r="K219" s="1"/>
      <c r="L219" s="1"/>
      <c r="M219" s="1"/>
    </row>
    <row r="220" spans="1:13" ht="15.75" customHeight="1" x14ac:dyDescent="0.25">
      <c r="A220" s="1"/>
      <c r="B220" s="2"/>
      <c r="C220" s="2"/>
      <c r="D220" s="2"/>
      <c r="E220" s="2"/>
      <c r="F220" s="1"/>
      <c r="G220" s="1"/>
      <c r="H220" s="1"/>
      <c r="I220" s="1"/>
      <c r="J220" s="1"/>
      <c r="K220" s="1"/>
      <c r="L220" s="1"/>
      <c r="M220" s="1"/>
    </row>
    <row r="221" spans="1:13" ht="15.75" customHeight="1" x14ac:dyDescent="0.25">
      <c r="A221" s="1"/>
      <c r="B221" s="2"/>
      <c r="C221" s="2"/>
      <c r="D221" s="2"/>
      <c r="E221" s="2"/>
      <c r="F221" s="1"/>
      <c r="G221" s="1"/>
      <c r="H221" s="1"/>
      <c r="I221" s="1"/>
      <c r="J221" s="1"/>
      <c r="K221" s="1"/>
      <c r="L221" s="1"/>
      <c r="M221" s="1"/>
    </row>
    <row r="222" spans="1:13" ht="15.75" customHeight="1" x14ac:dyDescent="0.25">
      <c r="A222" s="1"/>
      <c r="B222" s="2"/>
      <c r="C222" s="2"/>
      <c r="D222" s="2"/>
      <c r="E222" s="2"/>
      <c r="F222" s="1"/>
      <c r="G222" s="1"/>
      <c r="H222" s="1"/>
      <c r="I222" s="1"/>
      <c r="J222" s="1"/>
      <c r="K222" s="1"/>
      <c r="L222" s="1"/>
      <c r="M222" s="1"/>
    </row>
    <row r="223" spans="1:13" ht="15.75" customHeight="1" x14ac:dyDescent="0.25">
      <c r="A223" s="1"/>
      <c r="B223" s="2"/>
      <c r="C223" s="2"/>
      <c r="D223" s="2"/>
      <c r="E223" s="2"/>
      <c r="F223" s="1"/>
      <c r="G223" s="1"/>
      <c r="H223" s="1"/>
      <c r="I223" s="1"/>
      <c r="J223" s="1"/>
      <c r="K223" s="1"/>
      <c r="L223" s="1"/>
      <c r="M223" s="1"/>
    </row>
    <row r="224" spans="1:13" ht="15.75" customHeight="1" x14ac:dyDescent="0.25">
      <c r="A224" s="1"/>
      <c r="B224" s="2"/>
      <c r="C224" s="2"/>
      <c r="D224" s="2"/>
      <c r="E224" s="2"/>
      <c r="F224" s="1"/>
      <c r="G224" s="1"/>
      <c r="H224" s="1"/>
      <c r="I224" s="1"/>
      <c r="J224" s="1"/>
      <c r="K224" s="1"/>
      <c r="L224" s="1"/>
      <c r="M224" s="1"/>
    </row>
    <row r="225" spans="1:13" ht="15.75" customHeight="1" x14ac:dyDescent="0.25">
      <c r="A225" s="1"/>
      <c r="B225" s="2"/>
      <c r="C225" s="2"/>
      <c r="D225" s="2"/>
      <c r="E225" s="2"/>
      <c r="F225" s="1"/>
      <c r="G225" s="1"/>
      <c r="H225" s="1"/>
      <c r="I225" s="1"/>
      <c r="J225" s="1"/>
      <c r="K225" s="1"/>
      <c r="L225" s="1"/>
      <c r="M225" s="1"/>
    </row>
    <row r="226" spans="1:13" ht="15.75" customHeight="1" x14ac:dyDescent="0.25">
      <c r="A226" s="1"/>
      <c r="B226" s="2"/>
      <c r="C226" s="2"/>
      <c r="D226" s="2"/>
      <c r="E226" s="2"/>
      <c r="F226" s="1"/>
      <c r="G226" s="1"/>
      <c r="H226" s="1"/>
      <c r="I226" s="1"/>
      <c r="J226" s="1"/>
      <c r="K226" s="1"/>
      <c r="L226" s="1"/>
      <c r="M226" s="1"/>
    </row>
    <row r="227" spans="1:13" ht="15.75" customHeight="1" x14ac:dyDescent="0.25">
      <c r="A227" s="1"/>
      <c r="B227" s="2"/>
      <c r="C227" s="2"/>
      <c r="D227" s="2"/>
      <c r="E227" s="2"/>
      <c r="F227" s="1"/>
      <c r="G227" s="1"/>
      <c r="H227" s="1"/>
      <c r="I227" s="1"/>
      <c r="J227" s="1"/>
      <c r="K227" s="1"/>
      <c r="L227" s="1"/>
      <c r="M227" s="1"/>
    </row>
    <row r="228" spans="1:13" ht="15.75" customHeight="1" x14ac:dyDescent="0.25">
      <c r="A228" s="1"/>
      <c r="B228" s="2"/>
      <c r="C228" s="2"/>
      <c r="D228" s="2"/>
      <c r="E228" s="2"/>
      <c r="F228" s="1"/>
      <c r="G228" s="1"/>
      <c r="H228" s="1"/>
      <c r="I228" s="1"/>
      <c r="J228" s="1"/>
      <c r="K228" s="1"/>
      <c r="L228" s="1"/>
      <c r="M228" s="1"/>
    </row>
    <row r="229" spans="1:13" ht="15.75" customHeight="1" x14ac:dyDescent="0.25">
      <c r="A229" s="1"/>
      <c r="B229" s="2"/>
      <c r="C229" s="2"/>
      <c r="D229" s="2"/>
      <c r="E229" s="2"/>
      <c r="F229" s="1"/>
      <c r="G229" s="1"/>
      <c r="H229" s="1"/>
      <c r="I229" s="1"/>
      <c r="J229" s="1"/>
      <c r="K229" s="1"/>
      <c r="L229" s="1"/>
      <c r="M229" s="1"/>
    </row>
    <row r="230" spans="1:13" ht="15.75" customHeight="1" x14ac:dyDescent="0.25">
      <c r="A230" s="1"/>
      <c r="B230" s="2"/>
      <c r="C230" s="2"/>
      <c r="D230" s="2"/>
      <c r="E230" s="2"/>
      <c r="F230" s="1"/>
      <c r="G230" s="1"/>
      <c r="H230" s="1"/>
      <c r="I230" s="1"/>
      <c r="J230" s="1"/>
      <c r="K230" s="1"/>
      <c r="L230" s="1"/>
      <c r="M230" s="1"/>
    </row>
    <row r="231" spans="1:13" ht="15.75" customHeight="1" x14ac:dyDescent="0.25">
      <c r="A231" s="1"/>
      <c r="B231" s="2"/>
      <c r="C231" s="2"/>
      <c r="D231" s="2"/>
      <c r="E231" s="2"/>
      <c r="F231" s="1"/>
      <c r="G231" s="1"/>
      <c r="H231" s="1"/>
      <c r="I231" s="1"/>
      <c r="J231" s="1"/>
      <c r="K231" s="1"/>
      <c r="L231" s="1"/>
      <c r="M231" s="1"/>
    </row>
    <row r="232" spans="1:13" ht="15.75" customHeight="1" x14ac:dyDescent="0.25">
      <c r="A232" s="1"/>
      <c r="B232" s="2"/>
      <c r="C232" s="2"/>
      <c r="D232" s="2"/>
      <c r="E232" s="2"/>
      <c r="F232" s="1"/>
      <c r="G232" s="1"/>
      <c r="H232" s="1"/>
      <c r="I232" s="1"/>
      <c r="J232" s="1"/>
      <c r="K232" s="1"/>
      <c r="L232" s="1"/>
      <c r="M232" s="1"/>
    </row>
    <row r="233" spans="1:13" ht="15.75" customHeight="1" x14ac:dyDescent="0.25">
      <c r="A233" s="1"/>
      <c r="B233" s="2"/>
      <c r="C233" s="2"/>
      <c r="D233" s="2"/>
      <c r="E233" s="2"/>
      <c r="F233" s="1"/>
      <c r="G233" s="1"/>
      <c r="H233" s="1"/>
      <c r="I233" s="1"/>
      <c r="J233" s="1"/>
      <c r="K233" s="1"/>
      <c r="L233" s="1"/>
      <c r="M233" s="1"/>
    </row>
    <row r="234" spans="1:13" ht="15.75" customHeight="1" x14ac:dyDescent="0.25">
      <c r="A234" s="1"/>
      <c r="B234" s="2"/>
      <c r="C234" s="2"/>
      <c r="D234" s="2"/>
      <c r="E234" s="2"/>
      <c r="F234" s="1"/>
      <c r="G234" s="1"/>
      <c r="H234" s="1"/>
      <c r="I234" s="1"/>
      <c r="J234" s="1"/>
      <c r="K234" s="1"/>
      <c r="L234" s="1"/>
      <c r="M234" s="1"/>
    </row>
    <row r="235" spans="1:13" ht="15.75" customHeight="1" x14ac:dyDescent="0.25">
      <c r="A235" s="1"/>
      <c r="B235" s="2"/>
      <c r="C235" s="2"/>
      <c r="D235" s="2"/>
      <c r="E235" s="2"/>
      <c r="F235" s="1"/>
      <c r="G235" s="1"/>
      <c r="H235" s="1"/>
      <c r="I235" s="1"/>
      <c r="J235" s="1"/>
      <c r="K235" s="1"/>
      <c r="L235" s="1"/>
      <c r="M235" s="1"/>
    </row>
    <row r="236" spans="1:13" ht="15.75" customHeight="1" x14ac:dyDescent="0.25">
      <c r="A236" s="1"/>
      <c r="B236" s="2"/>
      <c r="C236" s="2"/>
      <c r="D236" s="2"/>
      <c r="E236" s="2"/>
      <c r="F236" s="1"/>
      <c r="G236" s="1"/>
      <c r="H236" s="1"/>
      <c r="I236" s="1"/>
      <c r="J236" s="1"/>
      <c r="K236" s="1"/>
      <c r="L236" s="1"/>
      <c r="M236" s="1"/>
    </row>
    <row r="237" spans="1:13" ht="15.75" customHeight="1" x14ac:dyDescent="0.25">
      <c r="A237" s="1"/>
      <c r="B237" s="2"/>
      <c r="C237" s="2"/>
      <c r="D237" s="2"/>
      <c r="E237" s="2"/>
      <c r="F237" s="1"/>
      <c r="G237" s="1"/>
      <c r="H237" s="1"/>
      <c r="I237" s="1"/>
      <c r="J237" s="1"/>
      <c r="K237" s="1"/>
      <c r="L237" s="1"/>
      <c r="M237" s="1"/>
    </row>
    <row r="238" spans="1:13" ht="15.75" customHeight="1" x14ac:dyDescent="0.25">
      <c r="A238" s="1"/>
      <c r="B238" s="2"/>
      <c r="C238" s="2"/>
      <c r="D238" s="2"/>
      <c r="E238" s="2"/>
      <c r="F238" s="1"/>
      <c r="G238" s="1"/>
      <c r="H238" s="1"/>
      <c r="I238" s="1"/>
      <c r="J238" s="1"/>
      <c r="K238" s="1"/>
      <c r="L238" s="1"/>
      <c r="M238" s="1"/>
    </row>
    <row r="239" spans="1:13" ht="15.75" customHeight="1" x14ac:dyDescent="0.25">
      <c r="A239" s="1"/>
      <c r="B239" s="2"/>
      <c r="C239" s="2"/>
      <c r="D239" s="2"/>
      <c r="E239" s="2"/>
      <c r="F239" s="1"/>
      <c r="G239" s="1"/>
      <c r="H239" s="1"/>
      <c r="I239" s="1"/>
      <c r="J239" s="1"/>
      <c r="K239" s="1"/>
      <c r="L239" s="1"/>
      <c r="M239" s="1"/>
    </row>
    <row r="240" spans="1:13" ht="15.75" customHeight="1" x14ac:dyDescent="0.25">
      <c r="A240" s="1"/>
      <c r="B240" s="2"/>
      <c r="C240" s="2"/>
      <c r="D240" s="2"/>
      <c r="E240" s="2"/>
      <c r="F240" s="1"/>
      <c r="G240" s="1"/>
      <c r="H240" s="1"/>
      <c r="I240" s="1"/>
      <c r="J240" s="1"/>
      <c r="K240" s="1"/>
      <c r="L240" s="1"/>
      <c r="M240" s="1"/>
    </row>
    <row r="241" spans="1:13" ht="15.75" customHeight="1" x14ac:dyDescent="0.25">
      <c r="A241" s="1"/>
      <c r="B241" s="2"/>
      <c r="C241" s="2"/>
      <c r="D241" s="2"/>
      <c r="E241" s="2"/>
      <c r="F241" s="1"/>
      <c r="G241" s="1"/>
      <c r="H241" s="1"/>
      <c r="I241" s="1"/>
      <c r="J241" s="1"/>
      <c r="K241" s="1"/>
      <c r="L241" s="1"/>
      <c r="M241" s="1"/>
    </row>
    <row r="242" spans="1:13" ht="15.75" customHeight="1" x14ac:dyDescent="0.25">
      <c r="A242" s="1"/>
      <c r="B242" s="2"/>
      <c r="C242" s="2"/>
      <c r="D242" s="2"/>
      <c r="E242" s="2"/>
      <c r="F242" s="1"/>
      <c r="G242" s="1"/>
      <c r="H242" s="1"/>
      <c r="I242" s="1"/>
      <c r="J242" s="1"/>
      <c r="K242" s="1"/>
      <c r="L242" s="1"/>
      <c r="M242" s="1"/>
    </row>
    <row r="243" spans="1:13" ht="15.75" customHeight="1" x14ac:dyDescent="0.25">
      <c r="A243" s="1"/>
      <c r="B243" s="2"/>
      <c r="C243" s="2"/>
      <c r="D243" s="2"/>
      <c r="E243" s="2"/>
      <c r="F243" s="1"/>
      <c r="G243" s="1"/>
      <c r="H243" s="1"/>
      <c r="I243" s="1"/>
      <c r="J243" s="1"/>
      <c r="K243" s="1"/>
      <c r="L243" s="1"/>
      <c r="M243" s="1"/>
    </row>
    <row r="244" spans="1:13" ht="15.75" customHeight="1" x14ac:dyDescent="0.25">
      <c r="A244" s="1"/>
      <c r="B244" s="2"/>
      <c r="C244" s="2"/>
      <c r="D244" s="2"/>
      <c r="E244" s="2"/>
      <c r="F244" s="1"/>
      <c r="G244" s="1"/>
      <c r="H244" s="1"/>
      <c r="I244" s="1"/>
      <c r="J244" s="1"/>
      <c r="K244" s="1"/>
      <c r="L244" s="1"/>
      <c r="M244" s="1"/>
    </row>
    <row r="245" spans="1:13" ht="15.75" customHeight="1" x14ac:dyDescent="0.25">
      <c r="A245" s="1"/>
      <c r="B245" s="2"/>
      <c r="C245" s="2"/>
      <c r="D245" s="2"/>
      <c r="E245" s="2"/>
      <c r="F245" s="1"/>
      <c r="G245" s="1"/>
      <c r="H245" s="1"/>
      <c r="I245" s="1"/>
      <c r="J245" s="1"/>
      <c r="K245" s="1"/>
      <c r="L245" s="1"/>
      <c r="M245" s="1"/>
    </row>
    <row r="246" spans="1:13" ht="15.75" customHeight="1" x14ac:dyDescent="0.25">
      <c r="A246" s="1"/>
      <c r="B246" s="2"/>
      <c r="C246" s="2"/>
      <c r="D246" s="2"/>
      <c r="E246" s="2"/>
      <c r="F246" s="1"/>
      <c r="G246" s="1"/>
      <c r="H246" s="1"/>
      <c r="I246" s="1"/>
      <c r="J246" s="1"/>
      <c r="K246" s="1"/>
      <c r="L246" s="1"/>
      <c r="M246" s="1"/>
    </row>
    <row r="247" spans="1:13" ht="15.75" customHeight="1" x14ac:dyDescent="0.25">
      <c r="A247" s="1"/>
      <c r="B247" s="2"/>
      <c r="C247" s="2"/>
      <c r="D247" s="2"/>
      <c r="E247" s="2"/>
      <c r="F247" s="1"/>
      <c r="G247" s="1"/>
      <c r="H247" s="1"/>
      <c r="I247" s="1"/>
      <c r="J247" s="1"/>
      <c r="K247" s="1"/>
      <c r="L247" s="1"/>
      <c r="M247" s="1"/>
    </row>
    <row r="248" spans="1:13" ht="15.75" customHeight="1" x14ac:dyDescent="0.25">
      <c r="A248" s="1"/>
      <c r="B248" s="2"/>
      <c r="C248" s="2"/>
      <c r="D248" s="2"/>
      <c r="E248" s="2"/>
      <c r="F248" s="1"/>
      <c r="G248" s="1"/>
      <c r="H248" s="1"/>
      <c r="I248" s="1"/>
      <c r="J248" s="1"/>
      <c r="K248" s="1"/>
      <c r="L248" s="1"/>
      <c r="M248" s="1"/>
    </row>
    <row r="249" spans="1:13" ht="15.75" customHeight="1" x14ac:dyDescent="0.25">
      <c r="A249" s="1"/>
      <c r="B249" s="2"/>
      <c r="C249" s="2"/>
      <c r="D249" s="2"/>
      <c r="E249" s="2"/>
      <c r="F249" s="1"/>
      <c r="G249" s="1"/>
      <c r="H249" s="1"/>
      <c r="I249" s="1"/>
      <c r="J249" s="1"/>
      <c r="K249" s="1"/>
      <c r="L249" s="1"/>
      <c r="M249" s="1"/>
    </row>
    <row r="250" spans="1:13" ht="15.75" customHeight="1" x14ac:dyDescent="0.25">
      <c r="A250" s="1"/>
      <c r="B250" s="2"/>
      <c r="C250" s="2"/>
      <c r="D250" s="2"/>
      <c r="E250" s="2"/>
      <c r="F250" s="1"/>
      <c r="G250" s="1"/>
      <c r="H250" s="1"/>
      <c r="I250" s="1"/>
      <c r="J250" s="1"/>
      <c r="K250" s="1"/>
      <c r="L250" s="1"/>
      <c r="M250" s="1"/>
    </row>
    <row r="251" spans="1:13" ht="15.75" customHeight="1" x14ac:dyDescent="0.25">
      <c r="A251" s="1"/>
      <c r="B251" s="2"/>
      <c r="C251" s="2"/>
      <c r="D251" s="2"/>
      <c r="E251" s="2"/>
      <c r="F251" s="1"/>
      <c r="G251" s="1"/>
      <c r="H251" s="1"/>
      <c r="I251" s="1"/>
      <c r="J251" s="1"/>
      <c r="K251" s="1"/>
      <c r="L251" s="1"/>
      <c r="M251" s="1"/>
    </row>
    <row r="252" spans="1:13" ht="15.75" customHeight="1" x14ac:dyDescent="0.25">
      <c r="A252" s="1"/>
      <c r="B252" s="2"/>
      <c r="C252" s="2"/>
      <c r="D252" s="2"/>
      <c r="E252" s="2"/>
      <c r="F252" s="1"/>
      <c r="G252" s="1"/>
      <c r="H252" s="1"/>
      <c r="I252" s="1"/>
      <c r="J252" s="1"/>
      <c r="K252" s="1"/>
      <c r="L252" s="1"/>
      <c r="M252" s="1"/>
    </row>
    <row r="253" spans="1:13" ht="15.75" customHeight="1" x14ac:dyDescent="0.25">
      <c r="A253" s="1"/>
      <c r="B253" s="2"/>
      <c r="C253" s="2"/>
      <c r="D253" s="2"/>
      <c r="E253" s="2"/>
      <c r="F253" s="1"/>
      <c r="G253" s="1"/>
      <c r="H253" s="1"/>
      <c r="I253" s="1"/>
      <c r="J253" s="1"/>
      <c r="K253" s="1"/>
      <c r="L253" s="1"/>
      <c r="M253" s="1"/>
    </row>
    <row r="254" spans="1:13" ht="15.75" customHeight="1" x14ac:dyDescent="0.25">
      <c r="A254" s="1"/>
      <c r="B254" s="2"/>
      <c r="C254" s="2"/>
      <c r="D254" s="2"/>
      <c r="E254" s="2"/>
      <c r="F254" s="1"/>
      <c r="G254" s="1"/>
      <c r="H254" s="1"/>
      <c r="I254" s="1"/>
      <c r="J254" s="1"/>
      <c r="K254" s="1"/>
      <c r="L254" s="1"/>
      <c r="M254" s="1"/>
    </row>
    <row r="255" spans="1:13" ht="15.75" customHeight="1" x14ac:dyDescent="0.25">
      <c r="A255" s="1"/>
      <c r="B255" s="2"/>
      <c r="C255" s="2"/>
      <c r="D255" s="2"/>
      <c r="E255" s="2"/>
      <c r="F255" s="1"/>
      <c r="G255" s="1"/>
      <c r="H255" s="1"/>
      <c r="I255" s="1"/>
      <c r="J255" s="1"/>
      <c r="K255" s="1"/>
      <c r="L255" s="1"/>
      <c r="M255" s="1"/>
    </row>
    <row r="256" spans="1:13" ht="15.75" customHeight="1" x14ac:dyDescent="0.25">
      <c r="A256" s="1"/>
      <c r="B256" s="2"/>
      <c r="C256" s="2"/>
      <c r="D256" s="2"/>
      <c r="E256" s="2"/>
      <c r="F256" s="1"/>
      <c r="G256" s="1"/>
      <c r="H256" s="1"/>
      <c r="I256" s="1"/>
      <c r="J256" s="1"/>
      <c r="K256" s="1"/>
      <c r="L256" s="1"/>
      <c r="M256" s="1"/>
    </row>
    <row r="257" spans="1:13" ht="15.75" customHeight="1" x14ac:dyDescent="0.25">
      <c r="A257" s="1"/>
      <c r="B257" s="2"/>
      <c r="C257" s="2"/>
      <c r="D257" s="2"/>
      <c r="E257" s="2"/>
      <c r="F257" s="1"/>
      <c r="G257" s="1"/>
      <c r="H257" s="1"/>
      <c r="I257" s="1"/>
      <c r="J257" s="1"/>
      <c r="K257" s="1"/>
      <c r="L257" s="1"/>
      <c r="M257" s="1"/>
    </row>
    <row r="258" spans="1:13" ht="15.75" customHeight="1" x14ac:dyDescent="0.25">
      <c r="A258" s="1"/>
      <c r="B258" s="2"/>
      <c r="C258" s="2"/>
      <c r="D258" s="2"/>
      <c r="E258" s="2"/>
      <c r="F258" s="1"/>
      <c r="G258" s="1"/>
      <c r="H258" s="1"/>
      <c r="I258" s="1"/>
      <c r="J258" s="1"/>
      <c r="K258" s="1"/>
      <c r="L258" s="1"/>
      <c r="M258" s="1"/>
    </row>
    <row r="259" spans="1:13" ht="15.75" customHeight="1" x14ac:dyDescent="0.25">
      <c r="A259" s="1"/>
      <c r="B259" s="2"/>
      <c r="C259" s="2"/>
      <c r="D259" s="2"/>
      <c r="E259" s="2"/>
      <c r="F259" s="1"/>
      <c r="G259" s="1"/>
      <c r="H259" s="1"/>
      <c r="I259" s="1"/>
      <c r="J259" s="1"/>
      <c r="K259" s="1"/>
      <c r="L259" s="1"/>
      <c r="M259" s="1"/>
    </row>
    <row r="260" spans="1:13" ht="15.75" customHeight="1" x14ac:dyDescent="0.25">
      <c r="A260" s="1"/>
      <c r="B260" s="2"/>
      <c r="C260" s="2"/>
      <c r="D260" s="2"/>
      <c r="E260" s="2"/>
      <c r="F260" s="1"/>
      <c r="G260" s="1"/>
      <c r="H260" s="1"/>
      <c r="I260" s="1"/>
      <c r="J260" s="1"/>
      <c r="K260" s="1"/>
      <c r="L260" s="1"/>
      <c r="M260" s="1"/>
    </row>
    <row r="261" spans="1:13" ht="15.75" customHeight="1" x14ac:dyDescent="0.25">
      <c r="A261" s="1"/>
      <c r="B261" s="2"/>
      <c r="C261" s="2"/>
      <c r="D261" s="2"/>
      <c r="E261" s="2"/>
      <c r="F261" s="1"/>
      <c r="G261" s="1"/>
      <c r="H261" s="1"/>
      <c r="I261" s="1"/>
      <c r="J261" s="1"/>
      <c r="K261" s="1"/>
      <c r="L261" s="1"/>
      <c r="M261" s="1"/>
    </row>
    <row r="262" spans="1:13" ht="15.75" customHeight="1" x14ac:dyDescent="0.25">
      <c r="A262" s="1"/>
      <c r="B262" s="2"/>
      <c r="C262" s="2"/>
      <c r="D262" s="2"/>
      <c r="E262" s="2"/>
      <c r="F262" s="1"/>
      <c r="G262" s="1"/>
      <c r="H262" s="1"/>
      <c r="I262" s="1"/>
      <c r="J262" s="1"/>
      <c r="K262" s="1"/>
      <c r="L262" s="1"/>
      <c r="M262" s="1"/>
    </row>
    <row r="263" spans="1:13" ht="15.75" customHeight="1" x14ac:dyDescent="0.25">
      <c r="A263" s="1"/>
      <c r="B263" s="2"/>
      <c r="C263" s="2"/>
      <c r="D263" s="2"/>
      <c r="E263" s="2"/>
      <c r="F263" s="1"/>
      <c r="G263" s="1"/>
      <c r="H263" s="1"/>
      <c r="I263" s="1"/>
      <c r="J263" s="1"/>
      <c r="K263" s="1"/>
      <c r="L263" s="1"/>
      <c r="M263" s="1"/>
    </row>
    <row r="264" spans="1:13" ht="15.75" customHeight="1" x14ac:dyDescent="0.25">
      <c r="A264" s="1"/>
      <c r="B264" s="2"/>
      <c r="C264" s="2"/>
      <c r="D264" s="2"/>
      <c r="E264" s="2"/>
      <c r="F264" s="1"/>
      <c r="G264" s="1"/>
      <c r="H264" s="1"/>
      <c r="I264" s="1"/>
      <c r="J264" s="1"/>
      <c r="K264" s="1"/>
      <c r="L264" s="1"/>
      <c r="M264" s="1"/>
    </row>
    <row r="265" spans="1:13" ht="15.75" customHeight="1" x14ac:dyDescent="0.25">
      <c r="A265" s="1"/>
      <c r="B265" s="2"/>
      <c r="C265" s="2"/>
      <c r="D265" s="2"/>
      <c r="E265" s="2"/>
      <c r="F265" s="1"/>
      <c r="G265" s="1"/>
      <c r="H265" s="1"/>
      <c r="I265" s="1"/>
      <c r="J265" s="1"/>
      <c r="K265" s="1"/>
      <c r="L265" s="1"/>
      <c r="M265" s="1"/>
    </row>
    <row r="266" spans="1:13" ht="15.75" customHeight="1" x14ac:dyDescent="0.25">
      <c r="A266" s="1"/>
      <c r="B266" s="2"/>
      <c r="C266" s="2"/>
      <c r="D266" s="2"/>
      <c r="E266" s="2"/>
      <c r="F266" s="1"/>
      <c r="G266" s="1"/>
      <c r="H266" s="1"/>
      <c r="I266" s="1"/>
      <c r="J266" s="1"/>
      <c r="K266" s="1"/>
      <c r="L266" s="1"/>
      <c r="M266" s="1"/>
    </row>
    <row r="267" spans="1:13" ht="15.75" customHeight="1" x14ac:dyDescent="0.25">
      <c r="A267" s="1"/>
      <c r="B267" s="2"/>
      <c r="C267" s="2"/>
      <c r="D267" s="2"/>
      <c r="E267" s="2"/>
      <c r="F267" s="1"/>
      <c r="G267" s="1"/>
      <c r="H267" s="1"/>
      <c r="I267" s="1"/>
      <c r="J267" s="1"/>
      <c r="K267" s="1"/>
      <c r="L267" s="1"/>
      <c r="M267" s="1"/>
    </row>
    <row r="268" spans="1:13" ht="15.75" customHeight="1" x14ac:dyDescent="0.25">
      <c r="A268" s="1"/>
      <c r="B268" s="2"/>
      <c r="C268" s="2"/>
      <c r="D268" s="2"/>
      <c r="E268" s="2"/>
      <c r="F268" s="1"/>
      <c r="G268" s="1"/>
      <c r="H268" s="1"/>
      <c r="I268" s="1"/>
      <c r="J268" s="1"/>
      <c r="K268" s="1"/>
      <c r="L268" s="1"/>
      <c r="M268" s="1"/>
    </row>
    <row r="269" spans="1:13" ht="15.75" customHeight="1" x14ac:dyDescent="0.25">
      <c r="A269" s="1"/>
      <c r="B269" s="2"/>
      <c r="C269" s="2"/>
      <c r="D269" s="2"/>
      <c r="E269" s="2"/>
      <c r="F269" s="1"/>
      <c r="G269" s="1"/>
      <c r="H269" s="1"/>
      <c r="I269" s="1"/>
      <c r="J269" s="1"/>
      <c r="K269" s="1"/>
      <c r="L269" s="1"/>
      <c r="M269" s="1"/>
    </row>
    <row r="270" spans="1:13" ht="15.75" customHeight="1" x14ac:dyDescent="0.25">
      <c r="A270" s="1"/>
      <c r="B270" s="2"/>
      <c r="C270" s="2"/>
      <c r="D270" s="2"/>
      <c r="E270" s="2"/>
      <c r="F270" s="1"/>
      <c r="G270" s="1"/>
      <c r="H270" s="1"/>
      <c r="I270" s="1"/>
      <c r="J270" s="1"/>
      <c r="K270" s="1"/>
      <c r="L270" s="1"/>
      <c r="M270" s="1"/>
    </row>
    <row r="271" spans="1:13" ht="15.75" customHeight="1" x14ac:dyDescent="0.25">
      <c r="A271" s="1"/>
      <c r="B271" s="2"/>
      <c r="C271" s="2"/>
      <c r="D271" s="2"/>
      <c r="E271" s="2"/>
      <c r="F271" s="1"/>
      <c r="G271" s="1"/>
      <c r="H271" s="1"/>
      <c r="I271" s="1"/>
      <c r="J271" s="1"/>
      <c r="K271" s="1"/>
      <c r="L271" s="1"/>
      <c r="M271" s="1"/>
    </row>
    <row r="272" spans="1:13" ht="15.75" customHeight="1" x14ac:dyDescent="0.25">
      <c r="A272" s="1"/>
      <c r="B272" s="2"/>
      <c r="C272" s="2"/>
      <c r="D272" s="2"/>
      <c r="E272" s="2"/>
      <c r="F272" s="1"/>
      <c r="G272" s="1"/>
      <c r="H272" s="1"/>
      <c r="I272" s="1"/>
      <c r="J272" s="1"/>
      <c r="K272" s="1"/>
      <c r="L272" s="1"/>
      <c r="M272" s="1"/>
    </row>
    <row r="273" spans="1:13" ht="15.75" customHeight="1" x14ac:dyDescent="0.25">
      <c r="A273" s="1"/>
      <c r="B273" s="2"/>
      <c r="C273" s="2"/>
      <c r="D273" s="2"/>
      <c r="E273" s="2"/>
      <c r="F273" s="1"/>
      <c r="G273" s="1"/>
      <c r="H273" s="1"/>
      <c r="I273" s="1"/>
      <c r="J273" s="1"/>
      <c r="K273" s="1"/>
      <c r="L273" s="1"/>
      <c r="M273" s="1"/>
    </row>
    <row r="274" spans="1:13" ht="15.75" customHeight="1" x14ac:dyDescent="0.25">
      <c r="A274" s="1"/>
      <c r="B274" s="2"/>
      <c r="C274" s="2"/>
      <c r="D274" s="2"/>
      <c r="E274" s="2"/>
      <c r="F274" s="1"/>
      <c r="G274" s="1"/>
      <c r="H274" s="1"/>
      <c r="I274" s="1"/>
      <c r="J274" s="1"/>
      <c r="K274" s="1"/>
      <c r="L274" s="1"/>
      <c r="M274" s="1"/>
    </row>
    <row r="275" spans="1:13" ht="15.75" customHeight="1" x14ac:dyDescent="0.25">
      <c r="A275" s="1"/>
      <c r="B275" s="2"/>
      <c r="C275" s="2"/>
      <c r="D275" s="2"/>
      <c r="E275" s="2"/>
      <c r="F275" s="1"/>
      <c r="G275" s="1"/>
      <c r="H275" s="1"/>
      <c r="I275" s="1"/>
      <c r="J275" s="1"/>
      <c r="K275" s="1"/>
      <c r="L275" s="1"/>
      <c r="M275" s="1"/>
    </row>
    <row r="276" spans="1:13" ht="15.75" customHeight="1" x14ac:dyDescent="0.25">
      <c r="A276" s="1"/>
      <c r="B276" s="2"/>
      <c r="C276" s="2"/>
      <c r="D276" s="2"/>
      <c r="E276" s="2"/>
      <c r="F276" s="1"/>
      <c r="G276" s="1"/>
      <c r="H276" s="1"/>
      <c r="I276" s="1"/>
      <c r="J276" s="1"/>
      <c r="K276" s="1"/>
      <c r="L276" s="1"/>
      <c r="M276" s="1"/>
    </row>
    <row r="277" spans="1:13" ht="15.75" customHeight="1" x14ac:dyDescent="0.25">
      <c r="A277" s="1"/>
      <c r="B277" s="2"/>
      <c r="C277" s="2"/>
      <c r="D277" s="2"/>
      <c r="E277" s="2"/>
      <c r="F277" s="1"/>
      <c r="G277" s="1"/>
      <c r="H277" s="1"/>
      <c r="I277" s="1"/>
      <c r="J277" s="1"/>
      <c r="K277" s="1"/>
      <c r="L277" s="1"/>
      <c r="M277" s="1"/>
    </row>
    <row r="278" spans="1:13" ht="15.75" customHeight="1" x14ac:dyDescent="0.25">
      <c r="A278" s="1"/>
      <c r="B278" s="2"/>
      <c r="C278" s="2"/>
      <c r="D278" s="2"/>
      <c r="E278" s="2"/>
      <c r="F278" s="1"/>
      <c r="G278" s="1"/>
      <c r="H278" s="1"/>
      <c r="I278" s="1"/>
      <c r="J278" s="1"/>
      <c r="K278" s="1"/>
      <c r="L278" s="1"/>
      <c r="M278" s="1"/>
    </row>
    <row r="279" spans="1:13" ht="15.75" customHeight="1" x14ac:dyDescent="0.25">
      <c r="A279" s="1"/>
      <c r="B279" s="2"/>
      <c r="C279" s="2"/>
      <c r="D279" s="2"/>
      <c r="E279" s="2"/>
      <c r="F279" s="1"/>
      <c r="G279" s="1"/>
      <c r="H279" s="1"/>
      <c r="I279" s="1"/>
      <c r="J279" s="1"/>
      <c r="K279" s="1"/>
      <c r="L279" s="1"/>
      <c r="M279" s="1"/>
    </row>
    <row r="280" spans="1:13" ht="15.75" customHeight="1" x14ac:dyDescent="0.25">
      <c r="A280" s="1"/>
      <c r="B280" s="2"/>
      <c r="C280" s="2"/>
      <c r="D280" s="2"/>
      <c r="E280" s="2"/>
      <c r="F280" s="1"/>
      <c r="G280" s="1"/>
      <c r="H280" s="1"/>
      <c r="I280" s="1"/>
      <c r="J280" s="1"/>
      <c r="K280" s="1"/>
      <c r="L280" s="1"/>
      <c r="M280" s="1"/>
    </row>
    <row r="281" spans="1:13" ht="15.75" customHeight="1" x14ac:dyDescent="0.25">
      <c r="A281" s="1"/>
      <c r="B281" s="2"/>
      <c r="C281" s="2"/>
      <c r="D281" s="2"/>
      <c r="E281" s="2"/>
      <c r="F281" s="1"/>
      <c r="G281" s="1"/>
      <c r="H281" s="1"/>
      <c r="I281" s="1"/>
      <c r="J281" s="1"/>
      <c r="K281" s="1"/>
      <c r="L281" s="1"/>
      <c r="M281" s="1"/>
    </row>
    <row r="282" spans="1:13" ht="15.75" customHeight="1" x14ac:dyDescent="0.25">
      <c r="A282" s="1"/>
      <c r="B282" s="2"/>
      <c r="C282" s="2"/>
      <c r="D282" s="2"/>
      <c r="E282" s="2"/>
      <c r="F282" s="1"/>
      <c r="G282" s="1"/>
      <c r="H282" s="1"/>
      <c r="I282" s="1"/>
      <c r="J282" s="1"/>
      <c r="K282" s="1"/>
      <c r="L282" s="1"/>
      <c r="M282" s="1"/>
    </row>
    <row r="283" spans="1:13" ht="15.75" customHeight="1" x14ac:dyDescent="0.25">
      <c r="A283" s="1"/>
      <c r="B283" s="2"/>
      <c r="C283" s="2"/>
      <c r="D283" s="2"/>
      <c r="E283" s="2"/>
      <c r="F283" s="1"/>
      <c r="G283" s="1"/>
      <c r="H283" s="1"/>
      <c r="I283" s="1"/>
      <c r="J283" s="1"/>
      <c r="K283" s="1"/>
      <c r="L283" s="1"/>
      <c r="M283" s="1"/>
    </row>
    <row r="284" spans="1:13" ht="15.75" customHeight="1" x14ac:dyDescent="0.25">
      <c r="A284" s="1"/>
      <c r="B284" s="2"/>
      <c r="C284" s="2"/>
      <c r="D284" s="2"/>
      <c r="E284" s="2"/>
      <c r="F284" s="1"/>
      <c r="G284" s="1"/>
      <c r="H284" s="1"/>
      <c r="I284" s="1"/>
      <c r="J284" s="1"/>
      <c r="K284" s="1"/>
      <c r="L284" s="1"/>
      <c r="M284" s="1"/>
    </row>
    <row r="285" spans="1:13" ht="15.75" customHeight="1" x14ac:dyDescent="0.25">
      <c r="A285" s="1"/>
      <c r="B285" s="2"/>
      <c r="C285" s="2"/>
      <c r="D285" s="2"/>
      <c r="E285" s="2"/>
      <c r="F285" s="1"/>
      <c r="G285" s="1"/>
      <c r="H285" s="1"/>
      <c r="I285" s="1"/>
      <c r="J285" s="1"/>
      <c r="K285" s="1"/>
      <c r="L285" s="1"/>
      <c r="M285" s="1"/>
    </row>
    <row r="286" spans="1:13" ht="15.75" customHeight="1" x14ac:dyDescent="0.25">
      <c r="A286" s="1"/>
      <c r="B286" s="2"/>
      <c r="C286" s="2"/>
      <c r="D286" s="2"/>
      <c r="E286" s="2"/>
      <c r="F286" s="1"/>
      <c r="G286" s="1"/>
      <c r="H286" s="1"/>
      <c r="I286" s="1"/>
      <c r="J286" s="1"/>
      <c r="K286" s="1"/>
      <c r="L286" s="1"/>
      <c r="M286" s="1"/>
    </row>
    <row r="287" spans="1:13" ht="15.75" customHeight="1" x14ac:dyDescent="0.25">
      <c r="A287" s="1"/>
      <c r="B287" s="2"/>
      <c r="C287" s="2"/>
      <c r="D287" s="2"/>
      <c r="E287" s="2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 x14ac:dyDescent="0.25">
      <c r="A288" s="1"/>
      <c r="B288" s="2"/>
      <c r="C288" s="2"/>
      <c r="D288" s="2"/>
      <c r="E288" s="2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 x14ac:dyDescent="0.25">
      <c r="A289" s="1"/>
      <c r="B289" s="2"/>
      <c r="C289" s="2"/>
      <c r="D289" s="2"/>
      <c r="E289" s="2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 x14ac:dyDescent="0.25">
      <c r="A290" s="1"/>
      <c r="B290" s="2"/>
      <c r="C290" s="2"/>
      <c r="D290" s="2"/>
      <c r="E290" s="2"/>
      <c r="F290" s="1"/>
      <c r="G290" s="1"/>
      <c r="H290" s="1"/>
      <c r="I290" s="1"/>
      <c r="J290" s="1"/>
      <c r="K290" s="1"/>
      <c r="L290" s="1"/>
      <c r="M290" s="1"/>
    </row>
    <row r="291" spans="1:13" ht="15.75" customHeight="1" x14ac:dyDescent="0.25">
      <c r="A291" s="1"/>
      <c r="B291" s="2"/>
      <c r="C291" s="2"/>
      <c r="D291" s="2"/>
      <c r="E291" s="2"/>
      <c r="F291" s="1"/>
      <c r="G291" s="1"/>
      <c r="H291" s="1"/>
      <c r="I291" s="1"/>
      <c r="J291" s="1"/>
      <c r="K291" s="1"/>
      <c r="L291" s="1"/>
      <c r="M291" s="1"/>
    </row>
    <row r="292" spans="1:13" ht="15.75" customHeight="1" x14ac:dyDescent="0.25">
      <c r="A292" s="1"/>
      <c r="B292" s="2"/>
      <c r="C292" s="2"/>
      <c r="D292" s="2"/>
      <c r="E292" s="2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 x14ac:dyDescent="0.25">
      <c r="A293" s="1"/>
      <c r="B293" s="2"/>
      <c r="C293" s="2"/>
      <c r="D293" s="2"/>
      <c r="E293" s="2"/>
      <c r="F293" s="1"/>
      <c r="G293" s="1"/>
      <c r="H293" s="1"/>
      <c r="I293" s="1"/>
      <c r="J293" s="1"/>
      <c r="K293" s="1"/>
      <c r="L293" s="1"/>
      <c r="M293" s="1"/>
    </row>
    <row r="294" spans="1:13" ht="15.75" customHeight="1" x14ac:dyDescent="0.25">
      <c r="A294" s="1"/>
      <c r="B294" s="2"/>
      <c r="C294" s="2"/>
      <c r="D294" s="2"/>
      <c r="E294" s="2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 x14ac:dyDescent="0.25">
      <c r="A295" s="1"/>
      <c r="B295" s="2"/>
      <c r="C295" s="2"/>
      <c r="D295" s="2"/>
      <c r="E295" s="2"/>
      <c r="F295" s="1"/>
      <c r="G295" s="1"/>
      <c r="H295" s="1"/>
      <c r="I295" s="1"/>
      <c r="J295" s="1"/>
      <c r="K295" s="1"/>
      <c r="L295" s="1"/>
      <c r="M295" s="1"/>
    </row>
    <row r="296" spans="1:13" ht="15.75" customHeight="1" x14ac:dyDescent="0.25">
      <c r="A296" s="1"/>
      <c r="B296" s="2"/>
      <c r="C296" s="2"/>
      <c r="D296" s="2"/>
      <c r="E296" s="2"/>
      <c r="F296" s="1"/>
      <c r="G296" s="1"/>
      <c r="H296" s="1"/>
      <c r="I296" s="1"/>
      <c r="J296" s="1"/>
      <c r="K296" s="1"/>
      <c r="L296" s="1"/>
      <c r="M296" s="1"/>
    </row>
    <row r="297" spans="1:13" ht="15.75" customHeight="1" x14ac:dyDescent="0.25">
      <c r="A297" s="1"/>
      <c r="B297" s="2"/>
      <c r="C297" s="2"/>
      <c r="D297" s="2"/>
      <c r="E297" s="2"/>
      <c r="F297" s="1"/>
      <c r="G297" s="1"/>
      <c r="H297" s="1"/>
      <c r="I297" s="1"/>
      <c r="J297" s="1"/>
      <c r="K297" s="1"/>
      <c r="L297" s="1"/>
      <c r="M297" s="1"/>
    </row>
    <row r="298" spans="1:13" ht="15.75" customHeight="1" x14ac:dyDescent="0.25">
      <c r="A298" s="1"/>
      <c r="B298" s="2"/>
      <c r="C298" s="2"/>
      <c r="D298" s="2"/>
      <c r="E298" s="2"/>
      <c r="F298" s="1"/>
      <c r="G298" s="1"/>
      <c r="H298" s="1"/>
      <c r="I298" s="1"/>
      <c r="J298" s="1"/>
      <c r="K298" s="1"/>
      <c r="L298" s="1"/>
      <c r="M298" s="1"/>
    </row>
    <row r="299" spans="1:13" ht="15.75" customHeight="1" x14ac:dyDescent="0.25">
      <c r="A299" s="1"/>
      <c r="B299" s="2"/>
      <c r="C299" s="2"/>
      <c r="D299" s="2"/>
      <c r="E299" s="2"/>
      <c r="F299" s="1"/>
      <c r="G299" s="1"/>
      <c r="H299" s="1"/>
      <c r="I299" s="1"/>
      <c r="J299" s="1"/>
      <c r="K299" s="1"/>
      <c r="L299" s="1"/>
      <c r="M299" s="1"/>
    </row>
    <row r="300" spans="1:13" ht="15.75" customHeight="1" x14ac:dyDescent="0.25">
      <c r="A300" s="1"/>
      <c r="B300" s="2"/>
      <c r="C300" s="2"/>
      <c r="D300" s="2"/>
      <c r="E300" s="2"/>
      <c r="F300" s="1"/>
      <c r="G300" s="1"/>
      <c r="H300" s="1"/>
      <c r="I300" s="1"/>
      <c r="J300" s="1"/>
      <c r="K300" s="1"/>
      <c r="L300" s="1"/>
      <c r="M300" s="1"/>
    </row>
    <row r="301" spans="1:13" ht="15.75" customHeight="1" x14ac:dyDescent="0.25">
      <c r="A301" s="1"/>
      <c r="B301" s="2"/>
      <c r="C301" s="2"/>
      <c r="D301" s="2"/>
      <c r="E301" s="2"/>
      <c r="F301" s="1"/>
      <c r="G301" s="1"/>
      <c r="H301" s="1"/>
      <c r="I301" s="1"/>
      <c r="J301" s="1"/>
      <c r="K301" s="1"/>
      <c r="L301" s="1"/>
      <c r="M301" s="1"/>
    </row>
    <row r="302" spans="1:13" ht="15.75" customHeight="1" x14ac:dyDescent="0.25">
      <c r="A302" s="1"/>
      <c r="B302" s="2"/>
      <c r="C302" s="2"/>
      <c r="D302" s="2"/>
      <c r="E302" s="2"/>
      <c r="F302" s="1"/>
      <c r="G302" s="1"/>
      <c r="H302" s="1"/>
      <c r="I302" s="1"/>
      <c r="J302" s="1"/>
      <c r="K302" s="1"/>
      <c r="L302" s="1"/>
      <c r="M302" s="1"/>
    </row>
    <row r="303" spans="1:13" ht="15.75" customHeight="1" x14ac:dyDescent="0.25">
      <c r="A303" s="1"/>
      <c r="B303" s="2"/>
      <c r="C303" s="2"/>
      <c r="D303" s="2"/>
      <c r="E303" s="2"/>
      <c r="F303" s="1"/>
      <c r="G303" s="1"/>
      <c r="H303" s="1"/>
      <c r="I303" s="1"/>
      <c r="J303" s="1"/>
      <c r="K303" s="1"/>
      <c r="L303" s="1"/>
      <c r="M303" s="1"/>
    </row>
    <row r="304" spans="1:13" ht="15.75" customHeight="1" x14ac:dyDescent="0.25">
      <c r="A304" s="1"/>
      <c r="B304" s="2"/>
      <c r="C304" s="2"/>
      <c r="D304" s="2"/>
      <c r="E304" s="2"/>
      <c r="F304" s="1"/>
      <c r="G304" s="1"/>
      <c r="H304" s="1"/>
      <c r="I304" s="1"/>
      <c r="J304" s="1"/>
      <c r="K304" s="1"/>
      <c r="L304" s="1"/>
      <c r="M304" s="1"/>
    </row>
    <row r="305" spans="1:13" ht="15.75" customHeight="1" x14ac:dyDescent="0.25">
      <c r="A305" s="1"/>
      <c r="B305" s="2"/>
      <c r="C305" s="2"/>
      <c r="D305" s="2"/>
      <c r="E305" s="2"/>
      <c r="F305" s="1"/>
      <c r="G305" s="1"/>
      <c r="H305" s="1"/>
      <c r="I305" s="1"/>
      <c r="J305" s="1"/>
      <c r="K305" s="1"/>
      <c r="L305" s="1"/>
      <c r="M305" s="1"/>
    </row>
    <row r="306" spans="1:13" ht="15.75" customHeight="1" x14ac:dyDescent="0.25">
      <c r="A306" s="1"/>
      <c r="B306" s="2"/>
      <c r="C306" s="2"/>
      <c r="D306" s="2"/>
      <c r="E306" s="2"/>
      <c r="F306" s="1"/>
      <c r="G306" s="1"/>
      <c r="H306" s="1"/>
      <c r="I306" s="1"/>
      <c r="J306" s="1"/>
      <c r="K306" s="1"/>
      <c r="L306" s="1"/>
      <c r="M306" s="1"/>
    </row>
    <row r="307" spans="1:13" ht="15.75" customHeight="1" x14ac:dyDescent="0.25">
      <c r="A307" s="1"/>
      <c r="B307" s="2"/>
      <c r="C307" s="2"/>
      <c r="D307" s="2"/>
      <c r="E307" s="2"/>
      <c r="F307" s="1"/>
      <c r="G307" s="1"/>
      <c r="H307" s="1"/>
      <c r="I307" s="1"/>
      <c r="J307" s="1"/>
      <c r="K307" s="1"/>
      <c r="L307" s="1"/>
      <c r="M307" s="1"/>
    </row>
    <row r="308" spans="1:13" ht="15.75" customHeight="1" x14ac:dyDescent="0.25">
      <c r="A308" s="1"/>
      <c r="B308" s="2"/>
      <c r="C308" s="2"/>
      <c r="D308" s="2"/>
      <c r="E308" s="2"/>
      <c r="F308" s="1"/>
      <c r="G308" s="1"/>
      <c r="H308" s="1"/>
      <c r="I308" s="1"/>
      <c r="J308" s="1"/>
      <c r="K308" s="1"/>
      <c r="L308" s="1"/>
      <c r="M308" s="1"/>
    </row>
    <row r="309" spans="1:13" ht="15.75" customHeight="1" x14ac:dyDescent="0.25">
      <c r="A309" s="1"/>
      <c r="B309" s="2"/>
      <c r="C309" s="2"/>
      <c r="D309" s="2"/>
      <c r="E309" s="2"/>
      <c r="F309" s="1"/>
      <c r="G309" s="1"/>
      <c r="H309" s="1"/>
      <c r="I309" s="1"/>
      <c r="J309" s="1"/>
      <c r="K309" s="1"/>
      <c r="L309" s="1"/>
      <c r="M309" s="1"/>
    </row>
    <row r="310" spans="1:13" ht="15.75" customHeight="1" x14ac:dyDescent="0.25">
      <c r="A310" s="1"/>
      <c r="B310" s="2"/>
      <c r="C310" s="2"/>
      <c r="D310" s="2"/>
      <c r="E310" s="2"/>
      <c r="F310" s="1"/>
      <c r="G310" s="1"/>
      <c r="H310" s="1"/>
      <c r="I310" s="1"/>
      <c r="J310" s="1"/>
      <c r="K310" s="1"/>
      <c r="L310" s="1"/>
      <c r="M310" s="1"/>
    </row>
    <row r="311" spans="1:13" ht="15.75" customHeight="1" x14ac:dyDescent="0.25">
      <c r="A311" s="1"/>
      <c r="B311" s="2"/>
      <c r="C311" s="2"/>
      <c r="D311" s="2"/>
      <c r="E311" s="2"/>
      <c r="F311" s="1"/>
      <c r="G311" s="1"/>
      <c r="H311" s="1"/>
      <c r="I311" s="1"/>
      <c r="J311" s="1"/>
      <c r="K311" s="1"/>
      <c r="L311" s="1"/>
      <c r="M311" s="1"/>
    </row>
    <row r="312" spans="1:13" ht="15.75" customHeight="1" x14ac:dyDescent="0.25">
      <c r="A312" s="1"/>
      <c r="B312" s="2"/>
      <c r="C312" s="2"/>
      <c r="D312" s="2"/>
      <c r="E312" s="2"/>
      <c r="F312" s="1"/>
      <c r="G312" s="1"/>
      <c r="H312" s="1"/>
      <c r="I312" s="1"/>
      <c r="J312" s="1"/>
      <c r="K312" s="1"/>
      <c r="L312" s="1"/>
      <c r="M312" s="1"/>
    </row>
    <row r="313" spans="1:13" ht="15.75" customHeight="1" x14ac:dyDescent="0.25">
      <c r="A313" s="1"/>
      <c r="B313" s="2"/>
      <c r="C313" s="2"/>
      <c r="D313" s="2"/>
      <c r="E313" s="2"/>
      <c r="F313" s="1"/>
      <c r="G313" s="1"/>
      <c r="H313" s="1"/>
      <c r="I313" s="1"/>
      <c r="J313" s="1"/>
      <c r="K313" s="1"/>
      <c r="L313" s="1"/>
      <c r="M313" s="1"/>
    </row>
    <row r="314" spans="1:13" ht="15.75" customHeight="1" x14ac:dyDescent="0.25">
      <c r="A314" s="1"/>
      <c r="B314" s="2"/>
      <c r="C314" s="2"/>
      <c r="D314" s="2"/>
      <c r="E314" s="2"/>
      <c r="F314" s="1"/>
      <c r="G314" s="1"/>
      <c r="H314" s="1"/>
      <c r="I314" s="1"/>
      <c r="J314" s="1"/>
      <c r="K314" s="1"/>
      <c r="L314" s="1"/>
      <c r="M314" s="1"/>
    </row>
    <row r="315" spans="1:13" ht="15.75" customHeight="1" x14ac:dyDescent="0.25">
      <c r="A315" s="1"/>
      <c r="B315" s="2"/>
      <c r="C315" s="2"/>
      <c r="D315" s="2"/>
      <c r="E315" s="2"/>
      <c r="F315" s="1"/>
      <c r="G315" s="1"/>
      <c r="H315" s="1"/>
      <c r="I315" s="1"/>
      <c r="J315" s="1"/>
      <c r="K315" s="1"/>
      <c r="L315" s="1"/>
      <c r="M315" s="1"/>
    </row>
    <row r="316" spans="1:13" ht="15.75" customHeight="1" x14ac:dyDescent="0.25">
      <c r="A316" s="1"/>
      <c r="B316" s="2"/>
      <c r="C316" s="2"/>
      <c r="D316" s="2"/>
      <c r="E316" s="2"/>
      <c r="F316" s="1"/>
      <c r="G316" s="1"/>
      <c r="H316" s="1"/>
      <c r="I316" s="1"/>
      <c r="J316" s="1"/>
      <c r="K316" s="1"/>
      <c r="L316" s="1"/>
      <c r="M316" s="1"/>
    </row>
    <row r="317" spans="1:13" ht="15.75" customHeight="1" x14ac:dyDescent="0.25">
      <c r="A317" s="1"/>
      <c r="B317" s="2"/>
      <c r="C317" s="2"/>
      <c r="D317" s="2"/>
      <c r="E317" s="2"/>
      <c r="F317" s="1"/>
      <c r="G317" s="1"/>
      <c r="H317" s="1"/>
      <c r="I317" s="1"/>
      <c r="J317" s="1"/>
      <c r="K317" s="1"/>
      <c r="L317" s="1"/>
      <c r="M317" s="1"/>
    </row>
    <row r="318" spans="1:13" ht="15.75" customHeight="1" x14ac:dyDescent="0.25">
      <c r="A318" s="1"/>
      <c r="B318" s="2"/>
      <c r="C318" s="2"/>
      <c r="D318" s="2"/>
      <c r="E318" s="2"/>
      <c r="F318" s="1"/>
      <c r="G318" s="1"/>
      <c r="H318" s="1"/>
      <c r="I318" s="1"/>
      <c r="J318" s="1"/>
      <c r="K318" s="1"/>
      <c r="L318" s="1"/>
      <c r="M318" s="1"/>
    </row>
    <row r="319" spans="1:13" ht="15.75" customHeight="1" x14ac:dyDescent="0.25">
      <c r="A319" s="1"/>
      <c r="B319" s="2"/>
      <c r="C319" s="2"/>
      <c r="D319" s="2"/>
      <c r="E319" s="2"/>
      <c r="F319" s="1"/>
      <c r="G319" s="1"/>
      <c r="H319" s="1"/>
      <c r="I319" s="1"/>
      <c r="J319" s="1"/>
      <c r="K319" s="1"/>
      <c r="L319" s="1"/>
      <c r="M319" s="1"/>
    </row>
    <row r="320" spans="1:13" ht="15.75" customHeight="1" x14ac:dyDescent="0.25">
      <c r="A320" s="1"/>
      <c r="B320" s="2"/>
      <c r="C320" s="2"/>
      <c r="D320" s="2"/>
      <c r="E320" s="2"/>
      <c r="F320" s="1"/>
      <c r="G320" s="1"/>
      <c r="H320" s="1"/>
      <c r="I320" s="1"/>
      <c r="J320" s="1"/>
      <c r="K320" s="1"/>
      <c r="L320" s="1"/>
      <c r="M320" s="1"/>
    </row>
    <row r="321" spans="1:13" ht="15.75" customHeight="1" x14ac:dyDescent="0.25">
      <c r="A321" s="1"/>
      <c r="B321" s="2"/>
      <c r="C321" s="2"/>
      <c r="D321" s="2"/>
      <c r="E321" s="2"/>
      <c r="F321" s="1"/>
      <c r="G321" s="1"/>
      <c r="H321" s="1"/>
      <c r="I321" s="1"/>
      <c r="J321" s="1"/>
      <c r="K321" s="1"/>
      <c r="L321" s="1"/>
      <c r="M321" s="1"/>
    </row>
    <row r="322" spans="1:13" ht="15.75" customHeight="1" x14ac:dyDescent="0.25">
      <c r="A322" s="1"/>
      <c r="B322" s="2"/>
      <c r="C322" s="2"/>
      <c r="D322" s="2"/>
      <c r="E322" s="2"/>
      <c r="F322" s="1"/>
      <c r="G322" s="1"/>
      <c r="H322" s="1"/>
      <c r="I322" s="1"/>
      <c r="J322" s="1"/>
      <c r="K322" s="1"/>
      <c r="L322" s="1"/>
      <c r="M322" s="1"/>
    </row>
    <row r="323" spans="1:13" ht="15.75" customHeight="1" x14ac:dyDescent="0.25">
      <c r="A323" s="1"/>
      <c r="B323" s="2"/>
      <c r="C323" s="2"/>
      <c r="D323" s="2"/>
      <c r="E323" s="2"/>
      <c r="F323" s="1"/>
      <c r="G323" s="1"/>
      <c r="H323" s="1"/>
      <c r="I323" s="1"/>
      <c r="J323" s="1"/>
      <c r="K323" s="1"/>
      <c r="L323" s="1"/>
      <c r="M323" s="1"/>
    </row>
    <row r="324" spans="1:13" ht="15.75" customHeight="1" x14ac:dyDescent="0.25">
      <c r="A324" s="1"/>
      <c r="B324" s="2"/>
      <c r="C324" s="2"/>
      <c r="D324" s="2"/>
      <c r="E324" s="2"/>
      <c r="F324" s="1"/>
      <c r="G324" s="1"/>
      <c r="H324" s="1"/>
      <c r="I324" s="1"/>
      <c r="J324" s="1"/>
      <c r="K324" s="1"/>
      <c r="L324" s="1"/>
      <c r="M324" s="1"/>
    </row>
    <row r="325" spans="1:13" ht="15.75" customHeight="1" x14ac:dyDescent="0.25">
      <c r="A325" s="1"/>
      <c r="B325" s="2"/>
      <c r="C325" s="2"/>
      <c r="D325" s="2"/>
      <c r="E325" s="2"/>
      <c r="F325" s="1"/>
      <c r="G325" s="1"/>
      <c r="H325" s="1"/>
      <c r="I325" s="1"/>
      <c r="J325" s="1"/>
      <c r="K325" s="1"/>
      <c r="L325" s="1"/>
      <c r="M325" s="1"/>
    </row>
    <row r="326" spans="1:13" ht="15.75" customHeight="1" x14ac:dyDescent="0.25">
      <c r="A326" s="1"/>
      <c r="B326" s="2"/>
      <c r="C326" s="2"/>
      <c r="D326" s="2"/>
      <c r="E326" s="2"/>
      <c r="F326" s="1"/>
      <c r="G326" s="1"/>
      <c r="H326" s="1"/>
      <c r="I326" s="1"/>
      <c r="J326" s="1"/>
      <c r="K326" s="1"/>
      <c r="L326" s="1"/>
      <c r="M326" s="1"/>
    </row>
    <row r="327" spans="1:13" ht="15.75" customHeight="1" x14ac:dyDescent="0.25">
      <c r="A327" s="1"/>
      <c r="B327" s="2"/>
      <c r="C327" s="2"/>
      <c r="D327" s="2"/>
      <c r="E327" s="2"/>
      <c r="F327" s="1"/>
      <c r="G327" s="1"/>
      <c r="H327" s="1"/>
      <c r="I327" s="1"/>
      <c r="J327" s="1"/>
      <c r="K327" s="1"/>
      <c r="L327" s="1"/>
      <c r="M327" s="1"/>
    </row>
    <row r="328" spans="1:13" ht="15.75" customHeight="1" x14ac:dyDescent="0.25">
      <c r="A328" s="1"/>
      <c r="B328" s="2"/>
      <c r="C328" s="2"/>
      <c r="D328" s="2"/>
      <c r="E328" s="2"/>
      <c r="F328" s="1"/>
      <c r="G328" s="1"/>
      <c r="H328" s="1"/>
      <c r="I328" s="1"/>
      <c r="J328" s="1"/>
      <c r="K328" s="1"/>
      <c r="L328" s="1"/>
      <c r="M328" s="1"/>
    </row>
    <row r="329" spans="1:13" ht="15.75" customHeight="1" x14ac:dyDescent="0.25">
      <c r="A329" s="1"/>
      <c r="B329" s="2"/>
      <c r="C329" s="2"/>
      <c r="D329" s="2"/>
      <c r="E329" s="2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 x14ac:dyDescent="0.25">
      <c r="A330" s="1"/>
      <c r="B330" s="2"/>
      <c r="C330" s="2"/>
      <c r="D330" s="2"/>
      <c r="E330" s="2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 x14ac:dyDescent="0.25">
      <c r="A331" s="1"/>
      <c r="B331" s="2"/>
      <c r="C331" s="2"/>
      <c r="D331" s="2"/>
      <c r="E331" s="2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 x14ac:dyDescent="0.25">
      <c r="A332" s="1"/>
      <c r="B332" s="2"/>
      <c r="C332" s="2"/>
      <c r="D332" s="2"/>
      <c r="E332" s="2"/>
      <c r="F332" s="1"/>
      <c r="G332" s="1"/>
      <c r="H332" s="1"/>
      <c r="I332" s="1"/>
      <c r="J332" s="1"/>
      <c r="K332" s="1"/>
      <c r="L332" s="1"/>
      <c r="M332" s="1"/>
    </row>
    <row r="333" spans="1:13" ht="15.75" customHeight="1" x14ac:dyDescent="0.25">
      <c r="A333" s="1"/>
      <c r="B333" s="2"/>
      <c r="C333" s="2"/>
      <c r="D333" s="2"/>
      <c r="E333" s="2"/>
      <c r="F333" s="1"/>
      <c r="G333" s="1"/>
      <c r="H333" s="1"/>
      <c r="I333" s="1"/>
      <c r="J333" s="1"/>
      <c r="K333" s="1"/>
      <c r="L333" s="1"/>
      <c r="M333" s="1"/>
    </row>
    <row r="334" spans="1:13" ht="15.75" customHeight="1" x14ac:dyDescent="0.25">
      <c r="A334" s="1"/>
      <c r="B334" s="2"/>
      <c r="C334" s="2"/>
      <c r="D334" s="2"/>
      <c r="E334" s="2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 x14ac:dyDescent="0.25">
      <c r="A335" s="1"/>
      <c r="B335" s="2"/>
      <c r="C335" s="2"/>
      <c r="D335" s="2"/>
      <c r="E335" s="2"/>
      <c r="F335" s="1"/>
      <c r="G335" s="1"/>
      <c r="H335" s="1"/>
      <c r="I335" s="1"/>
      <c r="J335" s="1"/>
      <c r="K335" s="1"/>
      <c r="L335" s="1"/>
      <c r="M335" s="1"/>
    </row>
    <row r="336" spans="1:13" ht="15.75" customHeight="1" x14ac:dyDescent="0.25">
      <c r="A336" s="1"/>
      <c r="B336" s="2"/>
      <c r="C336" s="2"/>
      <c r="D336" s="2"/>
      <c r="E336" s="2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 x14ac:dyDescent="0.25">
      <c r="A337" s="1"/>
      <c r="B337" s="2"/>
      <c r="C337" s="2"/>
      <c r="D337" s="2"/>
      <c r="E337" s="2"/>
      <c r="F337" s="1"/>
      <c r="G337" s="1"/>
      <c r="H337" s="1"/>
      <c r="I337" s="1"/>
      <c r="J337" s="1"/>
      <c r="K337" s="1"/>
      <c r="L337" s="1"/>
      <c r="M337" s="1"/>
    </row>
    <row r="338" spans="1:13" ht="15.75" customHeight="1" x14ac:dyDescent="0.25">
      <c r="A338" s="1"/>
      <c r="B338" s="2"/>
      <c r="C338" s="2"/>
      <c r="D338" s="2"/>
      <c r="E338" s="2"/>
      <c r="F338" s="1"/>
      <c r="G338" s="1"/>
      <c r="H338" s="1"/>
      <c r="I338" s="1"/>
      <c r="J338" s="1"/>
      <c r="K338" s="1"/>
      <c r="L338" s="1"/>
      <c r="M338" s="1"/>
    </row>
    <row r="339" spans="1:13" ht="15.75" customHeight="1" x14ac:dyDescent="0.25">
      <c r="A339" s="1"/>
      <c r="B339" s="2"/>
      <c r="C339" s="2"/>
      <c r="D339" s="2"/>
      <c r="E339" s="2"/>
      <c r="F339" s="1"/>
      <c r="G339" s="1"/>
      <c r="H339" s="1"/>
      <c r="I339" s="1"/>
      <c r="J339" s="1"/>
      <c r="K339" s="1"/>
      <c r="L339" s="1"/>
      <c r="M339" s="1"/>
    </row>
    <row r="340" spans="1:13" ht="15.75" customHeight="1" x14ac:dyDescent="0.25">
      <c r="A340" s="1"/>
      <c r="B340" s="2"/>
      <c r="C340" s="2"/>
      <c r="D340" s="2"/>
      <c r="E340" s="2"/>
      <c r="F340" s="1"/>
      <c r="G340" s="1"/>
      <c r="H340" s="1"/>
      <c r="I340" s="1"/>
      <c r="J340" s="1"/>
      <c r="K340" s="1"/>
      <c r="L340" s="1"/>
      <c r="M340" s="1"/>
    </row>
    <row r="341" spans="1:13" ht="15.75" customHeight="1" x14ac:dyDescent="0.25">
      <c r="A341" s="1"/>
      <c r="B341" s="2"/>
      <c r="C341" s="2"/>
      <c r="D341" s="2"/>
      <c r="E341" s="2"/>
      <c r="F341" s="1"/>
      <c r="G341" s="1"/>
      <c r="H341" s="1"/>
      <c r="I341" s="1"/>
      <c r="J341" s="1"/>
      <c r="K341" s="1"/>
      <c r="L341" s="1"/>
      <c r="M341" s="1"/>
    </row>
    <row r="342" spans="1:13" ht="15.75" customHeight="1" x14ac:dyDescent="0.25">
      <c r="A342" s="1"/>
      <c r="B342" s="2"/>
      <c r="C342" s="2"/>
      <c r="D342" s="2"/>
      <c r="E342" s="2"/>
      <c r="F342" s="1"/>
      <c r="G342" s="1"/>
      <c r="H342" s="1"/>
      <c r="I342" s="1"/>
      <c r="J342" s="1"/>
      <c r="K342" s="1"/>
      <c r="L342" s="1"/>
      <c r="M342" s="1"/>
    </row>
    <row r="343" spans="1:13" ht="15.75" customHeight="1" x14ac:dyDescent="0.25">
      <c r="A343" s="1"/>
      <c r="B343" s="2"/>
      <c r="C343" s="2"/>
      <c r="D343" s="2"/>
      <c r="E343" s="2"/>
      <c r="F343" s="1"/>
      <c r="G343" s="1"/>
      <c r="H343" s="1"/>
      <c r="I343" s="1"/>
      <c r="J343" s="1"/>
      <c r="K343" s="1"/>
      <c r="L343" s="1"/>
      <c r="M343" s="1"/>
    </row>
    <row r="344" spans="1:13" ht="15.75" customHeight="1" x14ac:dyDescent="0.25">
      <c r="A344" s="1"/>
      <c r="B344" s="2"/>
      <c r="C344" s="2"/>
      <c r="D344" s="2"/>
      <c r="E344" s="2"/>
      <c r="F344" s="1"/>
      <c r="G344" s="1"/>
      <c r="H344" s="1"/>
      <c r="I344" s="1"/>
      <c r="J344" s="1"/>
      <c r="K344" s="1"/>
      <c r="L344" s="1"/>
      <c r="M344" s="1"/>
    </row>
    <row r="345" spans="1:13" ht="15.75" customHeight="1" x14ac:dyDescent="0.25">
      <c r="A345" s="1"/>
      <c r="B345" s="2"/>
      <c r="C345" s="2"/>
      <c r="D345" s="2"/>
      <c r="E345" s="2"/>
      <c r="F345" s="1"/>
      <c r="G345" s="1"/>
      <c r="H345" s="1"/>
      <c r="I345" s="1"/>
      <c r="J345" s="1"/>
      <c r="K345" s="1"/>
      <c r="L345" s="1"/>
      <c r="M345" s="1"/>
    </row>
    <row r="346" spans="1:13" ht="15.75" customHeight="1" x14ac:dyDescent="0.25">
      <c r="A346" s="1"/>
      <c r="B346" s="2"/>
      <c r="C346" s="2"/>
      <c r="D346" s="2"/>
      <c r="E346" s="2"/>
      <c r="F346" s="1"/>
      <c r="G346" s="1"/>
      <c r="H346" s="1"/>
      <c r="I346" s="1"/>
      <c r="J346" s="1"/>
      <c r="K346" s="1"/>
      <c r="L346" s="1"/>
      <c r="M346" s="1"/>
    </row>
    <row r="347" spans="1:13" ht="15.75" customHeight="1" x14ac:dyDescent="0.25">
      <c r="A347" s="1"/>
      <c r="B347" s="2"/>
      <c r="C347" s="2"/>
      <c r="D347" s="2"/>
      <c r="E347" s="2"/>
      <c r="F347" s="1"/>
      <c r="G347" s="1"/>
      <c r="H347" s="1"/>
      <c r="I347" s="1"/>
      <c r="J347" s="1"/>
      <c r="K347" s="1"/>
      <c r="L347" s="1"/>
      <c r="M347" s="1"/>
    </row>
    <row r="348" spans="1:13" ht="15.75" customHeight="1" x14ac:dyDescent="0.25">
      <c r="A348" s="1"/>
      <c r="B348" s="2"/>
      <c r="C348" s="2"/>
      <c r="D348" s="2"/>
      <c r="E348" s="2"/>
      <c r="F348" s="1"/>
      <c r="G348" s="1"/>
      <c r="H348" s="1"/>
      <c r="I348" s="1"/>
      <c r="J348" s="1"/>
      <c r="K348" s="1"/>
      <c r="L348" s="1"/>
      <c r="M348" s="1"/>
    </row>
    <row r="349" spans="1:13" ht="15.75" customHeight="1" x14ac:dyDescent="0.25">
      <c r="A349" s="1"/>
      <c r="B349" s="2"/>
      <c r="C349" s="2"/>
      <c r="D349" s="2"/>
      <c r="E349" s="2"/>
      <c r="F349" s="1"/>
      <c r="G349" s="1"/>
      <c r="H349" s="1"/>
      <c r="I349" s="1"/>
      <c r="J349" s="1"/>
      <c r="K349" s="1"/>
      <c r="L349" s="1"/>
      <c r="M349" s="1"/>
    </row>
    <row r="350" spans="1:13" ht="15.75" customHeight="1" x14ac:dyDescent="0.25">
      <c r="A350" s="1"/>
      <c r="B350" s="2"/>
      <c r="C350" s="2"/>
      <c r="D350" s="2"/>
      <c r="E350" s="2"/>
      <c r="F350" s="1"/>
      <c r="G350" s="1"/>
      <c r="H350" s="1"/>
      <c r="I350" s="1"/>
      <c r="J350" s="1"/>
      <c r="K350" s="1"/>
      <c r="L350" s="1"/>
      <c r="M350" s="1"/>
    </row>
    <row r="351" spans="1:13" ht="15.75" customHeight="1" x14ac:dyDescent="0.25">
      <c r="A351" s="1"/>
      <c r="B351" s="2"/>
      <c r="C351" s="2"/>
      <c r="D351" s="2"/>
      <c r="E351" s="2"/>
      <c r="F351" s="1"/>
      <c r="G351" s="1"/>
      <c r="H351" s="1"/>
      <c r="I351" s="1"/>
      <c r="J351" s="1"/>
      <c r="K351" s="1"/>
      <c r="L351" s="1"/>
      <c r="M351" s="1"/>
    </row>
    <row r="352" spans="1:13" ht="15.75" customHeight="1" x14ac:dyDescent="0.25">
      <c r="A352" s="1"/>
      <c r="B352" s="2"/>
      <c r="C352" s="2"/>
      <c r="D352" s="2"/>
      <c r="E352" s="2"/>
      <c r="F352" s="1"/>
      <c r="G352" s="1"/>
      <c r="H352" s="1"/>
      <c r="I352" s="1"/>
      <c r="J352" s="1"/>
      <c r="K352" s="1"/>
      <c r="L352" s="1"/>
      <c r="M352" s="1"/>
    </row>
    <row r="353" spans="1:13" ht="15.75" customHeight="1" x14ac:dyDescent="0.25">
      <c r="A353" s="1"/>
      <c r="B353" s="2"/>
      <c r="C353" s="2"/>
      <c r="D353" s="2"/>
      <c r="E353" s="2"/>
      <c r="F353" s="1"/>
      <c r="G353" s="1"/>
      <c r="H353" s="1"/>
      <c r="I353" s="1"/>
      <c r="J353" s="1"/>
      <c r="K353" s="1"/>
      <c r="L353" s="1"/>
      <c r="M353" s="1"/>
    </row>
    <row r="354" spans="1:13" ht="15.75" customHeight="1" x14ac:dyDescent="0.25">
      <c r="A354" s="1"/>
      <c r="B354" s="2"/>
      <c r="C354" s="2"/>
      <c r="D354" s="2"/>
      <c r="E354" s="2"/>
      <c r="F354" s="1"/>
      <c r="G354" s="1"/>
      <c r="H354" s="1"/>
      <c r="I354" s="1"/>
      <c r="J354" s="1"/>
      <c r="K354" s="1"/>
      <c r="L354" s="1"/>
      <c r="M354" s="1"/>
    </row>
    <row r="355" spans="1:13" ht="15.75" customHeight="1" x14ac:dyDescent="0.25">
      <c r="A355" s="1"/>
      <c r="B355" s="2"/>
      <c r="C355" s="2"/>
      <c r="D355" s="2"/>
      <c r="E355" s="2"/>
      <c r="F355" s="1"/>
      <c r="G355" s="1"/>
      <c r="H355" s="1"/>
      <c r="I355" s="1"/>
      <c r="J355" s="1"/>
      <c r="K355" s="1"/>
      <c r="L355" s="1"/>
      <c r="M355" s="1"/>
    </row>
    <row r="356" spans="1:13" ht="15.75" customHeight="1" x14ac:dyDescent="0.25">
      <c r="A356" s="1"/>
      <c r="B356" s="2"/>
      <c r="C356" s="2"/>
      <c r="D356" s="2"/>
      <c r="E356" s="2"/>
      <c r="F356" s="1"/>
      <c r="G356" s="1"/>
      <c r="H356" s="1"/>
      <c r="I356" s="1"/>
      <c r="J356" s="1"/>
      <c r="K356" s="1"/>
      <c r="L356" s="1"/>
      <c r="M356" s="1"/>
    </row>
    <row r="357" spans="1:13" ht="15.75" customHeight="1" x14ac:dyDescent="0.25">
      <c r="A357" s="1"/>
      <c r="B357" s="2"/>
      <c r="C357" s="2"/>
      <c r="D357" s="2"/>
      <c r="E357" s="2"/>
      <c r="F357" s="1"/>
      <c r="G357" s="1"/>
      <c r="H357" s="1"/>
      <c r="I357" s="1"/>
      <c r="J357" s="1"/>
      <c r="K357" s="1"/>
      <c r="L357" s="1"/>
      <c r="M357" s="1"/>
    </row>
    <row r="358" spans="1:13" ht="15.75" customHeight="1" x14ac:dyDescent="0.25">
      <c r="A358" s="1"/>
      <c r="B358" s="2"/>
      <c r="C358" s="2"/>
      <c r="D358" s="2"/>
      <c r="E358" s="2"/>
      <c r="F358" s="1"/>
      <c r="G358" s="1"/>
      <c r="H358" s="1"/>
      <c r="I358" s="1"/>
      <c r="J358" s="1"/>
      <c r="K358" s="1"/>
      <c r="L358" s="1"/>
      <c r="M358" s="1"/>
    </row>
    <row r="359" spans="1:13" ht="15.75" customHeight="1" x14ac:dyDescent="0.25">
      <c r="A359" s="1"/>
      <c r="B359" s="2"/>
      <c r="C359" s="2"/>
      <c r="D359" s="2"/>
      <c r="E359" s="2"/>
      <c r="F359" s="1"/>
      <c r="G359" s="1"/>
      <c r="H359" s="1"/>
      <c r="I359" s="1"/>
      <c r="J359" s="1"/>
      <c r="K359" s="1"/>
      <c r="L359" s="1"/>
      <c r="M359" s="1"/>
    </row>
    <row r="360" spans="1:13" ht="15.75" customHeight="1" x14ac:dyDescent="0.25">
      <c r="A360" s="1"/>
      <c r="B360" s="2"/>
      <c r="C360" s="2"/>
      <c r="D360" s="2"/>
      <c r="E360" s="2"/>
      <c r="F360" s="1"/>
      <c r="G360" s="1"/>
      <c r="H360" s="1"/>
      <c r="I360" s="1"/>
      <c r="J360" s="1"/>
      <c r="K360" s="1"/>
      <c r="L360" s="1"/>
      <c r="M360" s="1"/>
    </row>
    <row r="361" spans="1:13" ht="15.75" customHeight="1" x14ac:dyDescent="0.25">
      <c r="A361" s="1"/>
      <c r="B361" s="2"/>
      <c r="C361" s="2"/>
      <c r="D361" s="2"/>
      <c r="E361" s="2"/>
      <c r="F361" s="1"/>
      <c r="G361" s="1"/>
      <c r="H361" s="1"/>
      <c r="I361" s="1"/>
      <c r="J361" s="1"/>
      <c r="K361" s="1"/>
      <c r="L361" s="1"/>
      <c r="M361" s="1"/>
    </row>
    <row r="362" spans="1:13" ht="15.75" customHeight="1" x14ac:dyDescent="0.25">
      <c r="A362" s="1"/>
      <c r="B362" s="2"/>
      <c r="C362" s="2"/>
      <c r="D362" s="2"/>
      <c r="E362" s="2"/>
      <c r="F362" s="1"/>
      <c r="G362" s="1"/>
      <c r="H362" s="1"/>
      <c r="I362" s="1"/>
      <c r="J362" s="1"/>
      <c r="K362" s="1"/>
      <c r="L362" s="1"/>
      <c r="M362" s="1"/>
    </row>
    <row r="363" spans="1:13" ht="15.75" customHeight="1" x14ac:dyDescent="0.25">
      <c r="A363" s="1"/>
      <c r="B363" s="2"/>
      <c r="C363" s="2"/>
      <c r="D363" s="2"/>
      <c r="E363" s="2"/>
      <c r="F363" s="1"/>
      <c r="G363" s="1"/>
      <c r="H363" s="1"/>
      <c r="I363" s="1"/>
      <c r="J363" s="1"/>
      <c r="K363" s="1"/>
      <c r="L363" s="1"/>
      <c r="M363" s="1"/>
    </row>
    <row r="364" spans="1:13" ht="15.75" customHeight="1" x14ac:dyDescent="0.25">
      <c r="A364" s="1"/>
      <c r="B364" s="2"/>
      <c r="C364" s="2"/>
      <c r="D364" s="2"/>
      <c r="E364" s="2"/>
      <c r="F364" s="1"/>
      <c r="G364" s="1"/>
      <c r="H364" s="1"/>
      <c r="I364" s="1"/>
      <c r="J364" s="1"/>
      <c r="K364" s="1"/>
      <c r="L364" s="1"/>
      <c r="M364" s="1"/>
    </row>
    <row r="365" spans="1:13" ht="15.75" customHeight="1" x14ac:dyDescent="0.25">
      <c r="A365" s="1"/>
      <c r="B365" s="2"/>
      <c r="C365" s="2"/>
      <c r="D365" s="2"/>
      <c r="E365" s="2"/>
      <c r="F365" s="1"/>
      <c r="G365" s="1"/>
      <c r="H365" s="1"/>
      <c r="I365" s="1"/>
      <c r="J365" s="1"/>
      <c r="K365" s="1"/>
      <c r="L365" s="1"/>
      <c r="M365" s="1"/>
    </row>
    <row r="366" spans="1:13" ht="15.75" customHeight="1" x14ac:dyDescent="0.25">
      <c r="A366" s="1"/>
      <c r="B366" s="2"/>
      <c r="C366" s="2"/>
      <c r="D366" s="2"/>
      <c r="E366" s="2"/>
      <c r="F366" s="1"/>
      <c r="G366" s="1"/>
      <c r="H366" s="1"/>
      <c r="I366" s="1"/>
      <c r="J366" s="1"/>
      <c r="K366" s="1"/>
      <c r="L366" s="1"/>
      <c r="M366" s="1"/>
    </row>
    <row r="367" spans="1:13" ht="15.75" customHeight="1" x14ac:dyDescent="0.25">
      <c r="A367" s="1"/>
      <c r="B367" s="2"/>
      <c r="C367" s="2"/>
      <c r="D367" s="2"/>
      <c r="E367" s="2"/>
      <c r="F367" s="1"/>
      <c r="G367" s="1"/>
      <c r="H367" s="1"/>
      <c r="I367" s="1"/>
      <c r="J367" s="1"/>
      <c r="K367" s="1"/>
      <c r="L367" s="1"/>
      <c r="M367" s="1"/>
    </row>
    <row r="368" spans="1:13" ht="15.75" customHeight="1" x14ac:dyDescent="0.25">
      <c r="A368" s="1"/>
      <c r="B368" s="2"/>
      <c r="C368" s="2"/>
      <c r="D368" s="2"/>
      <c r="E368" s="2"/>
      <c r="F368" s="1"/>
      <c r="G368" s="1"/>
      <c r="H368" s="1"/>
      <c r="I368" s="1"/>
      <c r="J368" s="1"/>
      <c r="K368" s="1"/>
      <c r="L368" s="1"/>
      <c r="M368" s="1"/>
    </row>
    <row r="369" spans="1:13" ht="15.75" customHeight="1" x14ac:dyDescent="0.25">
      <c r="A369" s="1"/>
      <c r="B369" s="2"/>
      <c r="C369" s="2"/>
      <c r="D369" s="2"/>
      <c r="E369" s="2"/>
      <c r="F369" s="1"/>
      <c r="G369" s="1"/>
      <c r="H369" s="1"/>
      <c r="I369" s="1"/>
      <c r="J369" s="1"/>
      <c r="K369" s="1"/>
      <c r="L369" s="1"/>
      <c r="M369" s="1"/>
    </row>
    <row r="370" spans="1:13" ht="15.75" customHeight="1" x14ac:dyDescent="0.25">
      <c r="A370" s="1"/>
      <c r="B370" s="2"/>
      <c r="C370" s="2"/>
      <c r="D370" s="2"/>
      <c r="E370" s="2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 x14ac:dyDescent="0.25">
      <c r="A371" s="1"/>
      <c r="B371" s="2"/>
      <c r="C371" s="2"/>
      <c r="D371" s="2"/>
      <c r="E371" s="2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 x14ac:dyDescent="0.25">
      <c r="A372" s="1"/>
      <c r="B372" s="2"/>
      <c r="C372" s="2"/>
      <c r="D372" s="2"/>
      <c r="E372" s="2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 x14ac:dyDescent="0.25">
      <c r="A373" s="1"/>
      <c r="B373" s="2"/>
      <c r="C373" s="2"/>
      <c r="D373" s="2"/>
      <c r="E373" s="2"/>
      <c r="F373" s="1"/>
      <c r="G373" s="1"/>
      <c r="H373" s="1"/>
      <c r="I373" s="1"/>
      <c r="J373" s="1"/>
      <c r="K373" s="1"/>
      <c r="L373" s="1"/>
      <c r="M373" s="1"/>
    </row>
    <row r="374" spans="1:13" ht="15.75" customHeight="1" x14ac:dyDescent="0.25">
      <c r="A374" s="1"/>
      <c r="B374" s="2"/>
      <c r="C374" s="2"/>
      <c r="D374" s="2"/>
      <c r="E374" s="2"/>
      <c r="F374" s="1"/>
      <c r="G374" s="1"/>
      <c r="H374" s="1"/>
      <c r="I374" s="1"/>
      <c r="J374" s="1"/>
      <c r="K374" s="1"/>
      <c r="L374" s="1"/>
      <c r="M374" s="1"/>
    </row>
    <row r="375" spans="1:13" ht="15.75" customHeight="1" x14ac:dyDescent="0.25">
      <c r="A375" s="1"/>
      <c r="B375" s="2"/>
      <c r="C375" s="2"/>
      <c r="D375" s="2"/>
      <c r="E375" s="2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 x14ac:dyDescent="0.25">
      <c r="A376" s="1"/>
      <c r="B376" s="2"/>
      <c r="C376" s="2"/>
      <c r="D376" s="2"/>
      <c r="E376" s="2"/>
      <c r="F376" s="1"/>
      <c r="G376" s="1"/>
      <c r="H376" s="1"/>
      <c r="I376" s="1"/>
      <c r="J376" s="1"/>
      <c r="K376" s="1"/>
      <c r="L376" s="1"/>
      <c r="M376" s="1"/>
    </row>
    <row r="377" spans="1:13" ht="15.75" customHeight="1" x14ac:dyDescent="0.25">
      <c r="A377" s="1"/>
      <c r="B377" s="2"/>
      <c r="C377" s="2"/>
      <c r="D377" s="2"/>
      <c r="E377" s="2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 x14ac:dyDescent="0.25">
      <c r="A378" s="1"/>
      <c r="B378" s="2"/>
      <c r="C378" s="2"/>
      <c r="D378" s="2"/>
      <c r="E378" s="2"/>
      <c r="F378" s="1"/>
      <c r="G378" s="1"/>
      <c r="H378" s="1"/>
      <c r="I378" s="1"/>
      <c r="J378" s="1"/>
      <c r="K378" s="1"/>
      <c r="L378" s="1"/>
      <c r="M378" s="1"/>
    </row>
    <row r="379" spans="1:13" ht="15.75" customHeight="1" x14ac:dyDescent="0.25">
      <c r="A379" s="1"/>
      <c r="B379" s="2"/>
      <c r="C379" s="2"/>
      <c r="D379" s="2"/>
      <c r="E379" s="2"/>
      <c r="F379" s="1"/>
      <c r="G379" s="1"/>
      <c r="H379" s="1"/>
      <c r="I379" s="1"/>
      <c r="J379" s="1"/>
      <c r="K379" s="1"/>
      <c r="L379" s="1"/>
      <c r="M379" s="1"/>
    </row>
    <row r="380" spans="1:13" ht="15.75" customHeight="1" x14ac:dyDescent="0.25">
      <c r="A380" s="1"/>
      <c r="B380" s="2"/>
      <c r="C380" s="2"/>
      <c r="D380" s="2"/>
      <c r="E380" s="2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 x14ac:dyDescent="0.25">
      <c r="A381" s="1"/>
      <c r="B381" s="2"/>
      <c r="C381" s="2"/>
      <c r="D381" s="2"/>
      <c r="E381" s="2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 x14ac:dyDescent="0.25">
      <c r="A382" s="1"/>
      <c r="B382" s="2"/>
      <c r="C382" s="2"/>
      <c r="D382" s="2"/>
      <c r="E382" s="2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 x14ac:dyDescent="0.25">
      <c r="A383" s="1"/>
      <c r="B383" s="2"/>
      <c r="C383" s="2"/>
      <c r="D383" s="2"/>
      <c r="E383" s="2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 x14ac:dyDescent="0.25">
      <c r="A384" s="1"/>
      <c r="B384" s="2"/>
      <c r="C384" s="2"/>
      <c r="D384" s="2"/>
      <c r="E384" s="2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 x14ac:dyDescent="0.25">
      <c r="A385" s="1"/>
      <c r="B385" s="2"/>
      <c r="C385" s="2"/>
      <c r="D385" s="2"/>
      <c r="E385" s="2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 x14ac:dyDescent="0.25">
      <c r="A386" s="1"/>
      <c r="B386" s="2"/>
      <c r="C386" s="2"/>
      <c r="D386" s="2"/>
      <c r="E386" s="2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 x14ac:dyDescent="0.25">
      <c r="A387" s="1"/>
      <c r="B387" s="2"/>
      <c r="C387" s="2"/>
      <c r="D387" s="2"/>
      <c r="E387" s="2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 x14ac:dyDescent="0.25">
      <c r="A388" s="1"/>
      <c r="B388" s="2"/>
      <c r="C388" s="2"/>
      <c r="D388" s="2"/>
      <c r="E388" s="2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 x14ac:dyDescent="0.25">
      <c r="A389" s="1"/>
      <c r="B389" s="2"/>
      <c r="C389" s="2"/>
      <c r="D389" s="2"/>
      <c r="E389" s="2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 x14ac:dyDescent="0.25">
      <c r="A390" s="1"/>
      <c r="B390" s="2"/>
      <c r="C390" s="2"/>
      <c r="D390" s="2"/>
      <c r="E390" s="2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 x14ac:dyDescent="0.25">
      <c r="A391" s="1"/>
      <c r="B391" s="2"/>
      <c r="C391" s="2"/>
      <c r="D391" s="2"/>
      <c r="E391" s="2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 x14ac:dyDescent="0.25">
      <c r="A392" s="1"/>
      <c r="B392" s="2"/>
      <c r="C392" s="2"/>
      <c r="D392" s="2"/>
      <c r="E392" s="2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 x14ac:dyDescent="0.25">
      <c r="A393" s="1"/>
      <c r="B393" s="2"/>
      <c r="C393" s="2"/>
      <c r="D393" s="2"/>
      <c r="E393" s="2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 x14ac:dyDescent="0.25">
      <c r="A394" s="1"/>
      <c r="B394" s="2"/>
      <c r="C394" s="2"/>
      <c r="D394" s="2"/>
      <c r="E394" s="2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 x14ac:dyDescent="0.25">
      <c r="A395" s="1"/>
      <c r="B395" s="2"/>
      <c r="C395" s="2"/>
      <c r="D395" s="2"/>
      <c r="E395" s="2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 x14ac:dyDescent="0.25">
      <c r="A396" s="1"/>
      <c r="B396" s="2"/>
      <c r="C396" s="2"/>
      <c r="D396" s="2"/>
      <c r="E396" s="2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 x14ac:dyDescent="0.25">
      <c r="A397" s="1"/>
      <c r="B397" s="2"/>
      <c r="C397" s="2"/>
      <c r="D397" s="2"/>
      <c r="E397" s="2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 x14ac:dyDescent="0.25">
      <c r="A398" s="1"/>
      <c r="B398" s="2"/>
      <c r="C398" s="2"/>
      <c r="D398" s="2"/>
      <c r="E398" s="2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 x14ac:dyDescent="0.25">
      <c r="A399" s="1"/>
      <c r="B399" s="2"/>
      <c r="C399" s="2"/>
      <c r="D399" s="2"/>
      <c r="E399" s="2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 x14ac:dyDescent="0.25">
      <c r="A400" s="1"/>
      <c r="B400" s="2"/>
      <c r="C400" s="2"/>
      <c r="D400" s="2"/>
      <c r="E400" s="2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 x14ac:dyDescent="0.25">
      <c r="A401" s="1"/>
      <c r="B401" s="2"/>
      <c r="C401" s="2"/>
      <c r="D401" s="2"/>
      <c r="E401" s="2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 x14ac:dyDescent="0.25">
      <c r="A402" s="1"/>
      <c r="B402" s="2"/>
      <c r="C402" s="2"/>
      <c r="D402" s="2"/>
      <c r="E402" s="2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 x14ac:dyDescent="0.25">
      <c r="A403" s="1"/>
      <c r="B403" s="2"/>
      <c r="C403" s="2"/>
      <c r="D403" s="2"/>
      <c r="E403" s="2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 x14ac:dyDescent="0.25">
      <c r="A404" s="1"/>
      <c r="B404" s="2"/>
      <c r="C404" s="2"/>
      <c r="D404" s="2"/>
      <c r="E404" s="2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 x14ac:dyDescent="0.25">
      <c r="A405" s="1"/>
      <c r="B405" s="2"/>
      <c r="C405" s="2"/>
      <c r="D405" s="2"/>
      <c r="E405" s="2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 x14ac:dyDescent="0.25">
      <c r="A406" s="1"/>
      <c r="B406" s="2"/>
      <c r="C406" s="2"/>
      <c r="D406" s="2"/>
      <c r="E406" s="2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 x14ac:dyDescent="0.25">
      <c r="A407" s="1"/>
      <c r="B407" s="2"/>
      <c r="C407" s="2"/>
      <c r="D407" s="2"/>
      <c r="E407" s="2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 x14ac:dyDescent="0.25">
      <c r="A408" s="1"/>
      <c r="B408" s="2"/>
      <c r="C408" s="2"/>
      <c r="D408" s="2"/>
      <c r="E408" s="2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 x14ac:dyDescent="0.25">
      <c r="A409" s="1"/>
      <c r="B409" s="2"/>
      <c r="C409" s="2"/>
      <c r="D409" s="2"/>
      <c r="E409" s="2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 x14ac:dyDescent="0.25">
      <c r="A410" s="1"/>
      <c r="B410" s="2"/>
      <c r="C410" s="2"/>
      <c r="D410" s="2"/>
      <c r="E410" s="2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 x14ac:dyDescent="0.25">
      <c r="A411" s="1"/>
      <c r="B411" s="2"/>
      <c r="C411" s="2"/>
      <c r="D411" s="2"/>
      <c r="E411" s="2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 x14ac:dyDescent="0.25">
      <c r="A412" s="1"/>
      <c r="B412" s="2"/>
      <c r="C412" s="2"/>
      <c r="D412" s="2"/>
      <c r="E412" s="2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 x14ac:dyDescent="0.25">
      <c r="A413" s="1"/>
      <c r="B413" s="2"/>
      <c r="C413" s="2"/>
      <c r="D413" s="2"/>
      <c r="E413" s="2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 x14ac:dyDescent="0.25">
      <c r="A414" s="1"/>
      <c r="B414" s="2"/>
      <c r="C414" s="2"/>
      <c r="D414" s="2"/>
      <c r="E414" s="2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 x14ac:dyDescent="0.25">
      <c r="A415" s="1"/>
      <c r="B415" s="2"/>
      <c r="C415" s="2"/>
      <c r="D415" s="2"/>
      <c r="E415" s="2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 x14ac:dyDescent="0.25">
      <c r="A416" s="1"/>
      <c r="B416" s="2"/>
      <c r="C416" s="2"/>
      <c r="D416" s="2"/>
      <c r="E416" s="2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 x14ac:dyDescent="0.25">
      <c r="A417" s="1"/>
      <c r="B417" s="2"/>
      <c r="C417" s="2"/>
      <c r="D417" s="2"/>
      <c r="E417" s="2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 x14ac:dyDescent="0.25">
      <c r="A418" s="1"/>
      <c r="B418" s="2"/>
      <c r="C418" s="2"/>
      <c r="D418" s="2"/>
      <c r="E418" s="2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 x14ac:dyDescent="0.25">
      <c r="A419" s="1"/>
      <c r="B419" s="2"/>
      <c r="C419" s="2"/>
      <c r="D419" s="2"/>
      <c r="E419" s="2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 x14ac:dyDescent="0.25">
      <c r="A420" s="1"/>
      <c r="B420" s="2"/>
      <c r="C420" s="2"/>
      <c r="D420" s="2"/>
      <c r="E420" s="2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 x14ac:dyDescent="0.25">
      <c r="A421" s="1"/>
      <c r="B421" s="2"/>
      <c r="C421" s="2"/>
      <c r="D421" s="2"/>
      <c r="E421" s="2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 x14ac:dyDescent="0.25">
      <c r="A422" s="1"/>
      <c r="B422" s="2"/>
      <c r="C422" s="2"/>
      <c r="D422" s="2"/>
      <c r="E422" s="2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 x14ac:dyDescent="0.25">
      <c r="A423" s="1"/>
      <c r="B423" s="2"/>
      <c r="C423" s="2"/>
      <c r="D423" s="2"/>
      <c r="E423" s="2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 x14ac:dyDescent="0.25">
      <c r="A424" s="1"/>
      <c r="B424" s="2"/>
      <c r="C424" s="2"/>
      <c r="D424" s="2"/>
      <c r="E424" s="2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 x14ac:dyDescent="0.25">
      <c r="A425" s="1"/>
      <c r="B425" s="2"/>
      <c r="C425" s="2"/>
      <c r="D425" s="2"/>
      <c r="E425" s="2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 x14ac:dyDescent="0.25">
      <c r="A426" s="1"/>
      <c r="B426" s="2"/>
      <c r="C426" s="2"/>
      <c r="D426" s="2"/>
      <c r="E426" s="2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 x14ac:dyDescent="0.25">
      <c r="A427" s="1"/>
      <c r="B427" s="2"/>
      <c r="C427" s="2"/>
      <c r="D427" s="2"/>
      <c r="E427" s="2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 x14ac:dyDescent="0.25">
      <c r="A428" s="1"/>
      <c r="B428" s="2"/>
      <c r="C428" s="2"/>
      <c r="D428" s="2"/>
      <c r="E428" s="2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 x14ac:dyDescent="0.25">
      <c r="A429" s="1"/>
      <c r="B429" s="2"/>
      <c r="C429" s="2"/>
      <c r="D429" s="2"/>
      <c r="E429" s="2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 x14ac:dyDescent="0.25">
      <c r="A430" s="1"/>
      <c r="B430" s="2"/>
      <c r="C430" s="2"/>
      <c r="D430" s="2"/>
      <c r="E430" s="2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 x14ac:dyDescent="0.25">
      <c r="A431" s="1"/>
      <c r="B431" s="2"/>
      <c r="C431" s="2"/>
      <c r="D431" s="2"/>
      <c r="E431" s="2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 x14ac:dyDescent="0.25">
      <c r="A432" s="1"/>
      <c r="B432" s="2"/>
      <c r="C432" s="2"/>
      <c r="D432" s="2"/>
      <c r="E432" s="2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 x14ac:dyDescent="0.25">
      <c r="A433" s="1"/>
      <c r="B433" s="2"/>
      <c r="C433" s="2"/>
      <c r="D433" s="2"/>
      <c r="E433" s="2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 x14ac:dyDescent="0.25">
      <c r="A434" s="1"/>
      <c r="B434" s="2"/>
      <c r="C434" s="2"/>
      <c r="D434" s="2"/>
      <c r="E434" s="2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 x14ac:dyDescent="0.25">
      <c r="A435" s="1"/>
      <c r="B435" s="2"/>
      <c r="C435" s="2"/>
      <c r="D435" s="2"/>
      <c r="E435" s="2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 x14ac:dyDescent="0.25">
      <c r="A436" s="1"/>
      <c r="B436" s="2"/>
      <c r="C436" s="2"/>
      <c r="D436" s="2"/>
      <c r="E436" s="2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 x14ac:dyDescent="0.25">
      <c r="A437" s="1"/>
      <c r="B437" s="2"/>
      <c r="C437" s="2"/>
      <c r="D437" s="2"/>
      <c r="E437" s="2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 x14ac:dyDescent="0.25">
      <c r="A438" s="1"/>
      <c r="B438" s="2"/>
      <c r="C438" s="2"/>
      <c r="D438" s="2"/>
      <c r="E438" s="2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 x14ac:dyDescent="0.25">
      <c r="A439" s="1"/>
      <c r="B439" s="2"/>
      <c r="C439" s="2"/>
      <c r="D439" s="2"/>
      <c r="E439" s="2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 x14ac:dyDescent="0.25">
      <c r="A440" s="1"/>
      <c r="B440" s="2"/>
      <c r="C440" s="2"/>
      <c r="D440" s="2"/>
      <c r="E440" s="2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 x14ac:dyDescent="0.25">
      <c r="A441" s="1"/>
      <c r="B441" s="2"/>
      <c r="C441" s="2"/>
      <c r="D441" s="2"/>
      <c r="E441" s="2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 x14ac:dyDescent="0.25">
      <c r="A442" s="1"/>
      <c r="B442" s="2"/>
      <c r="C442" s="2"/>
      <c r="D442" s="2"/>
      <c r="E442" s="2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 x14ac:dyDescent="0.25">
      <c r="A443" s="1"/>
      <c r="B443" s="2"/>
      <c r="C443" s="2"/>
      <c r="D443" s="2"/>
      <c r="E443" s="2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 x14ac:dyDescent="0.25">
      <c r="A444" s="1"/>
      <c r="B444" s="2"/>
      <c r="C444" s="2"/>
      <c r="D444" s="2"/>
      <c r="E444" s="2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 x14ac:dyDescent="0.25">
      <c r="A445" s="1"/>
      <c r="B445" s="2"/>
      <c r="C445" s="2"/>
      <c r="D445" s="2"/>
      <c r="E445" s="2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 x14ac:dyDescent="0.25">
      <c r="A446" s="1"/>
      <c r="B446" s="2"/>
      <c r="C446" s="2"/>
      <c r="D446" s="2"/>
      <c r="E446" s="2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 x14ac:dyDescent="0.25">
      <c r="A447" s="1"/>
      <c r="B447" s="2"/>
      <c r="C447" s="2"/>
      <c r="D447" s="2"/>
      <c r="E447" s="2"/>
      <c r="F447" s="1"/>
      <c r="G447" s="1"/>
      <c r="H447" s="1"/>
      <c r="I447" s="1"/>
      <c r="J447" s="1"/>
      <c r="K447" s="1"/>
      <c r="L447" s="1"/>
      <c r="M447" s="1"/>
    </row>
    <row r="448" spans="1:13" ht="15.75" customHeight="1" x14ac:dyDescent="0.25">
      <c r="A448" s="1"/>
      <c r="B448" s="2"/>
      <c r="C448" s="2"/>
      <c r="D448" s="2"/>
      <c r="E448" s="2"/>
      <c r="F448" s="1"/>
      <c r="G448" s="1"/>
      <c r="H448" s="1"/>
      <c r="I448" s="1"/>
      <c r="J448" s="1"/>
      <c r="K448" s="1"/>
      <c r="L448" s="1"/>
      <c r="M448" s="1"/>
    </row>
    <row r="449" spans="1:13" ht="15.75" customHeight="1" x14ac:dyDescent="0.25">
      <c r="A449" s="1"/>
      <c r="B449" s="2"/>
      <c r="C449" s="2"/>
      <c r="D449" s="2"/>
      <c r="E449" s="2"/>
      <c r="F449" s="1"/>
      <c r="G449" s="1"/>
      <c r="H449" s="1"/>
      <c r="I449" s="1"/>
      <c r="J449" s="1"/>
      <c r="K449" s="1"/>
      <c r="L449" s="1"/>
      <c r="M449" s="1"/>
    </row>
    <row r="450" spans="1:13" ht="15.75" customHeight="1" x14ac:dyDescent="0.25">
      <c r="A450" s="1"/>
      <c r="B450" s="2"/>
      <c r="C450" s="2"/>
      <c r="D450" s="2"/>
      <c r="E450" s="2"/>
      <c r="F450" s="1"/>
      <c r="G450" s="1"/>
      <c r="H450" s="1"/>
      <c r="I450" s="1"/>
      <c r="J450" s="1"/>
      <c r="K450" s="1"/>
      <c r="L450" s="1"/>
      <c r="M450" s="1"/>
    </row>
    <row r="451" spans="1:13" ht="15.75" customHeight="1" x14ac:dyDescent="0.25">
      <c r="A451" s="1"/>
      <c r="B451" s="2"/>
      <c r="C451" s="2"/>
      <c r="D451" s="2"/>
      <c r="E451" s="2"/>
      <c r="F451" s="1"/>
      <c r="G451" s="1"/>
      <c r="H451" s="1"/>
      <c r="I451" s="1"/>
      <c r="J451" s="1"/>
      <c r="K451" s="1"/>
      <c r="L451" s="1"/>
      <c r="M451" s="1"/>
    </row>
    <row r="452" spans="1:13" ht="15.75" customHeight="1" x14ac:dyDescent="0.25">
      <c r="A452" s="1"/>
      <c r="B452" s="2"/>
      <c r="C452" s="2"/>
      <c r="D452" s="2"/>
      <c r="E452" s="2"/>
      <c r="F452" s="1"/>
      <c r="G452" s="1"/>
      <c r="H452" s="1"/>
      <c r="I452" s="1"/>
      <c r="J452" s="1"/>
      <c r="K452" s="1"/>
      <c r="L452" s="1"/>
      <c r="M452" s="1"/>
    </row>
    <row r="453" spans="1:13" ht="15.75" customHeight="1" x14ac:dyDescent="0.25">
      <c r="A453" s="1"/>
      <c r="B453" s="2"/>
      <c r="C453" s="2"/>
      <c r="D453" s="2"/>
      <c r="E453" s="2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 x14ac:dyDescent="0.25">
      <c r="A454" s="1"/>
      <c r="B454" s="2"/>
      <c r="C454" s="2"/>
      <c r="D454" s="2"/>
      <c r="E454" s="2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 x14ac:dyDescent="0.25">
      <c r="A455" s="1"/>
      <c r="B455" s="2"/>
      <c r="C455" s="2"/>
      <c r="D455" s="2"/>
      <c r="E455" s="2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 x14ac:dyDescent="0.25">
      <c r="A456" s="1"/>
      <c r="B456" s="2"/>
      <c r="C456" s="2"/>
      <c r="D456" s="2"/>
      <c r="E456" s="2"/>
      <c r="F456" s="1"/>
      <c r="G456" s="1"/>
      <c r="H456" s="1"/>
      <c r="I456" s="1"/>
      <c r="J456" s="1"/>
      <c r="K456" s="1"/>
      <c r="L456" s="1"/>
      <c r="M456" s="1"/>
    </row>
    <row r="457" spans="1:13" ht="15.75" customHeight="1" x14ac:dyDescent="0.25">
      <c r="A457" s="1"/>
      <c r="B457" s="2"/>
      <c r="C457" s="2"/>
      <c r="D457" s="2"/>
      <c r="E457" s="2"/>
      <c r="F457" s="1"/>
      <c r="G457" s="1"/>
      <c r="H457" s="1"/>
      <c r="I457" s="1"/>
      <c r="J457" s="1"/>
      <c r="K457" s="1"/>
      <c r="L457" s="1"/>
      <c r="M457" s="1"/>
    </row>
    <row r="458" spans="1:13" ht="15.75" customHeight="1" x14ac:dyDescent="0.25">
      <c r="A458" s="1"/>
      <c r="B458" s="2"/>
      <c r="C458" s="2"/>
      <c r="D458" s="2"/>
      <c r="E458" s="2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 x14ac:dyDescent="0.25">
      <c r="A459" s="1"/>
      <c r="B459" s="2"/>
      <c r="C459" s="2"/>
      <c r="D459" s="2"/>
      <c r="E459" s="2"/>
      <c r="F459" s="1"/>
      <c r="G459" s="1"/>
      <c r="H459" s="1"/>
      <c r="I459" s="1"/>
      <c r="J459" s="1"/>
      <c r="K459" s="1"/>
      <c r="L459" s="1"/>
      <c r="M459" s="1"/>
    </row>
    <row r="460" spans="1:13" ht="15.75" customHeight="1" x14ac:dyDescent="0.25">
      <c r="A460" s="1"/>
      <c r="B460" s="2"/>
      <c r="C460" s="2"/>
      <c r="D460" s="2"/>
      <c r="E460" s="2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 x14ac:dyDescent="0.25">
      <c r="A461" s="1"/>
      <c r="B461" s="2"/>
      <c r="C461" s="2"/>
      <c r="D461" s="2"/>
      <c r="E461" s="2"/>
      <c r="F461" s="1"/>
      <c r="G461" s="1"/>
      <c r="H461" s="1"/>
      <c r="I461" s="1"/>
      <c r="J461" s="1"/>
      <c r="K461" s="1"/>
      <c r="L461" s="1"/>
      <c r="M461" s="1"/>
    </row>
    <row r="462" spans="1:13" ht="15.75" customHeight="1" x14ac:dyDescent="0.25">
      <c r="A462" s="1"/>
      <c r="B462" s="2"/>
      <c r="C462" s="2"/>
      <c r="D462" s="2"/>
      <c r="E462" s="2"/>
      <c r="F462" s="1"/>
      <c r="G462" s="1"/>
      <c r="H462" s="1"/>
      <c r="I462" s="1"/>
      <c r="J462" s="1"/>
      <c r="K462" s="1"/>
      <c r="L462" s="1"/>
      <c r="M462" s="1"/>
    </row>
    <row r="463" spans="1:13" ht="15.75" customHeight="1" x14ac:dyDescent="0.25">
      <c r="A463" s="1"/>
      <c r="B463" s="2"/>
      <c r="C463" s="2"/>
      <c r="D463" s="2"/>
      <c r="E463" s="2"/>
      <c r="F463" s="1"/>
      <c r="G463" s="1"/>
      <c r="H463" s="1"/>
      <c r="I463" s="1"/>
      <c r="J463" s="1"/>
      <c r="K463" s="1"/>
      <c r="L463" s="1"/>
      <c r="M463" s="1"/>
    </row>
    <row r="464" spans="1:13" ht="15.75" customHeight="1" x14ac:dyDescent="0.25">
      <c r="A464" s="1"/>
      <c r="B464" s="2"/>
      <c r="C464" s="2"/>
      <c r="D464" s="2"/>
      <c r="E464" s="2"/>
      <c r="F464" s="1"/>
      <c r="G464" s="1"/>
      <c r="H464" s="1"/>
      <c r="I464" s="1"/>
      <c r="J464" s="1"/>
      <c r="K464" s="1"/>
      <c r="L464" s="1"/>
      <c r="M464" s="1"/>
    </row>
    <row r="465" spans="1:13" ht="15.75" customHeight="1" x14ac:dyDescent="0.25">
      <c r="A465" s="1"/>
      <c r="B465" s="2"/>
      <c r="C465" s="2"/>
      <c r="D465" s="2"/>
      <c r="E465" s="2"/>
      <c r="F465" s="1"/>
      <c r="G465" s="1"/>
      <c r="H465" s="1"/>
      <c r="I465" s="1"/>
      <c r="J465" s="1"/>
      <c r="K465" s="1"/>
      <c r="L465" s="1"/>
      <c r="M465" s="1"/>
    </row>
    <row r="466" spans="1:13" ht="15.75" customHeight="1" x14ac:dyDescent="0.25">
      <c r="A466" s="1"/>
      <c r="B466" s="2"/>
      <c r="C466" s="2"/>
      <c r="D466" s="2"/>
      <c r="E466" s="2"/>
      <c r="F466" s="1"/>
      <c r="G466" s="1"/>
      <c r="H466" s="1"/>
      <c r="I466" s="1"/>
      <c r="J466" s="1"/>
      <c r="K466" s="1"/>
      <c r="L466" s="1"/>
      <c r="M466" s="1"/>
    </row>
    <row r="467" spans="1:13" ht="15.75" customHeight="1" x14ac:dyDescent="0.25">
      <c r="A467" s="1"/>
      <c r="B467" s="2"/>
      <c r="C467" s="2"/>
      <c r="D467" s="2"/>
      <c r="E467" s="2"/>
      <c r="F467" s="1"/>
      <c r="G467" s="1"/>
      <c r="H467" s="1"/>
      <c r="I467" s="1"/>
      <c r="J467" s="1"/>
      <c r="K467" s="1"/>
      <c r="L467" s="1"/>
      <c r="M467" s="1"/>
    </row>
    <row r="468" spans="1:13" ht="15.75" customHeight="1" x14ac:dyDescent="0.25">
      <c r="A468" s="1"/>
      <c r="B468" s="2"/>
      <c r="C468" s="2"/>
      <c r="D468" s="2"/>
      <c r="E468" s="2"/>
      <c r="F468" s="1"/>
      <c r="G468" s="1"/>
      <c r="H468" s="1"/>
      <c r="I468" s="1"/>
      <c r="J468" s="1"/>
      <c r="K468" s="1"/>
      <c r="L468" s="1"/>
      <c r="M468" s="1"/>
    </row>
    <row r="469" spans="1:13" ht="15.75" customHeight="1" x14ac:dyDescent="0.25">
      <c r="A469" s="1"/>
      <c r="B469" s="2"/>
      <c r="C469" s="2"/>
      <c r="D469" s="2"/>
      <c r="E469" s="2"/>
      <c r="F469" s="1"/>
      <c r="G469" s="1"/>
      <c r="H469" s="1"/>
      <c r="I469" s="1"/>
      <c r="J469" s="1"/>
      <c r="K469" s="1"/>
      <c r="L469" s="1"/>
      <c r="M469" s="1"/>
    </row>
    <row r="470" spans="1:13" ht="15.75" customHeight="1" x14ac:dyDescent="0.25">
      <c r="A470" s="1"/>
      <c r="B470" s="2"/>
      <c r="C470" s="2"/>
      <c r="D470" s="2"/>
      <c r="E470" s="2"/>
      <c r="F470" s="1"/>
      <c r="G470" s="1"/>
      <c r="H470" s="1"/>
      <c r="I470" s="1"/>
      <c r="J470" s="1"/>
      <c r="K470" s="1"/>
      <c r="L470" s="1"/>
      <c r="M470" s="1"/>
    </row>
    <row r="471" spans="1:13" ht="15.75" customHeight="1" x14ac:dyDescent="0.25">
      <c r="A471" s="1"/>
      <c r="B471" s="2"/>
      <c r="C471" s="2"/>
      <c r="D471" s="2"/>
      <c r="E471" s="2"/>
      <c r="F471" s="1"/>
      <c r="G471" s="1"/>
      <c r="H471" s="1"/>
      <c r="I471" s="1"/>
      <c r="J471" s="1"/>
      <c r="K471" s="1"/>
      <c r="L471" s="1"/>
      <c r="M471" s="1"/>
    </row>
    <row r="472" spans="1:13" ht="15.75" customHeight="1" x14ac:dyDescent="0.25">
      <c r="A472" s="1"/>
      <c r="B472" s="2"/>
      <c r="C472" s="2"/>
      <c r="D472" s="2"/>
      <c r="E472" s="2"/>
      <c r="F472" s="1"/>
      <c r="G472" s="1"/>
      <c r="H472" s="1"/>
      <c r="I472" s="1"/>
      <c r="J472" s="1"/>
      <c r="K472" s="1"/>
      <c r="L472" s="1"/>
      <c r="M472" s="1"/>
    </row>
    <row r="473" spans="1:13" ht="15.75" customHeight="1" x14ac:dyDescent="0.25">
      <c r="A473" s="1"/>
      <c r="B473" s="2"/>
      <c r="C473" s="2"/>
      <c r="D473" s="2"/>
      <c r="E473" s="2"/>
      <c r="F473" s="1"/>
      <c r="G473" s="1"/>
      <c r="H473" s="1"/>
      <c r="I473" s="1"/>
      <c r="J473" s="1"/>
      <c r="K473" s="1"/>
      <c r="L473" s="1"/>
      <c r="M473" s="1"/>
    </row>
    <row r="474" spans="1:13" ht="15.75" customHeight="1" x14ac:dyDescent="0.25">
      <c r="A474" s="1"/>
      <c r="B474" s="2"/>
      <c r="C474" s="2"/>
      <c r="D474" s="2"/>
      <c r="E474" s="2"/>
      <c r="F474" s="1"/>
      <c r="G474" s="1"/>
      <c r="H474" s="1"/>
      <c r="I474" s="1"/>
      <c r="J474" s="1"/>
      <c r="K474" s="1"/>
      <c r="L474" s="1"/>
      <c r="M474" s="1"/>
    </row>
    <row r="475" spans="1:13" ht="15.75" customHeight="1" x14ac:dyDescent="0.25">
      <c r="A475" s="1"/>
      <c r="B475" s="2"/>
      <c r="C475" s="2"/>
      <c r="D475" s="2"/>
      <c r="E475" s="2"/>
      <c r="F475" s="1"/>
      <c r="G475" s="1"/>
      <c r="H475" s="1"/>
      <c r="I475" s="1"/>
      <c r="J475" s="1"/>
      <c r="K475" s="1"/>
      <c r="L475" s="1"/>
      <c r="M475" s="1"/>
    </row>
    <row r="476" spans="1:13" ht="15.75" customHeight="1" x14ac:dyDescent="0.25">
      <c r="A476" s="1"/>
      <c r="B476" s="2"/>
      <c r="C476" s="2"/>
      <c r="D476" s="2"/>
      <c r="E476" s="2"/>
      <c r="F476" s="1"/>
      <c r="G476" s="1"/>
      <c r="H476" s="1"/>
      <c r="I476" s="1"/>
      <c r="J476" s="1"/>
      <c r="K476" s="1"/>
      <c r="L476" s="1"/>
      <c r="M476" s="1"/>
    </row>
    <row r="477" spans="1:13" ht="15.75" customHeight="1" x14ac:dyDescent="0.25">
      <c r="A477" s="1"/>
      <c r="B477" s="2"/>
      <c r="C477" s="2"/>
      <c r="D477" s="2"/>
      <c r="E477" s="2"/>
      <c r="F477" s="1"/>
      <c r="G477" s="1"/>
      <c r="H477" s="1"/>
      <c r="I477" s="1"/>
      <c r="J477" s="1"/>
      <c r="K477" s="1"/>
      <c r="L477" s="1"/>
      <c r="M477" s="1"/>
    </row>
    <row r="478" spans="1:13" ht="15.75" customHeight="1" x14ac:dyDescent="0.25">
      <c r="A478" s="1"/>
      <c r="B478" s="2"/>
      <c r="C478" s="2"/>
      <c r="D478" s="2"/>
      <c r="E478" s="2"/>
      <c r="F478" s="1"/>
      <c r="G478" s="1"/>
      <c r="H478" s="1"/>
      <c r="I478" s="1"/>
      <c r="J478" s="1"/>
      <c r="K478" s="1"/>
      <c r="L478" s="1"/>
      <c r="M478" s="1"/>
    </row>
    <row r="479" spans="1:13" ht="15.75" customHeight="1" x14ac:dyDescent="0.25">
      <c r="A479" s="1"/>
      <c r="B479" s="2"/>
      <c r="C479" s="2"/>
      <c r="D479" s="2"/>
      <c r="E479" s="2"/>
      <c r="F479" s="1"/>
      <c r="G479" s="1"/>
      <c r="H479" s="1"/>
      <c r="I479" s="1"/>
      <c r="J479" s="1"/>
      <c r="K479" s="1"/>
      <c r="L479" s="1"/>
      <c r="M479" s="1"/>
    </row>
    <row r="480" spans="1:13" ht="15.75" customHeight="1" x14ac:dyDescent="0.25">
      <c r="A480" s="1"/>
      <c r="B480" s="2"/>
      <c r="C480" s="2"/>
      <c r="D480" s="2"/>
      <c r="E480" s="2"/>
      <c r="F480" s="1"/>
      <c r="G480" s="1"/>
      <c r="H480" s="1"/>
      <c r="I480" s="1"/>
      <c r="J480" s="1"/>
      <c r="K480" s="1"/>
      <c r="L480" s="1"/>
      <c r="M480" s="1"/>
    </row>
    <row r="481" spans="1:13" ht="15.75" customHeight="1" x14ac:dyDescent="0.25">
      <c r="A481" s="1"/>
      <c r="B481" s="2"/>
      <c r="C481" s="2"/>
      <c r="D481" s="2"/>
      <c r="E481" s="2"/>
      <c r="F481" s="1"/>
      <c r="G481" s="1"/>
      <c r="H481" s="1"/>
      <c r="I481" s="1"/>
      <c r="J481" s="1"/>
      <c r="K481" s="1"/>
      <c r="L481" s="1"/>
      <c r="M481" s="1"/>
    </row>
    <row r="482" spans="1:13" ht="15.75" customHeight="1" x14ac:dyDescent="0.25">
      <c r="A482" s="1"/>
      <c r="B482" s="2"/>
      <c r="C482" s="2"/>
      <c r="D482" s="2"/>
      <c r="E482" s="2"/>
      <c r="F482" s="1"/>
      <c r="G482" s="1"/>
      <c r="H482" s="1"/>
      <c r="I482" s="1"/>
      <c r="J482" s="1"/>
      <c r="K482" s="1"/>
      <c r="L482" s="1"/>
      <c r="M482" s="1"/>
    </row>
    <row r="483" spans="1:13" ht="15.75" customHeight="1" x14ac:dyDescent="0.25">
      <c r="A483" s="1"/>
      <c r="B483" s="2"/>
      <c r="C483" s="2"/>
      <c r="D483" s="2"/>
      <c r="E483" s="2"/>
      <c r="F483" s="1"/>
      <c r="G483" s="1"/>
      <c r="H483" s="1"/>
      <c r="I483" s="1"/>
      <c r="J483" s="1"/>
      <c r="K483" s="1"/>
      <c r="L483" s="1"/>
      <c r="M483" s="1"/>
    </row>
    <row r="484" spans="1:13" ht="15.75" customHeight="1" x14ac:dyDescent="0.25">
      <c r="A484" s="1"/>
      <c r="B484" s="2"/>
      <c r="C484" s="2"/>
      <c r="D484" s="2"/>
      <c r="E484" s="2"/>
      <c r="F484" s="1"/>
      <c r="G484" s="1"/>
      <c r="H484" s="1"/>
      <c r="I484" s="1"/>
      <c r="J484" s="1"/>
      <c r="K484" s="1"/>
      <c r="L484" s="1"/>
      <c r="M484" s="1"/>
    </row>
    <row r="485" spans="1:13" ht="15.75" customHeight="1" x14ac:dyDescent="0.25">
      <c r="A485" s="1"/>
      <c r="B485" s="2"/>
      <c r="C485" s="2"/>
      <c r="D485" s="2"/>
      <c r="E485" s="2"/>
      <c r="F485" s="1"/>
      <c r="G485" s="1"/>
      <c r="H485" s="1"/>
      <c r="I485" s="1"/>
      <c r="J485" s="1"/>
      <c r="K485" s="1"/>
      <c r="L485" s="1"/>
      <c r="M485" s="1"/>
    </row>
    <row r="486" spans="1:13" ht="15.75" customHeight="1" x14ac:dyDescent="0.25">
      <c r="A486" s="1"/>
      <c r="B486" s="2"/>
      <c r="C486" s="2"/>
      <c r="D486" s="2"/>
      <c r="E486" s="2"/>
      <c r="F486" s="1"/>
      <c r="G486" s="1"/>
      <c r="H486" s="1"/>
      <c r="I486" s="1"/>
      <c r="J486" s="1"/>
      <c r="K486" s="1"/>
      <c r="L486" s="1"/>
      <c r="M486" s="1"/>
    </row>
    <row r="487" spans="1:13" ht="15.75" customHeight="1" x14ac:dyDescent="0.25">
      <c r="A487" s="1"/>
      <c r="B487" s="2"/>
      <c r="C487" s="2"/>
      <c r="D487" s="2"/>
      <c r="E487" s="2"/>
      <c r="F487" s="1"/>
      <c r="G487" s="1"/>
      <c r="H487" s="1"/>
      <c r="I487" s="1"/>
      <c r="J487" s="1"/>
      <c r="K487" s="1"/>
      <c r="L487" s="1"/>
      <c r="M487" s="1"/>
    </row>
    <row r="488" spans="1:13" ht="15.75" customHeight="1" x14ac:dyDescent="0.25">
      <c r="A488" s="1"/>
      <c r="B488" s="2"/>
      <c r="C488" s="2"/>
      <c r="D488" s="2"/>
      <c r="E488" s="2"/>
      <c r="F488" s="1"/>
      <c r="G488" s="1"/>
      <c r="H488" s="1"/>
      <c r="I488" s="1"/>
      <c r="J488" s="1"/>
      <c r="K488" s="1"/>
      <c r="L488" s="1"/>
      <c r="M488" s="1"/>
    </row>
    <row r="489" spans="1:13" ht="15.75" customHeight="1" x14ac:dyDescent="0.25">
      <c r="A489" s="1"/>
      <c r="B489" s="2"/>
      <c r="C489" s="2"/>
      <c r="D489" s="2"/>
      <c r="E489" s="2"/>
      <c r="F489" s="1"/>
      <c r="G489" s="1"/>
      <c r="H489" s="1"/>
      <c r="I489" s="1"/>
      <c r="J489" s="1"/>
      <c r="K489" s="1"/>
      <c r="L489" s="1"/>
      <c r="M489" s="1"/>
    </row>
    <row r="490" spans="1:13" ht="15.75" customHeight="1" x14ac:dyDescent="0.25">
      <c r="A490" s="1"/>
      <c r="B490" s="2"/>
      <c r="C490" s="2"/>
      <c r="D490" s="2"/>
      <c r="E490" s="2"/>
      <c r="F490" s="1"/>
      <c r="G490" s="1"/>
      <c r="H490" s="1"/>
      <c r="I490" s="1"/>
      <c r="J490" s="1"/>
      <c r="K490" s="1"/>
      <c r="L490" s="1"/>
      <c r="M490" s="1"/>
    </row>
    <row r="491" spans="1:13" ht="15.75" customHeight="1" x14ac:dyDescent="0.25">
      <c r="A491" s="1"/>
      <c r="B491" s="2"/>
      <c r="C491" s="2"/>
      <c r="D491" s="2"/>
      <c r="E491" s="2"/>
      <c r="F491" s="1"/>
      <c r="G491" s="1"/>
      <c r="H491" s="1"/>
      <c r="I491" s="1"/>
      <c r="J491" s="1"/>
      <c r="K491" s="1"/>
      <c r="L491" s="1"/>
      <c r="M491" s="1"/>
    </row>
    <row r="492" spans="1:13" ht="15.75" customHeight="1" x14ac:dyDescent="0.25">
      <c r="A492" s="1"/>
      <c r="B492" s="2"/>
      <c r="C492" s="2"/>
      <c r="D492" s="2"/>
      <c r="E492" s="2"/>
      <c r="F492" s="1"/>
      <c r="G492" s="1"/>
      <c r="H492" s="1"/>
      <c r="I492" s="1"/>
      <c r="J492" s="1"/>
      <c r="K492" s="1"/>
      <c r="L492" s="1"/>
      <c r="M492" s="1"/>
    </row>
    <row r="493" spans="1:13" ht="15.75" customHeight="1" x14ac:dyDescent="0.25">
      <c r="A493" s="1"/>
      <c r="B493" s="2"/>
      <c r="C493" s="2"/>
      <c r="D493" s="2"/>
      <c r="E493" s="2"/>
      <c r="F493" s="1"/>
      <c r="G493" s="1"/>
      <c r="H493" s="1"/>
      <c r="I493" s="1"/>
      <c r="J493" s="1"/>
      <c r="K493" s="1"/>
      <c r="L493" s="1"/>
      <c r="M493" s="1"/>
    </row>
    <row r="494" spans="1:13" ht="15.75" customHeight="1" x14ac:dyDescent="0.25">
      <c r="A494" s="1"/>
      <c r="B494" s="2"/>
      <c r="C494" s="2"/>
      <c r="D494" s="2"/>
      <c r="E494" s="2"/>
      <c r="F494" s="1"/>
      <c r="G494" s="1"/>
      <c r="H494" s="1"/>
      <c r="I494" s="1"/>
      <c r="J494" s="1"/>
      <c r="K494" s="1"/>
      <c r="L494" s="1"/>
      <c r="M494" s="1"/>
    </row>
    <row r="495" spans="1:13" ht="15.75" customHeight="1" x14ac:dyDescent="0.25">
      <c r="A495" s="1"/>
      <c r="B495" s="2"/>
      <c r="C495" s="2"/>
      <c r="D495" s="2"/>
      <c r="E495" s="2"/>
      <c r="F495" s="1"/>
      <c r="G495" s="1"/>
      <c r="H495" s="1"/>
      <c r="I495" s="1"/>
      <c r="J495" s="1"/>
      <c r="K495" s="1"/>
      <c r="L495" s="1"/>
      <c r="M495" s="1"/>
    </row>
    <row r="496" spans="1:13" ht="15.75" customHeight="1" x14ac:dyDescent="0.25">
      <c r="A496" s="1"/>
      <c r="B496" s="2"/>
      <c r="C496" s="2"/>
      <c r="D496" s="2"/>
      <c r="E496" s="2"/>
      <c r="F496" s="1"/>
      <c r="G496" s="1"/>
      <c r="H496" s="1"/>
      <c r="I496" s="1"/>
      <c r="J496" s="1"/>
      <c r="K496" s="1"/>
      <c r="L496" s="1"/>
      <c r="M496" s="1"/>
    </row>
    <row r="497" spans="1:13" ht="15.75" customHeight="1" x14ac:dyDescent="0.25">
      <c r="A497" s="1"/>
      <c r="B497" s="2"/>
      <c r="C497" s="2"/>
      <c r="D497" s="2"/>
      <c r="E497" s="2"/>
      <c r="F497" s="1"/>
      <c r="G497" s="1"/>
      <c r="H497" s="1"/>
      <c r="I497" s="1"/>
      <c r="J497" s="1"/>
      <c r="K497" s="1"/>
      <c r="L497" s="1"/>
      <c r="M497" s="1"/>
    </row>
    <row r="498" spans="1:13" ht="15.75" customHeight="1" x14ac:dyDescent="0.25">
      <c r="A498" s="1"/>
      <c r="B498" s="2"/>
      <c r="C498" s="2"/>
      <c r="D498" s="2"/>
      <c r="E498" s="2"/>
      <c r="F498" s="1"/>
      <c r="G498" s="1"/>
      <c r="H498" s="1"/>
      <c r="I498" s="1"/>
      <c r="J498" s="1"/>
      <c r="K498" s="1"/>
      <c r="L498" s="1"/>
      <c r="M498" s="1"/>
    </row>
    <row r="499" spans="1:13" ht="15.75" customHeight="1" x14ac:dyDescent="0.25">
      <c r="A499" s="1"/>
      <c r="B499" s="2"/>
      <c r="C499" s="2"/>
      <c r="D499" s="2"/>
      <c r="E499" s="2"/>
      <c r="F499" s="1"/>
      <c r="G499" s="1"/>
      <c r="H499" s="1"/>
      <c r="I499" s="1"/>
      <c r="J499" s="1"/>
      <c r="K499" s="1"/>
      <c r="L499" s="1"/>
      <c r="M499" s="1"/>
    </row>
    <row r="500" spans="1:13" ht="15.75" customHeight="1" x14ac:dyDescent="0.25">
      <c r="A500" s="1"/>
      <c r="B500" s="2"/>
      <c r="C500" s="2"/>
      <c r="D500" s="2"/>
      <c r="E500" s="2"/>
      <c r="F500" s="1"/>
      <c r="G500" s="1"/>
      <c r="H500" s="1"/>
      <c r="I500" s="1"/>
      <c r="J500" s="1"/>
      <c r="K500" s="1"/>
      <c r="L500" s="1"/>
      <c r="M500" s="1"/>
    </row>
    <row r="501" spans="1:13" ht="15.75" customHeight="1" x14ac:dyDescent="0.25">
      <c r="A501" s="1"/>
      <c r="B501" s="2"/>
      <c r="C501" s="2"/>
      <c r="D501" s="2"/>
      <c r="E501" s="2"/>
      <c r="F501" s="1"/>
      <c r="G501" s="1"/>
      <c r="H501" s="1"/>
      <c r="I501" s="1"/>
      <c r="J501" s="1"/>
      <c r="K501" s="1"/>
      <c r="L501" s="1"/>
      <c r="M501" s="1"/>
    </row>
    <row r="502" spans="1:13" ht="15.75" customHeight="1" x14ac:dyDescent="0.25">
      <c r="A502" s="1"/>
      <c r="B502" s="2"/>
      <c r="C502" s="2"/>
      <c r="D502" s="2"/>
      <c r="E502" s="2"/>
      <c r="F502" s="1"/>
      <c r="G502" s="1"/>
      <c r="H502" s="1"/>
      <c r="I502" s="1"/>
      <c r="J502" s="1"/>
      <c r="K502" s="1"/>
      <c r="L502" s="1"/>
      <c r="M502" s="1"/>
    </row>
    <row r="503" spans="1:13" ht="15.75" customHeight="1" x14ac:dyDescent="0.25">
      <c r="A503" s="1"/>
      <c r="B503" s="2"/>
      <c r="C503" s="2"/>
      <c r="D503" s="2"/>
      <c r="E503" s="2"/>
      <c r="F503" s="1"/>
      <c r="G503" s="1"/>
      <c r="H503" s="1"/>
      <c r="I503" s="1"/>
      <c r="J503" s="1"/>
      <c r="K503" s="1"/>
      <c r="L503" s="1"/>
      <c r="M503" s="1"/>
    </row>
    <row r="504" spans="1:13" ht="15.75" customHeight="1" x14ac:dyDescent="0.25">
      <c r="A504" s="1"/>
      <c r="B504" s="2"/>
      <c r="C504" s="2"/>
      <c r="D504" s="2"/>
      <c r="E504" s="2"/>
      <c r="F504" s="1"/>
      <c r="G504" s="1"/>
      <c r="H504" s="1"/>
      <c r="I504" s="1"/>
      <c r="J504" s="1"/>
      <c r="K504" s="1"/>
      <c r="L504" s="1"/>
      <c r="M504" s="1"/>
    </row>
    <row r="505" spans="1:13" ht="15.75" customHeight="1" x14ac:dyDescent="0.25">
      <c r="A505" s="1"/>
      <c r="B505" s="2"/>
      <c r="C505" s="2"/>
      <c r="D505" s="2"/>
      <c r="E505" s="2"/>
      <c r="F505" s="1"/>
      <c r="G505" s="1"/>
      <c r="H505" s="1"/>
      <c r="I505" s="1"/>
      <c r="J505" s="1"/>
      <c r="K505" s="1"/>
      <c r="L505" s="1"/>
      <c r="M505" s="1"/>
    </row>
    <row r="506" spans="1:13" ht="15.75" customHeight="1" x14ac:dyDescent="0.25">
      <c r="A506" s="1"/>
      <c r="B506" s="2"/>
      <c r="C506" s="2"/>
      <c r="D506" s="2"/>
      <c r="E506" s="2"/>
      <c r="F506" s="1"/>
      <c r="G506" s="1"/>
      <c r="H506" s="1"/>
      <c r="I506" s="1"/>
      <c r="J506" s="1"/>
      <c r="K506" s="1"/>
      <c r="L506" s="1"/>
      <c r="M506" s="1"/>
    </row>
    <row r="507" spans="1:13" ht="15.75" customHeight="1" x14ac:dyDescent="0.25">
      <c r="A507" s="1"/>
      <c r="B507" s="2"/>
      <c r="C507" s="2"/>
      <c r="D507" s="2"/>
      <c r="E507" s="2"/>
      <c r="F507" s="1"/>
      <c r="G507" s="1"/>
      <c r="H507" s="1"/>
      <c r="I507" s="1"/>
      <c r="J507" s="1"/>
      <c r="K507" s="1"/>
      <c r="L507" s="1"/>
      <c r="M507" s="1"/>
    </row>
    <row r="508" spans="1:13" ht="15.75" customHeight="1" x14ac:dyDescent="0.25">
      <c r="A508" s="1"/>
      <c r="B508" s="2"/>
      <c r="C508" s="2"/>
      <c r="D508" s="2"/>
      <c r="E508" s="2"/>
      <c r="F508" s="1"/>
      <c r="G508" s="1"/>
      <c r="H508" s="1"/>
      <c r="I508" s="1"/>
      <c r="J508" s="1"/>
      <c r="K508" s="1"/>
      <c r="L508" s="1"/>
      <c r="M508" s="1"/>
    </row>
    <row r="509" spans="1:13" ht="15.75" customHeight="1" x14ac:dyDescent="0.25">
      <c r="A509" s="1"/>
      <c r="B509" s="2"/>
      <c r="C509" s="2"/>
      <c r="D509" s="2"/>
      <c r="E509" s="2"/>
      <c r="F509" s="1"/>
      <c r="G509" s="1"/>
      <c r="H509" s="1"/>
      <c r="I509" s="1"/>
      <c r="J509" s="1"/>
      <c r="K509" s="1"/>
      <c r="L509" s="1"/>
      <c r="M509" s="1"/>
    </row>
    <row r="510" spans="1:13" ht="15.75" customHeight="1" x14ac:dyDescent="0.25">
      <c r="A510" s="1"/>
      <c r="B510" s="2"/>
      <c r="C510" s="2"/>
      <c r="D510" s="2"/>
      <c r="E510" s="2"/>
      <c r="F510" s="1"/>
      <c r="G510" s="1"/>
      <c r="H510" s="1"/>
      <c r="I510" s="1"/>
      <c r="J510" s="1"/>
      <c r="K510" s="1"/>
      <c r="L510" s="1"/>
      <c r="M510" s="1"/>
    </row>
    <row r="511" spans="1:13" ht="15.75" customHeight="1" x14ac:dyDescent="0.25">
      <c r="A511" s="1"/>
      <c r="B511" s="2"/>
      <c r="C511" s="2"/>
      <c r="D511" s="2"/>
      <c r="E511" s="2"/>
      <c r="F511" s="1"/>
      <c r="G511" s="1"/>
      <c r="H511" s="1"/>
      <c r="I511" s="1"/>
      <c r="J511" s="1"/>
      <c r="K511" s="1"/>
      <c r="L511" s="1"/>
      <c r="M511" s="1"/>
    </row>
    <row r="512" spans="1:13" ht="15.75" customHeight="1" x14ac:dyDescent="0.25">
      <c r="A512" s="1"/>
      <c r="B512" s="2"/>
      <c r="C512" s="2"/>
      <c r="D512" s="2"/>
      <c r="E512" s="2"/>
      <c r="F512" s="1"/>
      <c r="G512" s="1"/>
      <c r="H512" s="1"/>
      <c r="I512" s="1"/>
      <c r="J512" s="1"/>
      <c r="K512" s="1"/>
      <c r="L512" s="1"/>
      <c r="M512" s="1"/>
    </row>
    <row r="513" spans="1:13" ht="15.75" customHeight="1" x14ac:dyDescent="0.25">
      <c r="A513" s="1"/>
      <c r="B513" s="2"/>
      <c r="C513" s="2"/>
      <c r="D513" s="2"/>
      <c r="E513" s="2"/>
      <c r="F513" s="1"/>
      <c r="G513" s="1"/>
      <c r="H513" s="1"/>
      <c r="I513" s="1"/>
      <c r="J513" s="1"/>
      <c r="K513" s="1"/>
      <c r="L513" s="1"/>
      <c r="M513" s="1"/>
    </row>
    <row r="514" spans="1:13" ht="15.75" customHeight="1" x14ac:dyDescent="0.25">
      <c r="A514" s="1"/>
      <c r="B514" s="2"/>
      <c r="C514" s="2"/>
      <c r="D514" s="2"/>
      <c r="E514" s="2"/>
      <c r="F514" s="1"/>
      <c r="G514" s="1"/>
      <c r="H514" s="1"/>
      <c r="I514" s="1"/>
      <c r="J514" s="1"/>
      <c r="K514" s="1"/>
      <c r="L514" s="1"/>
      <c r="M514" s="1"/>
    </row>
    <row r="515" spans="1:13" ht="15.75" customHeight="1" x14ac:dyDescent="0.25">
      <c r="A515" s="1"/>
      <c r="B515" s="2"/>
      <c r="C515" s="2"/>
      <c r="D515" s="2"/>
      <c r="E515" s="2"/>
      <c r="F515" s="1"/>
      <c r="G515" s="1"/>
      <c r="H515" s="1"/>
      <c r="I515" s="1"/>
      <c r="J515" s="1"/>
      <c r="K515" s="1"/>
      <c r="L515" s="1"/>
      <c r="M515" s="1"/>
    </row>
    <row r="516" spans="1:13" ht="15.75" customHeight="1" x14ac:dyDescent="0.25">
      <c r="A516" s="1"/>
      <c r="B516" s="2"/>
      <c r="C516" s="2"/>
      <c r="D516" s="2"/>
      <c r="E516" s="2"/>
      <c r="F516" s="1"/>
      <c r="G516" s="1"/>
      <c r="H516" s="1"/>
      <c r="I516" s="1"/>
      <c r="J516" s="1"/>
      <c r="K516" s="1"/>
      <c r="L516" s="1"/>
      <c r="M516" s="1"/>
    </row>
    <row r="517" spans="1:13" ht="15.75" customHeight="1" x14ac:dyDescent="0.25">
      <c r="A517" s="1"/>
      <c r="B517" s="2"/>
      <c r="C517" s="2"/>
      <c r="D517" s="2"/>
      <c r="E517" s="2"/>
      <c r="F517" s="1"/>
      <c r="G517" s="1"/>
      <c r="H517" s="1"/>
      <c r="I517" s="1"/>
      <c r="J517" s="1"/>
      <c r="K517" s="1"/>
      <c r="L517" s="1"/>
      <c r="M517" s="1"/>
    </row>
    <row r="518" spans="1:13" ht="15.75" customHeight="1" x14ac:dyDescent="0.25">
      <c r="A518" s="1"/>
      <c r="B518" s="2"/>
      <c r="C518" s="2"/>
      <c r="D518" s="2"/>
      <c r="E518" s="2"/>
      <c r="F518" s="1"/>
      <c r="G518" s="1"/>
      <c r="H518" s="1"/>
      <c r="I518" s="1"/>
      <c r="J518" s="1"/>
      <c r="K518" s="1"/>
      <c r="L518" s="1"/>
      <c r="M518" s="1"/>
    </row>
    <row r="519" spans="1:13" ht="15.75" customHeight="1" x14ac:dyDescent="0.25">
      <c r="A519" s="1"/>
      <c r="B519" s="2"/>
      <c r="C519" s="2"/>
      <c r="D519" s="2"/>
      <c r="E519" s="2"/>
      <c r="F519" s="1"/>
      <c r="G519" s="1"/>
      <c r="H519" s="1"/>
      <c r="I519" s="1"/>
      <c r="J519" s="1"/>
      <c r="K519" s="1"/>
      <c r="L519" s="1"/>
      <c r="M519" s="1"/>
    </row>
    <row r="520" spans="1:13" ht="15.75" customHeight="1" x14ac:dyDescent="0.25">
      <c r="A520" s="1"/>
      <c r="B520" s="2"/>
      <c r="C520" s="2"/>
      <c r="D520" s="2"/>
      <c r="E520" s="2"/>
      <c r="F520" s="1"/>
      <c r="G520" s="1"/>
      <c r="H520" s="1"/>
      <c r="I520" s="1"/>
      <c r="J520" s="1"/>
      <c r="K520" s="1"/>
      <c r="L520" s="1"/>
      <c r="M520" s="1"/>
    </row>
    <row r="521" spans="1:13" ht="15.75" customHeight="1" x14ac:dyDescent="0.25">
      <c r="A521" s="1"/>
      <c r="B521" s="2"/>
      <c r="C521" s="2"/>
      <c r="D521" s="2"/>
      <c r="E521" s="2"/>
      <c r="F521" s="1"/>
      <c r="G521" s="1"/>
      <c r="H521" s="1"/>
      <c r="I521" s="1"/>
      <c r="J521" s="1"/>
      <c r="K521" s="1"/>
      <c r="L521" s="1"/>
      <c r="M521" s="1"/>
    </row>
    <row r="522" spans="1:13" ht="15.75" customHeight="1" x14ac:dyDescent="0.25">
      <c r="A522" s="1"/>
      <c r="B522" s="2"/>
      <c r="C522" s="2"/>
      <c r="D522" s="2"/>
      <c r="E522" s="2"/>
      <c r="F522" s="1"/>
      <c r="G522" s="1"/>
      <c r="H522" s="1"/>
      <c r="I522" s="1"/>
      <c r="J522" s="1"/>
      <c r="K522" s="1"/>
      <c r="L522" s="1"/>
      <c r="M522" s="1"/>
    </row>
    <row r="523" spans="1:13" ht="15.75" customHeight="1" x14ac:dyDescent="0.25">
      <c r="A523" s="1"/>
      <c r="B523" s="2"/>
      <c r="C523" s="2"/>
      <c r="D523" s="2"/>
      <c r="E523" s="2"/>
      <c r="F523" s="1"/>
      <c r="G523" s="1"/>
      <c r="H523" s="1"/>
      <c r="I523" s="1"/>
      <c r="J523" s="1"/>
      <c r="K523" s="1"/>
      <c r="L523" s="1"/>
      <c r="M523" s="1"/>
    </row>
    <row r="524" spans="1:13" ht="15.75" customHeight="1" x14ac:dyDescent="0.25">
      <c r="A524" s="1"/>
      <c r="B524" s="2"/>
      <c r="C524" s="2"/>
      <c r="D524" s="2"/>
      <c r="E524" s="2"/>
      <c r="F524" s="1"/>
      <c r="G524" s="1"/>
      <c r="H524" s="1"/>
      <c r="I524" s="1"/>
      <c r="J524" s="1"/>
      <c r="K524" s="1"/>
      <c r="L524" s="1"/>
      <c r="M524" s="1"/>
    </row>
    <row r="525" spans="1:13" ht="15.75" customHeight="1" x14ac:dyDescent="0.25">
      <c r="A525" s="1"/>
      <c r="B525" s="2"/>
      <c r="C525" s="2"/>
      <c r="D525" s="2"/>
      <c r="E525" s="2"/>
      <c r="F525" s="1"/>
      <c r="G525" s="1"/>
      <c r="H525" s="1"/>
      <c r="I525" s="1"/>
      <c r="J525" s="1"/>
      <c r="K525" s="1"/>
      <c r="L525" s="1"/>
      <c r="M525" s="1"/>
    </row>
    <row r="526" spans="1:13" ht="15.75" customHeight="1" x14ac:dyDescent="0.25">
      <c r="A526" s="1"/>
      <c r="B526" s="2"/>
      <c r="C526" s="2"/>
      <c r="D526" s="2"/>
      <c r="E526" s="2"/>
      <c r="F526" s="1"/>
      <c r="G526" s="1"/>
      <c r="H526" s="1"/>
      <c r="I526" s="1"/>
      <c r="J526" s="1"/>
      <c r="K526" s="1"/>
      <c r="L526" s="1"/>
      <c r="M526" s="1"/>
    </row>
    <row r="527" spans="1:13" ht="15.75" customHeight="1" x14ac:dyDescent="0.25">
      <c r="A527" s="1"/>
      <c r="B527" s="2"/>
      <c r="C527" s="2"/>
      <c r="D527" s="2"/>
      <c r="E527" s="2"/>
      <c r="F527" s="1"/>
      <c r="G527" s="1"/>
      <c r="H527" s="1"/>
      <c r="I527" s="1"/>
      <c r="J527" s="1"/>
      <c r="K527" s="1"/>
      <c r="L527" s="1"/>
      <c r="M527" s="1"/>
    </row>
    <row r="528" spans="1:13" ht="15.75" customHeight="1" x14ac:dyDescent="0.25">
      <c r="A528" s="1"/>
      <c r="B528" s="2"/>
      <c r="C528" s="2"/>
      <c r="D528" s="2"/>
      <c r="E528" s="2"/>
      <c r="F528" s="1"/>
      <c r="G528" s="1"/>
      <c r="H528" s="1"/>
      <c r="I528" s="1"/>
      <c r="J528" s="1"/>
      <c r="K528" s="1"/>
      <c r="L528" s="1"/>
      <c r="M528" s="1"/>
    </row>
    <row r="529" spans="1:13" ht="15.75" customHeight="1" x14ac:dyDescent="0.25">
      <c r="A529" s="1"/>
      <c r="B529" s="2"/>
      <c r="C529" s="2"/>
      <c r="D529" s="2"/>
      <c r="E529" s="2"/>
      <c r="F529" s="1"/>
      <c r="G529" s="1"/>
      <c r="H529" s="1"/>
      <c r="I529" s="1"/>
      <c r="J529" s="1"/>
      <c r="K529" s="1"/>
      <c r="L529" s="1"/>
      <c r="M529" s="1"/>
    </row>
    <row r="530" spans="1:13" ht="15.75" customHeight="1" x14ac:dyDescent="0.25">
      <c r="A530" s="1"/>
      <c r="B530" s="2"/>
      <c r="C530" s="2"/>
      <c r="D530" s="2"/>
      <c r="E530" s="2"/>
      <c r="F530" s="1"/>
      <c r="G530" s="1"/>
      <c r="H530" s="1"/>
      <c r="I530" s="1"/>
      <c r="J530" s="1"/>
      <c r="K530" s="1"/>
      <c r="L530" s="1"/>
      <c r="M530" s="1"/>
    </row>
    <row r="531" spans="1:13" ht="15.75" customHeight="1" x14ac:dyDescent="0.25">
      <c r="A531" s="1"/>
      <c r="B531" s="2"/>
      <c r="C531" s="2"/>
      <c r="D531" s="2"/>
      <c r="E531" s="2"/>
      <c r="F531" s="1"/>
      <c r="G531" s="1"/>
      <c r="H531" s="1"/>
      <c r="I531" s="1"/>
      <c r="J531" s="1"/>
      <c r="K531" s="1"/>
      <c r="L531" s="1"/>
      <c r="M531" s="1"/>
    </row>
    <row r="532" spans="1:13" ht="15.75" customHeight="1" x14ac:dyDescent="0.25">
      <c r="A532" s="1"/>
      <c r="B532" s="2"/>
      <c r="C532" s="2"/>
      <c r="D532" s="2"/>
      <c r="E532" s="2"/>
      <c r="F532" s="1"/>
      <c r="G532" s="1"/>
      <c r="H532" s="1"/>
      <c r="I532" s="1"/>
      <c r="J532" s="1"/>
      <c r="K532" s="1"/>
      <c r="L532" s="1"/>
      <c r="M532" s="1"/>
    </row>
    <row r="533" spans="1:13" ht="15.75" customHeight="1" x14ac:dyDescent="0.25">
      <c r="A533" s="1"/>
      <c r="B533" s="2"/>
      <c r="C533" s="2"/>
      <c r="D533" s="2"/>
      <c r="E533" s="2"/>
      <c r="F533" s="1"/>
      <c r="G533" s="1"/>
      <c r="H533" s="1"/>
      <c r="I533" s="1"/>
      <c r="J533" s="1"/>
      <c r="K533" s="1"/>
      <c r="L533" s="1"/>
      <c r="M533" s="1"/>
    </row>
    <row r="534" spans="1:13" ht="15.75" customHeight="1" x14ac:dyDescent="0.25">
      <c r="A534" s="1"/>
      <c r="B534" s="2"/>
      <c r="C534" s="2"/>
      <c r="D534" s="2"/>
      <c r="E534" s="2"/>
      <c r="F534" s="1"/>
      <c r="G534" s="1"/>
      <c r="H534" s="1"/>
      <c r="I534" s="1"/>
      <c r="J534" s="1"/>
      <c r="K534" s="1"/>
      <c r="L534" s="1"/>
      <c r="M534" s="1"/>
    </row>
    <row r="535" spans="1:13" ht="15.75" customHeight="1" x14ac:dyDescent="0.25">
      <c r="A535" s="1"/>
      <c r="B535" s="2"/>
      <c r="C535" s="2"/>
      <c r="D535" s="2"/>
      <c r="E535" s="2"/>
      <c r="F535" s="1"/>
      <c r="G535" s="1"/>
      <c r="H535" s="1"/>
      <c r="I535" s="1"/>
      <c r="J535" s="1"/>
      <c r="K535" s="1"/>
      <c r="L535" s="1"/>
      <c r="M535" s="1"/>
    </row>
    <row r="536" spans="1:13" ht="15.75" customHeight="1" x14ac:dyDescent="0.25">
      <c r="A536" s="1"/>
      <c r="B536" s="2"/>
      <c r="C536" s="2"/>
      <c r="D536" s="2"/>
      <c r="E536" s="2"/>
      <c r="F536" s="1"/>
      <c r="G536" s="1"/>
      <c r="H536" s="1"/>
      <c r="I536" s="1"/>
      <c r="J536" s="1"/>
      <c r="K536" s="1"/>
      <c r="L536" s="1"/>
      <c r="M536" s="1"/>
    </row>
    <row r="537" spans="1:13" ht="15.75" customHeight="1" x14ac:dyDescent="0.25">
      <c r="A537" s="1"/>
      <c r="B537" s="2"/>
      <c r="C537" s="2"/>
      <c r="D537" s="2"/>
      <c r="E537" s="2"/>
      <c r="F537" s="1"/>
      <c r="G537" s="1"/>
      <c r="H537" s="1"/>
      <c r="I537" s="1"/>
      <c r="J537" s="1"/>
      <c r="K537" s="1"/>
      <c r="L537" s="1"/>
      <c r="M537" s="1"/>
    </row>
    <row r="538" spans="1:13" ht="15.75" customHeight="1" x14ac:dyDescent="0.25">
      <c r="A538" s="1"/>
      <c r="B538" s="2"/>
      <c r="C538" s="2"/>
      <c r="D538" s="2"/>
      <c r="E538" s="2"/>
      <c r="F538" s="1"/>
      <c r="G538" s="1"/>
      <c r="H538" s="1"/>
      <c r="I538" s="1"/>
      <c r="J538" s="1"/>
      <c r="K538" s="1"/>
      <c r="L538" s="1"/>
      <c r="M538" s="1"/>
    </row>
    <row r="539" spans="1:13" ht="15.75" customHeight="1" x14ac:dyDescent="0.25">
      <c r="A539" s="1"/>
      <c r="B539" s="2"/>
      <c r="C539" s="2"/>
      <c r="D539" s="2"/>
      <c r="E539" s="2"/>
      <c r="F539" s="1"/>
      <c r="G539" s="1"/>
      <c r="H539" s="1"/>
      <c r="I539" s="1"/>
      <c r="J539" s="1"/>
      <c r="K539" s="1"/>
      <c r="L539" s="1"/>
      <c r="M539" s="1"/>
    </row>
    <row r="540" spans="1:13" ht="15.75" customHeight="1" x14ac:dyDescent="0.25">
      <c r="A540" s="1"/>
      <c r="B540" s="2"/>
      <c r="C540" s="2"/>
      <c r="D540" s="2"/>
      <c r="E540" s="2"/>
      <c r="F540" s="1"/>
      <c r="G540" s="1"/>
      <c r="H540" s="1"/>
      <c r="I540" s="1"/>
      <c r="J540" s="1"/>
      <c r="K540" s="1"/>
      <c r="L540" s="1"/>
      <c r="M540" s="1"/>
    </row>
    <row r="541" spans="1:13" ht="15.75" customHeight="1" x14ac:dyDescent="0.25">
      <c r="A541" s="1"/>
      <c r="B541" s="2"/>
      <c r="C541" s="2"/>
      <c r="D541" s="2"/>
      <c r="E541" s="2"/>
      <c r="F541" s="1"/>
      <c r="G541" s="1"/>
      <c r="H541" s="1"/>
      <c r="I541" s="1"/>
      <c r="J541" s="1"/>
      <c r="K541" s="1"/>
      <c r="L541" s="1"/>
      <c r="M541" s="1"/>
    </row>
    <row r="542" spans="1:13" ht="15.75" customHeight="1" x14ac:dyDescent="0.25">
      <c r="A542" s="1"/>
      <c r="B542" s="2"/>
      <c r="C542" s="2"/>
      <c r="D542" s="2"/>
      <c r="E542" s="2"/>
      <c r="F542" s="1"/>
      <c r="G542" s="1"/>
      <c r="H542" s="1"/>
      <c r="I542" s="1"/>
      <c r="J542" s="1"/>
      <c r="K542" s="1"/>
      <c r="L542" s="1"/>
      <c r="M542" s="1"/>
    </row>
    <row r="543" spans="1:13" ht="15.75" customHeight="1" x14ac:dyDescent="0.25">
      <c r="A543" s="1"/>
      <c r="B543" s="2"/>
      <c r="C543" s="2"/>
      <c r="D543" s="2"/>
      <c r="E543" s="2"/>
      <c r="F543" s="1"/>
      <c r="G543" s="1"/>
      <c r="H543" s="1"/>
      <c r="I543" s="1"/>
      <c r="J543" s="1"/>
      <c r="K543" s="1"/>
      <c r="L543" s="1"/>
      <c r="M543" s="1"/>
    </row>
    <row r="544" spans="1:13" ht="15.75" customHeight="1" x14ac:dyDescent="0.25">
      <c r="A544" s="1"/>
      <c r="B544" s="2"/>
      <c r="C544" s="2"/>
      <c r="D544" s="2"/>
      <c r="E544" s="2"/>
      <c r="F544" s="1"/>
      <c r="G544" s="1"/>
      <c r="H544" s="1"/>
      <c r="I544" s="1"/>
      <c r="J544" s="1"/>
      <c r="K544" s="1"/>
      <c r="L544" s="1"/>
      <c r="M544" s="1"/>
    </row>
    <row r="545" spans="1:13" ht="15.75" customHeight="1" x14ac:dyDescent="0.25">
      <c r="A545" s="1"/>
      <c r="B545" s="2"/>
      <c r="C545" s="2"/>
      <c r="D545" s="2"/>
      <c r="E545" s="2"/>
      <c r="F545" s="1"/>
      <c r="G545" s="1"/>
      <c r="H545" s="1"/>
      <c r="I545" s="1"/>
      <c r="J545" s="1"/>
      <c r="K545" s="1"/>
      <c r="L545" s="1"/>
      <c r="M545" s="1"/>
    </row>
    <row r="546" spans="1:13" ht="15.75" customHeight="1" x14ac:dyDescent="0.25">
      <c r="A546" s="1"/>
      <c r="B546" s="2"/>
      <c r="C546" s="2"/>
      <c r="D546" s="2"/>
      <c r="E546" s="2"/>
      <c r="F546" s="1"/>
      <c r="G546" s="1"/>
      <c r="H546" s="1"/>
      <c r="I546" s="1"/>
      <c r="J546" s="1"/>
      <c r="K546" s="1"/>
      <c r="L546" s="1"/>
      <c r="M546" s="1"/>
    </row>
    <row r="547" spans="1:13" ht="15.75" customHeight="1" x14ac:dyDescent="0.25">
      <c r="A547" s="1"/>
      <c r="B547" s="2"/>
      <c r="C547" s="2"/>
      <c r="D547" s="2"/>
      <c r="E547" s="2"/>
      <c r="F547" s="1"/>
      <c r="G547" s="1"/>
      <c r="H547" s="1"/>
      <c r="I547" s="1"/>
      <c r="J547" s="1"/>
      <c r="K547" s="1"/>
      <c r="L547" s="1"/>
      <c r="M547" s="1"/>
    </row>
    <row r="548" spans="1:13" ht="15.75" customHeight="1" x14ac:dyDescent="0.25">
      <c r="A548" s="1"/>
      <c r="B548" s="2"/>
      <c r="C548" s="2"/>
      <c r="D548" s="2"/>
      <c r="E548" s="2"/>
      <c r="F548" s="1"/>
      <c r="G548" s="1"/>
      <c r="H548" s="1"/>
      <c r="I548" s="1"/>
      <c r="J548" s="1"/>
      <c r="K548" s="1"/>
      <c r="L548" s="1"/>
      <c r="M548" s="1"/>
    </row>
    <row r="549" spans="1:13" ht="15.75" customHeight="1" x14ac:dyDescent="0.25">
      <c r="A549" s="1"/>
      <c r="B549" s="2"/>
      <c r="C549" s="2"/>
      <c r="D549" s="2"/>
      <c r="E549" s="2"/>
      <c r="F549" s="1"/>
      <c r="G549" s="1"/>
      <c r="H549" s="1"/>
      <c r="I549" s="1"/>
      <c r="J549" s="1"/>
      <c r="K549" s="1"/>
      <c r="L549" s="1"/>
      <c r="M549" s="1"/>
    </row>
    <row r="550" spans="1:13" ht="15.75" customHeight="1" x14ac:dyDescent="0.25">
      <c r="A550" s="1"/>
      <c r="B550" s="2"/>
      <c r="C550" s="2"/>
      <c r="D550" s="2"/>
      <c r="E550" s="2"/>
      <c r="F550" s="1"/>
      <c r="G550" s="1"/>
      <c r="H550" s="1"/>
      <c r="I550" s="1"/>
      <c r="J550" s="1"/>
      <c r="K550" s="1"/>
      <c r="L550" s="1"/>
      <c r="M550" s="1"/>
    </row>
    <row r="551" spans="1:13" ht="15.75" customHeight="1" x14ac:dyDescent="0.25">
      <c r="A551" s="1"/>
      <c r="B551" s="2"/>
      <c r="C551" s="2"/>
      <c r="D551" s="2"/>
      <c r="E551" s="2"/>
      <c r="F551" s="1"/>
      <c r="G551" s="1"/>
      <c r="H551" s="1"/>
      <c r="I551" s="1"/>
      <c r="J551" s="1"/>
      <c r="K551" s="1"/>
      <c r="L551" s="1"/>
      <c r="M551" s="1"/>
    </row>
    <row r="552" spans="1:13" ht="15.75" customHeight="1" x14ac:dyDescent="0.25">
      <c r="A552" s="1"/>
      <c r="B552" s="2"/>
      <c r="C552" s="2"/>
      <c r="D552" s="2"/>
      <c r="E552" s="2"/>
      <c r="F552" s="1"/>
      <c r="G552" s="1"/>
      <c r="H552" s="1"/>
      <c r="I552" s="1"/>
      <c r="J552" s="1"/>
      <c r="K552" s="1"/>
      <c r="L552" s="1"/>
      <c r="M552" s="1"/>
    </row>
    <row r="553" spans="1:13" ht="15.75" customHeight="1" x14ac:dyDescent="0.25">
      <c r="A553" s="1"/>
      <c r="B553" s="2"/>
      <c r="C553" s="2"/>
      <c r="D553" s="2"/>
      <c r="E553" s="2"/>
      <c r="F553" s="1"/>
      <c r="G553" s="1"/>
      <c r="H553" s="1"/>
      <c r="I553" s="1"/>
      <c r="J553" s="1"/>
      <c r="K553" s="1"/>
      <c r="L553" s="1"/>
      <c r="M553" s="1"/>
    </row>
    <row r="554" spans="1:13" ht="15.75" customHeight="1" x14ac:dyDescent="0.25">
      <c r="A554" s="1"/>
      <c r="B554" s="2"/>
      <c r="C554" s="2"/>
      <c r="D554" s="2"/>
      <c r="E554" s="2"/>
      <c r="F554" s="1"/>
      <c r="G554" s="1"/>
      <c r="H554" s="1"/>
      <c r="I554" s="1"/>
      <c r="J554" s="1"/>
      <c r="K554" s="1"/>
      <c r="L554" s="1"/>
      <c r="M554" s="1"/>
    </row>
    <row r="555" spans="1:13" ht="15.75" customHeight="1" x14ac:dyDescent="0.25">
      <c r="A555" s="1"/>
      <c r="B555" s="2"/>
      <c r="C555" s="2"/>
      <c r="D555" s="2"/>
      <c r="E555" s="2"/>
      <c r="F555" s="1"/>
      <c r="G555" s="1"/>
      <c r="H555" s="1"/>
      <c r="I555" s="1"/>
      <c r="J555" s="1"/>
      <c r="K555" s="1"/>
      <c r="L555" s="1"/>
      <c r="M555" s="1"/>
    </row>
    <row r="556" spans="1:13" ht="15.75" customHeight="1" x14ac:dyDescent="0.25">
      <c r="A556" s="1"/>
      <c r="B556" s="2"/>
      <c r="C556" s="2"/>
      <c r="D556" s="2"/>
      <c r="E556" s="2"/>
      <c r="F556" s="1"/>
      <c r="G556" s="1"/>
      <c r="H556" s="1"/>
      <c r="I556" s="1"/>
      <c r="J556" s="1"/>
      <c r="K556" s="1"/>
      <c r="L556" s="1"/>
      <c r="M556" s="1"/>
    </row>
    <row r="557" spans="1:13" ht="15.75" customHeight="1" x14ac:dyDescent="0.25">
      <c r="A557" s="1"/>
      <c r="B557" s="2"/>
      <c r="C557" s="2"/>
      <c r="D557" s="2"/>
      <c r="E557" s="2"/>
      <c r="F557" s="1"/>
      <c r="G557" s="1"/>
      <c r="H557" s="1"/>
      <c r="I557" s="1"/>
      <c r="J557" s="1"/>
      <c r="K557" s="1"/>
      <c r="L557" s="1"/>
      <c r="M557" s="1"/>
    </row>
    <row r="558" spans="1:13" ht="15.75" customHeight="1" x14ac:dyDescent="0.25">
      <c r="A558" s="1"/>
      <c r="B558" s="2"/>
      <c r="C558" s="2"/>
      <c r="D558" s="2"/>
      <c r="E558" s="2"/>
      <c r="F558" s="1"/>
      <c r="G558" s="1"/>
      <c r="H558" s="1"/>
      <c r="I558" s="1"/>
      <c r="J558" s="1"/>
      <c r="K558" s="1"/>
      <c r="L558" s="1"/>
      <c r="M558" s="1"/>
    </row>
    <row r="559" spans="1:13" ht="15.75" customHeight="1" x14ac:dyDescent="0.25">
      <c r="A559" s="1"/>
      <c r="B559" s="2"/>
      <c r="C559" s="2"/>
      <c r="D559" s="2"/>
      <c r="E559" s="2"/>
      <c r="F559" s="1"/>
      <c r="G559" s="1"/>
      <c r="H559" s="1"/>
      <c r="I559" s="1"/>
      <c r="J559" s="1"/>
      <c r="K559" s="1"/>
      <c r="L559" s="1"/>
      <c r="M559" s="1"/>
    </row>
    <row r="560" spans="1:13" ht="15.75" customHeight="1" x14ac:dyDescent="0.25">
      <c r="A560" s="1"/>
      <c r="B560" s="2"/>
      <c r="C560" s="2"/>
      <c r="D560" s="2"/>
      <c r="E560" s="2"/>
      <c r="F560" s="1"/>
      <c r="G560" s="1"/>
      <c r="H560" s="1"/>
      <c r="I560" s="1"/>
      <c r="J560" s="1"/>
      <c r="K560" s="1"/>
      <c r="L560" s="1"/>
      <c r="M560" s="1"/>
    </row>
    <row r="561" spans="1:13" ht="15.75" customHeight="1" x14ac:dyDescent="0.25">
      <c r="A561" s="1"/>
      <c r="B561" s="2"/>
      <c r="C561" s="2"/>
      <c r="D561" s="2"/>
      <c r="E561" s="2"/>
      <c r="F561" s="1"/>
      <c r="G561" s="1"/>
      <c r="H561" s="1"/>
      <c r="I561" s="1"/>
      <c r="J561" s="1"/>
      <c r="K561" s="1"/>
      <c r="L561" s="1"/>
      <c r="M561" s="1"/>
    </row>
    <row r="562" spans="1:13" ht="15.75" customHeight="1" x14ac:dyDescent="0.25">
      <c r="A562" s="1"/>
      <c r="B562" s="2"/>
      <c r="C562" s="2"/>
      <c r="D562" s="2"/>
      <c r="E562" s="2"/>
      <c r="F562" s="1"/>
      <c r="G562" s="1"/>
      <c r="H562" s="1"/>
      <c r="I562" s="1"/>
      <c r="J562" s="1"/>
      <c r="K562" s="1"/>
      <c r="L562" s="1"/>
      <c r="M562" s="1"/>
    </row>
    <row r="563" spans="1:13" ht="15.75" customHeight="1" x14ac:dyDescent="0.25">
      <c r="A563" s="1"/>
      <c r="B563" s="2"/>
      <c r="C563" s="2"/>
      <c r="D563" s="2"/>
      <c r="E563" s="2"/>
      <c r="F563" s="1"/>
      <c r="G563" s="1"/>
      <c r="H563" s="1"/>
      <c r="I563" s="1"/>
      <c r="J563" s="1"/>
      <c r="K563" s="1"/>
      <c r="L563" s="1"/>
      <c r="M563" s="1"/>
    </row>
    <row r="564" spans="1:13" ht="15.75" customHeight="1" x14ac:dyDescent="0.25">
      <c r="A564" s="1"/>
      <c r="B564" s="2"/>
      <c r="C564" s="2"/>
      <c r="D564" s="2"/>
      <c r="E564" s="2"/>
      <c r="F564" s="1"/>
      <c r="G564" s="1"/>
      <c r="H564" s="1"/>
      <c r="I564" s="1"/>
      <c r="J564" s="1"/>
      <c r="K564" s="1"/>
      <c r="L564" s="1"/>
      <c r="M564" s="1"/>
    </row>
    <row r="565" spans="1:13" ht="15.75" customHeight="1" x14ac:dyDescent="0.25">
      <c r="A565" s="1"/>
      <c r="B565" s="2"/>
      <c r="C565" s="2"/>
      <c r="D565" s="2"/>
      <c r="E565" s="2"/>
      <c r="F565" s="1"/>
      <c r="G565" s="1"/>
      <c r="H565" s="1"/>
      <c r="I565" s="1"/>
      <c r="J565" s="1"/>
      <c r="K565" s="1"/>
      <c r="L565" s="1"/>
      <c r="M565" s="1"/>
    </row>
    <row r="566" spans="1:13" ht="15.75" customHeight="1" x14ac:dyDescent="0.25">
      <c r="A566" s="1"/>
      <c r="B566" s="2"/>
      <c r="C566" s="2"/>
      <c r="D566" s="2"/>
      <c r="E566" s="2"/>
      <c r="F566" s="1"/>
      <c r="G566" s="1"/>
      <c r="H566" s="1"/>
      <c r="I566" s="1"/>
      <c r="J566" s="1"/>
      <c r="K566" s="1"/>
      <c r="L566" s="1"/>
      <c r="M566" s="1"/>
    </row>
    <row r="567" spans="1:13" ht="15.75" customHeight="1" x14ac:dyDescent="0.25">
      <c r="A567" s="1"/>
      <c r="B567" s="2"/>
      <c r="C567" s="2"/>
      <c r="D567" s="2"/>
      <c r="E567" s="2"/>
      <c r="F567" s="1"/>
      <c r="G567" s="1"/>
      <c r="H567" s="1"/>
      <c r="I567" s="1"/>
      <c r="J567" s="1"/>
      <c r="K567" s="1"/>
      <c r="L567" s="1"/>
      <c r="M567" s="1"/>
    </row>
    <row r="568" spans="1:13" ht="15.75" customHeight="1" x14ac:dyDescent="0.25">
      <c r="A568" s="1"/>
      <c r="B568" s="2"/>
      <c r="C568" s="2"/>
      <c r="D568" s="2"/>
      <c r="E568" s="2"/>
      <c r="F568" s="1"/>
      <c r="G568" s="1"/>
      <c r="H568" s="1"/>
      <c r="I568" s="1"/>
      <c r="J568" s="1"/>
      <c r="K568" s="1"/>
      <c r="L568" s="1"/>
      <c r="M568" s="1"/>
    </row>
    <row r="569" spans="1:13" ht="15.75" customHeight="1" x14ac:dyDescent="0.25">
      <c r="A569" s="1"/>
      <c r="B569" s="2"/>
      <c r="C569" s="2"/>
      <c r="D569" s="2"/>
      <c r="E569" s="2"/>
      <c r="F569" s="1"/>
      <c r="G569" s="1"/>
      <c r="H569" s="1"/>
      <c r="I569" s="1"/>
      <c r="J569" s="1"/>
      <c r="K569" s="1"/>
      <c r="L569" s="1"/>
      <c r="M569" s="1"/>
    </row>
    <row r="570" spans="1:13" ht="15.75" customHeight="1" x14ac:dyDescent="0.25">
      <c r="A570" s="1"/>
      <c r="B570" s="2"/>
      <c r="C570" s="2"/>
      <c r="D570" s="2"/>
      <c r="E570" s="2"/>
      <c r="F570" s="1"/>
      <c r="G570" s="1"/>
      <c r="H570" s="1"/>
      <c r="I570" s="1"/>
      <c r="J570" s="1"/>
      <c r="K570" s="1"/>
      <c r="L570" s="1"/>
      <c r="M570" s="1"/>
    </row>
    <row r="571" spans="1:13" ht="15.75" customHeight="1" x14ac:dyDescent="0.25">
      <c r="A571" s="1"/>
      <c r="B571" s="2"/>
      <c r="C571" s="2"/>
      <c r="D571" s="2"/>
      <c r="E571" s="2"/>
      <c r="F571" s="1"/>
      <c r="G571" s="1"/>
      <c r="H571" s="1"/>
      <c r="I571" s="1"/>
      <c r="J571" s="1"/>
      <c r="K571" s="1"/>
      <c r="L571" s="1"/>
      <c r="M571" s="1"/>
    </row>
    <row r="572" spans="1:13" ht="15.75" customHeight="1" x14ac:dyDescent="0.25">
      <c r="A572" s="1"/>
      <c r="B572" s="2"/>
      <c r="C572" s="2"/>
      <c r="D572" s="2"/>
      <c r="E572" s="2"/>
      <c r="F572" s="1"/>
      <c r="G572" s="1"/>
      <c r="H572" s="1"/>
      <c r="I572" s="1"/>
      <c r="J572" s="1"/>
      <c r="K572" s="1"/>
      <c r="L572" s="1"/>
      <c r="M572" s="1"/>
    </row>
    <row r="573" spans="1:13" ht="15.75" customHeight="1" x14ac:dyDescent="0.25">
      <c r="A573" s="1"/>
      <c r="B573" s="2"/>
      <c r="C573" s="2"/>
      <c r="D573" s="2"/>
      <c r="E573" s="2"/>
      <c r="F573" s="1"/>
      <c r="G573" s="1"/>
      <c r="H573" s="1"/>
      <c r="I573" s="1"/>
      <c r="J573" s="1"/>
      <c r="K573" s="1"/>
      <c r="L573" s="1"/>
      <c r="M573" s="1"/>
    </row>
    <row r="574" spans="1:13" ht="15.75" customHeight="1" x14ac:dyDescent="0.25">
      <c r="A574" s="1"/>
      <c r="B574" s="2"/>
      <c r="C574" s="2"/>
      <c r="D574" s="2"/>
      <c r="E574" s="2"/>
      <c r="F574" s="1"/>
      <c r="G574" s="1"/>
      <c r="H574" s="1"/>
      <c r="I574" s="1"/>
      <c r="J574" s="1"/>
      <c r="K574" s="1"/>
      <c r="L574" s="1"/>
      <c r="M574" s="1"/>
    </row>
    <row r="575" spans="1:13" ht="15.75" customHeight="1" x14ac:dyDescent="0.25">
      <c r="A575" s="1"/>
      <c r="B575" s="2"/>
      <c r="C575" s="2"/>
      <c r="D575" s="2"/>
      <c r="E575" s="2"/>
      <c r="F575" s="1"/>
      <c r="G575" s="1"/>
      <c r="H575" s="1"/>
      <c r="I575" s="1"/>
      <c r="J575" s="1"/>
      <c r="K575" s="1"/>
      <c r="L575" s="1"/>
      <c r="M575" s="1"/>
    </row>
    <row r="576" spans="1:13" ht="15.75" customHeight="1" x14ac:dyDescent="0.25">
      <c r="A576" s="1"/>
      <c r="B576" s="2"/>
      <c r="C576" s="2"/>
      <c r="D576" s="2"/>
      <c r="E576" s="2"/>
      <c r="F576" s="1"/>
      <c r="G576" s="1"/>
      <c r="H576" s="1"/>
      <c r="I576" s="1"/>
      <c r="J576" s="1"/>
      <c r="K576" s="1"/>
      <c r="L576" s="1"/>
      <c r="M576" s="1"/>
    </row>
    <row r="577" spans="1:13" ht="15.75" customHeight="1" x14ac:dyDescent="0.25">
      <c r="A577" s="1"/>
      <c r="B577" s="2"/>
      <c r="C577" s="2"/>
      <c r="D577" s="2"/>
      <c r="E577" s="2"/>
      <c r="F577" s="1"/>
      <c r="G577" s="1"/>
      <c r="H577" s="1"/>
      <c r="I577" s="1"/>
      <c r="J577" s="1"/>
      <c r="K577" s="1"/>
      <c r="L577" s="1"/>
      <c r="M577" s="1"/>
    </row>
    <row r="578" spans="1:13" ht="15.75" customHeight="1" x14ac:dyDescent="0.25">
      <c r="A578" s="1"/>
      <c r="B578" s="2"/>
      <c r="C578" s="2"/>
      <c r="D578" s="2"/>
      <c r="E578" s="2"/>
      <c r="F578" s="1"/>
      <c r="G578" s="1"/>
      <c r="H578" s="1"/>
      <c r="I578" s="1"/>
      <c r="J578" s="1"/>
      <c r="K578" s="1"/>
      <c r="L578" s="1"/>
      <c r="M578" s="1"/>
    </row>
    <row r="579" spans="1:13" ht="15.75" customHeight="1" x14ac:dyDescent="0.25">
      <c r="A579" s="1"/>
      <c r="B579" s="2"/>
      <c r="C579" s="2"/>
      <c r="D579" s="2"/>
      <c r="E579" s="2"/>
      <c r="F579" s="1"/>
      <c r="G579" s="1"/>
      <c r="H579" s="1"/>
      <c r="I579" s="1"/>
      <c r="J579" s="1"/>
      <c r="K579" s="1"/>
      <c r="L579" s="1"/>
      <c r="M579" s="1"/>
    </row>
    <row r="580" spans="1:13" ht="15.75" customHeight="1" x14ac:dyDescent="0.25">
      <c r="A580" s="1"/>
      <c r="B580" s="2"/>
      <c r="C580" s="2"/>
      <c r="D580" s="2"/>
      <c r="E580" s="2"/>
      <c r="F580" s="1"/>
      <c r="G580" s="1"/>
      <c r="H580" s="1"/>
      <c r="I580" s="1"/>
      <c r="J580" s="1"/>
      <c r="K580" s="1"/>
      <c r="L580" s="1"/>
      <c r="M580" s="1"/>
    </row>
    <row r="581" spans="1:13" ht="15.75" customHeight="1" x14ac:dyDescent="0.25">
      <c r="A581" s="1"/>
      <c r="B581" s="2"/>
      <c r="C581" s="2"/>
      <c r="D581" s="2"/>
      <c r="E581" s="2"/>
      <c r="F581" s="1"/>
      <c r="G581" s="1"/>
      <c r="H581" s="1"/>
      <c r="I581" s="1"/>
      <c r="J581" s="1"/>
      <c r="K581" s="1"/>
      <c r="L581" s="1"/>
      <c r="M581" s="1"/>
    </row>
    <row r="582" spans="1:13" ht="15.75" customHeight="1" x14ac:dyDescent="0.25">
      <c r="A582" s="1"/>
      <c r="B582" s="2"/>
      <c r="C582" s="2"/>
      <c r="D582" s="2"/>
      <c r="E582" s="2"/>
      <c r="F582" s="1"/>
      <c r="G582" s="1"/>
      <c r="H582" s="1"/>
      <c r="I582" s="1"/>
      <c r="J582" s="1"/>
      <c r="K582" s="1"/>
      <c r="L582" s="1"/>
      <c r="M582" s="1"/>
    </row>
    <row r="583" spans="1:13" ht="15.75" customHeight="1" x14ac:dyDescent="0.25">
      <c r="A583" s="1"/>
      <c r="B583" s="2"/>
      <c r="C583" s="2"/>
      <c r="D583" s="2"/>
      <c r="E583" s="2"/>
      <c r="F583" s="1"/>
      <c r="G583" s="1"/>
      <c r="H583" s="1"/>
      <c r="I583" s="1"/>
      <c r="J583" s="1"/>
      <c r="K583" s="1"/>
      <c r="L583" s="1"/>
      <c r="M583" s="1"/>
    </row>
    <row r="584" spans="1:13" ht="15.75" customHeight="1" x14ac:dyDescent="0.25">
      <c r="A584" s="1"/>
      <c r="B584" s="2"/>
      <c r="C584" s="2"/>
      <c r="D584" s="2"/>
      <c r="E584" s="2"/>
      <c r="F584" s="1"/>
      <c r="G584" s="1"/>
      <c r="H584" s="1"/>
      <c r="I584" s="1"/>
      <c r="J584" s="1"/>
      <c r="K584" s="1"/>
      <c r="L584" s="1"/>
      <c r="M584" s="1"/>
    </row>
    <row r="585" spans="1:13" ht="15.75" customHeight="1" x14ac:dyDescent="0.25">
      <c r="A585" s="1"/>
      <c r="B585" s="2"/>
      <c r="C585" s="2"/>
      <c r="D585" s="2"/>
      <c r="E585" s="2"/>
      <c r="F585" s="1"/>
      <c r="G585" s="1"/>
      <c r="H585" s="1"/>
      <c r="I585" s="1"/>
      <c r="J585" s="1"/>
      <c r="K585" s="1"/>
      <c r="L585" s="1"/>
      <c r="M585" s="1"/>
    </row>
    <row r="586" spans="1:13" ht="15.75" customHeight="1" x14ac:dyDescent="0.25">
      <c r="A586" s="1"/>
      <c r="B586" s="2"/>
      <c r="C586" s="2"/>
      <c r="D586" s="2"/>
      <c r="E586" s="2"/>
      <c r="F586" s="1"/>
      <c r="G586" s="1"/>
      <c r="H586" s="1"/>
      <c r="I586" s="1"/>
      <c r="J586" s="1"/>
      <c r="K586" s="1"/>
      <c r="L586" s="1"/>
      <c r="M586" s="1"/>
    </row>
    <row r="587" spans="1:13" ht="15.75" customHeight="1" x14ac:dyDescent="0.25">
      <c r="A587" s="1"/>
      <c r="B587" s="2"/>
      <c r="C587" s="2"/>
      <c r="D587" s="2"/>
      <c r="E587" s="2"/>
      <c r="F587" s="1"/>
      <c r="G587" s="1"/>
      <c r="H587" s="1"/>
      <c r="I587" s="1"/>
      <c r="J587" s="1"/>
      <c r="K587" s="1"/>
      <c r="L587" s="1"/>
      <c r="M587" s="1"/>
    </row>
    <row r="588" spans="1:13" ht="15.75" customHeight="1" x14ac:dyDescent="0.25">
      <c r="A588" s="1"/>
      <c r="B588" s="2"/>
      <c r="C588" s="2"/>
      <c r="D588" s="2"/>
      <c r="E588" s="2"/>
      <c r="F588" s="1"/>
      <c r="G588" s="1"/>
      <c r="H588" s="1"/>
      <c r="I588" s="1"/>
      <c r="J588" s="1"/>
      <c r="K588" s="1"/>
      <c r="L588" s="1"/>
      <c r="M588" s="1"/>
    </row>
    <row r="589" spans="1:13" ht="15.75" customHeight="1" x14ac:dyDescent="0.25">
      <c r="A589" s="1"/>
      <c r="B589" s="2"/>
      <c r="C589" s="2"/>
      <c r="D589" s="2"/>
      <c r="E589" s="2"/>
      <c r="F589" s="1"/>
      <c r="G589" s="1"/>
      <c r="H589" s="1"/>
      <c r="I589" s="1"/>
      <c r="J589" s="1"/>
      <c r="K589" s="1"/>
      <c r="L589" s="1"/>
      <c r="M589" s="1"/>
    </row>
    <row r="590" spans="1:13" ht="15.75" customHeight="1" x14ac:dyDescent="0.25">
      <c r="A590" s="1"/>
      <c r="B590" s="2"/>
      <c r="C590" s="2"/>
      <c r="D590" s="2"/>
      <c r="E590" s="2"/>
      <c r="F590" s="1"/>
      <c r="G590" s="1"/>
      <c r="H590" s="1"/>
      <c r="I590" s="1"/>
      <c r="J590" s="1"/>
      <c r="K590" s="1"/>
      <c r="L590" s="1"/>
      <c r="M590" s="1"/>
    </row>
    <row r="591" spans="1:13" ht="15.75" customHeight="1" x14ac:dyDescent="0.25">
      <c r="A591" s="1"/>
      <c r="B591" s="2"/>
      <c r="C591" s="2"/>
      <c r="D591" s="2"/>
      <c r="E591" s="2"/>
      <c r="F591" s="1"/>
      <c r="G591" s="1"/>
      <c r="H591" s="1"/>
      <c r="I591" s="1"/>
      <c r="J591" s="1"/>
      <c r="K591" s="1"/>
      <c r="L591" s="1"/>
      <c r="M591" s="1"/>
    </row>
    <row r="592" spans="1:13" ht="15.75" customHeight="1" x14ac:dyDescent="0.25">
      <c r="A592" s="1"/>
      <c r="B592" s="2"/>
      <c r="C592" s="2"/>
      <c r="D592" s="2"/>
      <c r="E592" s="2"/>
      <c r="F592" s="1"/>
      <c r="G592" s="1"/>
      <c r="H592" s="1"/>
      <c r="I592" s="1"/>
      <c r="J592" s="1"/>
      <c r="K592" s="1"/>
      <c r="L592" s="1"/>
      <c r="M592" s="1"/>
    </row>
    <row r="593" spans="1:13" ht="15.75" customHeight="1" x14ac:dyDescent="0.25">
      <c r="A593" s="1"/>
      <c r="B593" s="2"/>
      <c r="C593" s="2"/>
      <c r="D593" s="2"/>
      <c r="E593" s="2"/>
      <c r="F593" s="1"/>
      <c r="G593" s="1"/>
      <c r="H593" s="1"/>
      <c r="I593" s="1"/>
      <c r="J593" s="1"/>
      <c r="K593" s="1"/>
      <c r="L593" s="1"/>
      <c r="M593" s="1"/>
    </row>
    <row r="594" spans="1:13" ht="15.75" customHeight="1" x14ac:dyDescent="0.25">
      <c r="A594" s="1"/>
      <c r="B594" s="2"/>
      <c r="C594" s="2"/>
      <c r="D594" s="2"/>
      <c r="E594" s="2"/>
      <c r="F594" s="1"/>
      <c r="G594" s="1"/>
      <c r="H594" s="1"/>
      <c r="I594" s="1"/>
      <c r="J594" s="1"/>
      <c r="K594" s="1"/>
      <c r="L594" s="1"/>
      <c r="M594" s="1"/>
    </row>
    <row r="595" spans="1:13" ht="15.75" customHeight="1" x14ac:dyDescent="0.25">
      <c r="A595" s="1"/>
      <c r="B595" s="2"/>
      <c r="C595" s="2"/>
      <c r="D595" s="2"/>
      <c r="E595" s="2"/>
      <c r="F595" s="1"/>
      <c r="G595" s="1"/>
      <c r="H595" s="1"/>
      <c r="I595" s="1"/>
      <c r="J595" s="1"/>
      <c r="K595" s="1"/>
      <c r="L595" s="1"/>
      <c r="M595" s="1"/>
    </row>
    <row r="596" spans="1:13" ht="15.75" customHeight="1" x14ac:dyDescent="0.25">
      <c r="A596" s="1"/>
      <c r="B596" s="2"/>
      <c r="C596" s="2"/>
      <c r="D596" s="2"/>
      <c r="E596" s="2"/>
      <c r="F596" s="1"/>
      <c r="G596" s="1"/>
      <c r="H596" s="1"/>
      <c r="I596" s="1"/>
      <c r="J596" s="1"/>
      <c r="K596" s="1"/>
      <c r="L596" s="1"/>
      <c r="M596" s="1"/>
    </row>
    <row r="597" spans="1:13" ht="15.75" customHeight="1" x14ac:dyDescent="0.25">
      <c r="A597" s="1"/>
      <c r="B597" s="2"/>
      <c r="C597" s="2"/>
      <c r="D597" s="2"/>
      <c r="E597" s="2"/>
      <c r="F597" s="1"/>
      <c r="G597" s="1"/>
      <c r="H597" s="1"/>
      <c r="I597" s="1"/>
      <c r="J597" s="1"/>
      <c r="K597" s="1"/>
      <c r="L597" s="1"/>
      <c r="M597" s="1"/>
    </row>
    <row r="598" spans="1:13" ht="15.75" customHeight="1" x14ac:dyDescent="0.25">
      <c r="A598" s="1"/>
      <c r="B598" s="2"/>
      <c r="C598" s="2"/>
      <c r="D598" s="2"/>
      <c r="E598" s="2"/>
      <c r="F598" s="1"/>
      <c r="G598" s="1"/>
      <c r="H598" s="1"/>
      <c r="I598" s="1"/>
      <c r="J598" s="1"/>
      <c r="K598" s="1"/>
      <c r="L598" s="1"/>
      <c r="M598" s="1"/>
    </row>
    <row r="599" spans="1:13" ht="15.75" customHeight="1" x14ac:dyDescent="0.25">
      <c r="A599" s="1"/>
      <c r="B599" s="2"/>
      <c r="C599" s="2"/>
      <c r="D599" s="2"/>
      <c r="E599" s="2"/>
      <c r="F599" s="1"/>
      <c r="G599" s="1"/>
      <c r="H599" s="1"/>
      <c r="I599" s="1"/>
      <c r="J599" s="1"/>
      <c r="K599" s="1"/>
      <c r="L599" s="1"/>
      <c r="M599" s="1"/>
    </row>
    <row r="600" spans="1:13" ht="15.75" customHeight="1" x14ac:dyDescent="0.25">
      <c r="A600" s="1"/>
      <c r="B600" s="2"/>
      <c r="C600" s="2"/>
      <c r="D600" s="2"/>
      <c r="E600" s="2"/>
      <c r="F600" s="1"/>
      <c r="G600" s="1"/>
      <c r="H600" s="1"/>
      <c r="I600" s="1"/>
      <c r="J600" s="1"/>
      <c r="K600" s="1"/>
      <c r="L600" s="1"/>
      <c r="M600" s="1"/>
    </row>
    <row r="601" spans="1:13" ht="15.75" customHeight="1" x14ac:dyDescent="0.25">
      <c r="A601" s="1"/>
      <c r="B601" s="2"/>
      <c r="C601" s="2"/>
      <c r="D601" s="2"/>
      <c r="E601" s="2"/>
      <c r="F601" s="1"/>
      <c r="G601" s="1"/>
      <c r="H601" s="1"/>
      <c r="I601" s="1"/>
      <c r="J601" s="1"/>
      <c r="K601" s="1"/>
      <c r="L601" s="1"/>
      <c r="M601" s="1"/>
    </row>
    <row r="602" spans="1:13" ht="15.75" customHeight="1" x14ac:dyDescent="0.25">
      <c r="A602" s="1"/>
      <c r="B602" s="2"/>
      <c r="C602" s="2"/>
      <c r="D602" s="2"/>
      <c r="E602" s="2"/>
      <c r="F602" s="1"/>
      <c r="G602" s="1"/>
      <c r="H602" s="1"/>
      <c r="I602" s="1"/>
      <c r="J602" s="1"/>
      <c r="K602" s="1"/>
      <c r="L602" s="1"/>
      <c r="M602" s="1"/>
    </row>
    <row r="603" spans="1:13" ht="15.75" customHeight="1" x14ac:dyDescent="0.25">
      <c r="A603" s="1"/>
      <c r="B603" s="2"/>
      <c r="C603" s="2"/>
      <c r="D603" s="2"/>
      <c r="E603" s="2"/>
      <c r="F603" s="1"/>
      <c r="G603" s="1"/>
      <c r="H603" s="1"/>
      <c r="I603" s="1"/>
      <c r="J603" s="1"/>
      <c r="K603" s="1"/>
      <c r="L603" s="1"/>
      <c r="M603" s="1"/>
    </row>
    <row r="604" spans="1:13" ht="15.75" customHeight="1" x14ac:dyDescent="0.25">
      <c r="A604" s="1"/>
      <c r="B604" s="2"/>
      <c r="C604" s="2"/>
      <c r="D604" s="2"/>
      <c r="E604" s="2"/>
      <c r="F604" s="1"/>
      <c r="G604" s="1"/>
      <c r="H604" s="1"/>
      <c r="I604" s="1"/>
      <c r="J604" s="1"/>
      <c r="K604" s="1"/>
      <c r="L604" s="1"/>
      <c r="M604" s="1"/>
    </row>
    <row r="605" spans="1:13" ht="15.75" customHeight="1" x14ac:dyDescent="0.25">
      <c r="A605" s="1"/>
      <c r="B605" s="2"/>
      <c r="C605" s="2"/>
      <c r="D605" s="2"/>
      <c r="E605" s="2"/>
      <c r="F605" s="1"/>
      <c r="G605" s="1"/>
      <c r="H605" s="1"/>
      <c r="I605" s="1"/>
      <c r="J605" s="1"/>
      <c r="K605" s="1"/>
      <c r="L605" s="1"/>
      <c r="M605" s="1"/>
    </row>
    <row r="606" spans="1:13" ht="15.75" customHeight="1" x14ac:dyDescent="0.25">
      <c r="A606" s="1"/>
      <c r="B606" s="2"/>
      <c r="C606" s="2"/>
      <c r="D606" s="2"/>
      <c r="E606" s="2"/>
      <c r="F606" s="1"/>
      <c r="G606" s="1"/>
      <c r="H606" s="1"/>
      <c r="I606" s="1"/>
      <c r="J606" s="1"/>
      <c r="K606" s="1"/>
      <c r="L606" s="1"/>
      <c r="M606" s="1"/>
    </row>
    <row r="607" spans="1:13" ht="15.75" customHeight="1" x14ac:dyDescent="0.25">
      <c r="A607" s="1"/>
      <c r="B607" s="2"/>
      <c r="C607" s="2"/>
      <c r="D607" s="2"/>
      <c r="E607" s="2"/>
      <c r="F607" s="1"/>
      <c r="G607" s="1"/>
      <c r="H607" s="1"/>
      <c r="I607" s="1"/>
      <c r="J607" s="1"/>
      <c r="K607" s="1"/>
      <c r="L607" s="1"/>
      <c r="M607" s="1"/>
    </row>
    <row r="608" spans="1:13" ht="15.75" customHeight="1" x14ac:dyDescent="0.25">
      <c r="A608" s="1"/>
      <c r="B608" s="2"/>
      <c r="C608" s="2"/>
      <c r="D608" s="2"/>
      <c r="E608" s="2"/>
      <c r="F608" s="1"/>
      <c r="G608" s="1"/>
      <c r="H608" s="1"/>
      <c r="I608" s="1"/>
      <c r="J608" s="1"/>
      <c r="K608" s="1"/>
      <c r="L608" s="1"/>
      <c r="M608" s="1"/>
    </row>
    <row r="609" spans="1:13" ht="15.75" customHeight="1" x14ac:dyDescent="0.25">
      <c r="A609" s="1"/>
      <c r="B609" s="2"/>
      <c r="C609" s="2"/>
      <c r="D609" s="2"/>
      <c r="E609" s="2"/>
      <c r="F609" s="1"/>
      <c r="G609" s="1"/>
      <c r="H609" s="1"/>
      <c r="I609" s="1"/>
      <c r="J609" s="1"/>
      <c r="K609" s="1"/>
      <c r="L609" s="1"/>
      <c r="M609" s="1"/>
    </row>
    <row r="610" spans="1:13" ht="15.75" customHeight="1" x14ac:dyDescent="0.25">
      <c r="A610" s="1"/>
      <c r="B610" s="2"/>
      <c r="C610" s="2"/>
      <c r="D610" s="2"/>
      <c r="E610" s="2"/>
      <c r="F610" s="1"/>
      <c r="G610" s="1"/>
      <c r="H610" s="1"/>
      <c r="I610" s="1"/>
      <c r="J610" s="1"/>
      <c r="K610" s="1"/>
      <c r="L610" s="1"/>
      <c r="M610" s="1"/>
    </row>
    <row r="611" spans="1:13" ht="15.75" customHeight="1" x14ac:dyDescent="0.25">
      <c r="A611" s="1"/>
      <c r="B611" s="2"/>
      <c r="C611" s="2"/>
      <c r="D611" s="2"/>
      <c r="E611" s="2"/>
      <c r="F611" s="1"/>
      <c r="G611" s="1"/>
      <c r="H611" s="1"/>
      <c r="I611" s="1"/>
      <c r="J611" s="1"/>
      <c r="K611" s="1"/>
      <c r="L611" s="1"/>
      <c r="M611" s="1"/>
    </row>
    <row r="612" spans="1:13" ht="15.75" customHeight="1" x14ac:dyDescent="0.25">
      <c r="A612" s="1"/>
      <c r="B612" s="2"/>
      <c r="C612" s="2"/>
      <c r="D612" s="2"/>
      <c r="E612" s="2"/>
      <c r="F612" s="1"/>
      <c r="G612" s="1"/>
      <c r="H612" s="1"/>
      <c r="I612" s="1"/>
      <c r="J612" s="1"/>
      <c r="K612" s="1"/>
      <c r="L612" s="1"/>
      <c r="M612" s="1"/>
    </row>
    <row r="613" spans="1:13" ht="15.75" customHeight="1" x14ac:dyDescent="0.25">
      <c r="A613" s="1"/>
      <c r="B613" s="2"/>
      <c r="C613" s="2"/>
      <c r="D613" s="2"/>
      <c r="E613" s="2"/>
      <c r="F613" s="1"/>
      <c r="G613" s="1"/>
      <c r="H613" s="1"/>
      <c r="I613" s="1"/>
      <c r="J613" s="1"/>
      <c r="K613" s="1"/>
      <c r="L613" s="1"/>
      <c r="M613" s="1"/>
    </row>
    <row r="614" spans="1:13" ht="15.75" customHeight="1" x14ac:dyDescent="0.25">
      <c r="A614" s="1"/>
      <c r="B614" s="2"/>
      <c r="C614" s="2"/>
      <c r="D614" s="2"/>
      <c r="E614" s="2"/>
      <c r="F614" s="1"/>
      <c r="G614" s="1"/>
      <c r="H614" s="1"/>
      <c r="I614" s="1"/>
      <c r="J614" s="1"/>
      <c r="K614" s="1"/>
      <c r="L614" s="1"/>
      <c r="M614" s="1"/>
    </row>
    <row r="615" spans="1:13" ht="15.75" customHeight="1" x14ac:dyDescent="0.25">
      <c r="A615" s="1"/>
      <c r="B615" s="2"/>
      <c r="C615" s="2"/>
      <c r="D615" s="2"/>
      <c r="E615" s="2"/>
      <c r="F615" s="1"/>
      <c r="G615" s="1"/>
      <c r="H615" s="1"/>
      <c r="I615" s="1"/>
      <c r="J615" s="1"/>
      <c r="K615" s="1"/>
      <c r="L615" s="1"/>
      <c r="M615" s="1"/>
    </row>
    <row r="616" spans="1:13" ht="15.75" customHeight="1" x14ac:dyDescent="0.25">
      <c r="A616" s="1"/>
      <c r="B616" s="2"/>
      <c r="C616" s="2"/>
      <c r="D616" s="2"/>
      <c r="E616" s="2"/>
      <c r="F616" s="1"/>
      <c r="G616" s="1"/>
      <c r="H616" s="1"/>
      <c r="I616" s="1"/>
      <c r="J616" s="1"/>
      <c r="K616" s="1"/>
      <c r="L616" s="1"/>
      <c r="M616" s="1"/>
    </row>
    <row r="617" spans="1:13" ht="15.75" customHeight="1" x14ac:dyDescent="0.25">
      <c r="A617" s="1"/>
      <c r="B617" s="2"/>
      <c r="C617" s="2"/>
      <c r="D617" s="2"/>
      <c r="E617" s="2"/>
      <c r="F617" s="1"/>
      <c r="G617" s="1"/>
      <c r="H617" s="1"/>
      <c r="I617" s="1"/>
      <c r="J617" s="1"/>
      <c r="K617" s="1"/>
      <c r="L617" s="1"/>
      <c r="M617" s="1"/>
    </row>
    <row r="618" spans="1:13" ht="15.75" customHeight="1" x14ac:dyDescent="0.25">
      <c r="A618" s="1"/>
      <c r="B618" s="2"/>
      <c r="C618" s="2"/>
      <c r="D618" s="2"/>
      <c r="E618" s="2"/>
      <c r="F618" s="1"/>
      <c r="G618" s="1"/>
      <c r="H618" s="1"/>
      <c r="I618" s="1"/>
      <c r="J618" s="1"/>
      <c r="K618" s="1"/>
      <c r="L618" s="1"/>
      <c r="M618" s="1"/>
    </row>
    <row r="619" spans="1:13" ht="15.75" customHeight="1" x14ac:dyDescent="0.25">
      <c r="A619" s="1"/>
      <c r="B619" s="2"/>
      <c r="C619" s="2"/>
      <c r="D619" s="2"/>
      <c r="E619" s="2"/>
      <c r="F619" s="1"/>
      <c r="G619" s="1"/>
      <c r="H619" s="1"/>
      <c r="I619" s="1"/>
      <c r="J619" s="1"/>
      <c r="K619" s="1"/>
      <c r="L619" s="1"/>
      <c r="M619" s="1"/>
    </row>
    <row r="620" spans="1:13" ht="15.75" customHeight="1" x14ac:dyDescent="0.25">
      <c r="A620" s="1"/>
      <c r="B620" s="2"/>
      <c r="C620" s="2"/>
      <c r="D620" s="2"/>
      <c r="E620" s="2"/>
      <c r="F620" s="1"/>
      <c r="G620" s="1"/>
      <c r="H620" s="1"/>
      <c r="I620" s="1"/>
      <c r="J620" s="1"/>
      <c r="K620" s="1"/>
      <c r="L620" s="1"/>
      <c r="M620" s="1"/>
    </row>
    <row r="621" spans="1:13" ht="15.75" customHeight="1" x14ac:dyDescent="0.25">
      <c r="A621" s="1"/>
      <c r="B621" s="2"/>
      <c r="C621" s="2"/>
      <c r="D621" s="2"/>
      <c r="E621" s="2"/>
      <c r="F621" s="1"/>
      <c r="G621" s="1"/>
      <c r="H621" s="1"/>
      <c r="I621" s="1"/>
      <c r="J621" s="1"/>
      <c r="K621" s="1"/>
      <c r="L621" s="1"/>
      <c r="M621" s="1"/>
    </row>
    <row r="622" spans="1:13" ht="15.75" customHeight="1" x14ac:dyDescent="0.25">
      <c r="A622" s="1"/>
      <c r="B622" s="2"/>
      <c r="C622" s="2"/>
      <c r="D622" s="2"/>
      <c r="E622" s="2"/>
      <c r="F622" s="1"/>
      <c r="G622" s="1"/>
      <c r="H622" s="1"/>
      <c r="I622" s="1"/>
      <c r="J622" s="1"/>
      <c r="K622" s="1"/>
      <c r="L622" s="1"/>
      <c r="M622" s="1"/>
    </row>
    <row r="623" spans="1:13" ht="15.75" customHeight="1" x14ac:dyDescent="0.25">
      <c r="A623" s="1"/>
      <c r="B623" s="2"/>
      <c r="C623" s="2"/>
      <c r="D623" s="2"/>
      <c r="E623" s="2"/>
      <c r="F623" s="1"/>
      <c r="G623" s="1"/>
      <c r="H623" s="1"/>
      <c r="I623" s="1"/>
      <c r="J623" s="1"/>
      <c r="K623" s="1"/>
      <c r="L623" s="1"/>
      <c r="M623" s="1"/>
    </row>
    <row r="624" spans="1:13" ht="15.75" customHeight="1" x14ac:dyDescent="0.25">
      <c r="A624" s="1"/>
      <c r="B624" s="2"/>
      <c r="C624" s="2"/>
      <c r="D624" s="2"/>
      <c r="E624" s="2"/>
      <c r="F624" s="1"/>
      <c r="G624" s="1"/>
      <c r="H624" s="1"/>
      <c r="I624" s="1"/>
      <c r="J624" s="1"/>
      <c r="K624" s="1"/>
      <c r="L624" s="1"/>
      <c r="M624" s="1"/>
    </row>
    <row r="625" spans="1:13" ht="15.75" customHeight="1" x14ac:dyDescent="0.25">
      <c r="A625" s="1"/>
      <c r="B625" s="2"/>
      <c r="C625" s="2"/>
      <c r="D625" s="2"/>
      <c r="E625" s="2"/>
      <c r="F625" s="1"/>
      <c r="G625" s="1"/>
      <c r="H625" s="1"/>
      <c r="I625" s="1"/>
      <c r="J625" s="1"/>
      <c r="K625" s="1"/>
      <c r="L625" s="1"/>
      <c r="M625" s="1"/>
    </row>
    <row r="626" spans="1:13" ht="15.75" customHeight="1" x14ac:dyDescent="0.25">
      <c r="A626" s="1"/>
      <c r="B626" s="2"/>
      <c r="C626" s="2"/>
      <c r="D626" s="2"/>
      <c r="E626" s="2"/>
      <c r="F626" s="1"/>
      <c r="G626" s="1"/>
      <c r="H626" s="1"/>
      <c r="I626" s="1"/>
      <c r="J626" s="1"/>
      <c r="K626" s="1"/>
      <c r="L626" s="1"/>
      <c r="M626" s="1"/>
    </row>
    <row r="627" spans="1:13" ht="15.75" customHeight="1" x14ac:dyDescent="0.25">
      <c r="A627" s="1"/>
      <c r="B627" s="2"/>
      <c r="C627" s="2"/>
      <c r="D627" s="2"/>
      <c r="E627" s="2"/>
      <c r="F627" s="1"/>
      <c r="G627" s="1"/>
      <c r="H627" s="1"/>
      <c r="I627" s="1"/>
      <c r="J627" s="1"/>
      <c r="K627" s="1"/>
      <c r="L627" s="1"/>
      <c r="M627" s="1"/>
    </row>
    <row r="628" spans="1:13" ht="15.75" customHeight="1" x14ac:dyDescent="0.25">
      <c r="A628" s="1"/>
      <c r="B628" s="2"/>
      <c r="C628" s="2"/>
      <c r="D628" s="2"/>
      <c r="E628" s="2"/>
      <c r="F628" s="1"/>
      <c r="G628" s="1"/>
      <c r="H628" s="1"/>
      <c r="I628" s="1"/>
      <c r="J628" s="1"/>
      <c r="K628" s="1"/>
      <c r="L628" s="1"/>
      <c r="M628" s="1"/>
    </row>
    <row r="629" spans="1:13" ht="15.75" customHeight="1" x14ac:dyDescent="0.25">
      <c r="A629" s="1"/>
      <c r="B629" s="2"/>
      <c r="C629" s="2"/>
      <c r="D629" s="2"/>
      <c r="E629" s="2"/>
      <c r="F629" s="1"/>
      <c r="G629" s="1"/>
      <c r="H629" s="1"/>
      <c r="I629" s="1"/>
      <c r="J629" s="1"/>
      <c r="K629" s="1"/>
      <c r="L629" s="1"/>
      <c r="M629" s="1"/>
    </row>
    <row r="630" spans="1:13" ht="15.75" customHeight="1" x14ac:dyDescent="0.25">
      <c r="A630" s="1"/>
      <c r="B630" s="2"/>
      <c r="C630" s="2"/>
      <c r="D630" s="2"/>
      <c r="E630" s="2"/>
      <c r="F630" s="1"/>
      <c r="G630" s="1"/>
      <c r="H630" s="1"/>
      <c r="I630" s="1"/>
      <c r="J630" s="1"/>
      <c r="K630" s="1"/>
      <c r="L630" s="1"/>
      <c r="M630" s="1"/>
    </row>
    <row r="631" spans="1:13" ht="15.75" customHeight="1" x14ac:dyDescent="0.25">
      <c r="A631" s="1"/>
      <c r="B631" s="2"/>
      <c r="C631" s="2"/>
      <c r="D631" s="2"/>
      <c r="E631" s="2"/>
      <c r="F631" s="1"/>
      <c r="G631" s="1"/>
      <c r="H631" s="1"/>
      <c r="I631" s="1"/>
      <c r="J631" s="1"/>
      <c r="K631" s="1"/>
      <c r="L631" s="1"/>
      <c r="M631" s="1"/>
    </row>
    <row r="632" spans="1:13" ht="15.75" customHeight="1" x14ac:dyDescent="0.25">
      <c r="A632" s="1"/>
      <c r="B632" s="2"/>
      <c r="C632" s="2"/>
      <c r="D632" s="2"/>
      <c r="E632" s="2"/>
      <c r="F632" s="1"/>
      <c r="G632" s="1"/>
      <c r="H632" s="1"/>
      <c r="I632" s="1"/>
      <c r="J632" s="1"/>
      <c r="K632" s="1"/>
      <c r="L632" s="1"/>
      <c r="M632" s="1"/>
    </row>
    <row r="633" spans="1:13" ht="15.75" customHeight="1" x14ac:dyDescent="0.25">
      <c r="A633" s="1"/>
      <c r="B633" s="2"/>
      <c r="C633" s="2"/>
      <c r="D633" s="2"/>
      <c r="E633" s="2"/>
      <c r="F633" s="1"/>
      <c r="G633" s="1"/>
      <c r="H633" s="1"/>
      <c r="I633" s="1"/>
      <c r="J633" s="1"/>
      <c r="K633" s="1"/>
      <c r="L633" s="1"/>
      <c r="M633" s="1"/>
    </row>
    <row r="634" spans="1:13" ht="15.75" customHeight="1" x14ac:dyDescent="0.25">
      <c r="A634" s="1"/>
      <c r="B634" s="2"/>
      <c r="C634" s="2"/>
      <c r="D634" s="2"/>
      <c r="E634" s="2"/>
      <c r="F634" s="1"/>
      <c r="G634" s="1"/>
      <c r="H634" s="1"/>
      <c r="I634" s="1"/>
      <c r="J634" s="1"/>
      <c r="K634" s="1"/>
      <c r="L634" s="1"/>
      <c r="M634" s="1"/>
    </row>
    <row r="635" spans="1:13" ht="15.75" customHeight="1" x14ac:dyDescent="0.25">
      <c r="A635" s="1"/>
      <c r="B635" s="2"/>
      <c r="C635" s="2"/>
      <c r="D635" s="2"/>
      <c r="E635" s="2"/>
      <c r="F635" s="1"/>
      <c r="G635" s="1"/>
      <c r="H635" s="1"/>
      <c r="I635" s="1"/>
      <c r="J635" s="1"/>
      <c r="K635" s="1"/>
      <c r="L635" s="1"/>
      <c r="M635" s="1"/>
    </row>
    <row r="636" spans="1:13" ht="15.75" customHeight="1" x14ac:dyDescent="0.25">
      <c r="A636" s="1"/>
      <c r="B636" s="2"/>
      <c r="C636" s="2"/>
      <c r="D636" s="2"/>
      <c r="E636" s="2"/>
      <c r="F636" s="1"/>
      <c r="G636" s="1"/>
      <c r="H636" s="1"/>
      <c r="I636" s="1"/>
      <c r="J636" s="1"/>
      <c r="K636" s="1"/>
      <c r="L636" s="1"/>
      <c r="M636" s="1"/>
    </row>
    <row r="637" spans="1:13" ht="15.75" customHeight="1" x14ac:dyDescent="0.25">
      <c r="A637" s="1"/>
      <c r="B637" s="2"/>
      <c r="C637" s="2"/>
      <c r="D637" s="2"/>
      <c r="E637" s="2"/>
      <c r="F637" s="1"/>
      <c r="G637" s="1"/>
      <c r="H637" s="1"/>
      <c r="I637" s="1"/>
      <c r="J637" s="1"/>
      <c r="K637" s="1"/>
      <c r="L637" s="1"/>
      <c r="M637" s="1"/>
    </row>
    <row r="638" spans="1:13" ht="15.75" customHeight="1" x14ac:dyDescent="0.25">
      <c r="A638" s="1"/>
      <c r="B638" s="2"/>
      <c r="C638" s="2"/>
      <c r="D638" s="2"/>
      <c r="E638" s="2"/>
      <c r="F638" s="1"/>
      <c r="G638" s="1"/>
      <c r="H638" s="1"/>
      <c r="I638" s="1"/>
      <c r="J638" s="1"/>
      <c r="K638" s="1"/>
      <c r="L638" s="1"/>
      <c r="M638" s="1"/>
    </row>
    <row r="639" spans="1:13" ht="15.75" customHeight="1" x14ac:dyDescent="0.25">
      <c r="A639" s="1"/>
      <c r="B639" s="2"/>
      <c r="C639" s="2"/>
      <c r="D639" s="2"/>
      <c r="E639" s="2"/>
      <c r="F639" s="1"/>
      <c r="G639" s="1"/>
      <c r="H639" s="1"/>
      <c r="I639" s="1"/>
      <c r="J639" s="1"/>
      <c r="K639" s="1"/>
      <c r="L639" s="1"/>
      <c r="M639" s="1"/>
    </row>
    <row r="640" spans="1:13" ht="15.75" customHeight="1" x14ac:dyDescent="0.25">
      <c r="A640" s="1"/>
      <c r="B640" s="2"/>
      <c r="C640" s="2"/>
      <c r="D640" s="2"/>
      <c r="E640" s="2"/>
      <c r="F640" s="1"/>
      <c r="G640" s="1"/>
      <c r="H640" s="1"/>
      <c r="I640" s="1"/>
      <c r="J640" s="1"/>
      <c r="K640" s="1"/>
      <c r="L640" s="1"/>
      <c r="M640" s="1"/>
    </row>
    <row r="641" spans="1:13" ht="15.75" customHeight="1" x14ac:dyDescent="0.25">
      <c r="A641" s="1"/>
      <c r="B641" s="2"/>
      <c r="C641" s="2"/>
      <c r="D641" s="2"/>
      <c r="E641" s="2"/>
      <c r="F641" s="1"/>
      <c r="G641" s="1"/>
      <c r="H641" s="1"/>
      <c r="I641" s="1"/>
      <c r="J641" s="1"/>
      <c r="K641" s="1"/>
      <c r="L641" s="1"/>
      <c r="M641" s="1"/>
    </row>
    <row r="642" spans="1:13" ht="15.75" customHeight="1" x14ac:dyDescent="0.25">
      <c r="A642" s="1"/>
      <c r="B642" s="2"/>
      <c r="C642" s="2"/>
      <c r="D642" s="2"/>
      <c r="E642" s="2"/>
      <c r="F642" s="1"/>
      <c r="G642" s="1"/>
      <c r="H642" s="1"/>
      <c r="I642" s="1"/>
      <c r="J642" s="1"/>
      <c r="K642" s="1"/>
      <c r="L642" s="1"/>
      <c r="M642" s="1"/>
    </row>
    <row r="643" spans="1:13" ht="15.75" customHeight="1" x14ac:dyDescent="0.25">
      <c r="A643" s="1"/>
      <c r="B643" s="2"/>
      <c r="C643" s="2"/>
      <c r="D643" s="2"/>
      <c r="E643" s="2"/>
      <c r="F643" s="1"/>
      <c r="G643" s="1"/>
      <c r="H643" s="1"/>
      <c r="I643" s="1"/>
      <c r="J643" s="1"/>
      <c r="K643" s="1"/>
      <c r="L643" s="1"/>
      <c r="M643" s="1"/>
    </row>
    <row r="644" spans="1:13" ht="15.75" customHeight="1" x14ac:dyDescent="0.25">
      <c r="A644" s="1"/>
      <c r="B644" s="2"/>
      <c r="C644" s="2"/>
      <c r="D644" s="2"/>
      <c r="E644" s="2"/>
      <c r="F644" s="1"/>
      <c r="G644" s="1"/>
      <c r="H644" s="1"/>
      <c r="I644" s="1"/>
      <c r="J644" s="1"/>
      <c r="K644" s="1"/>
      <c r="L644" s="1"/>
      <c r="M644" s="1"/>
    </row>
    <row r="645" spans="1:13" ht="15.75" customHeight="1" x14ac:dyDescent="0.25">
      <c r="A645" s="1"/>
      <c r="B645" s="2"/>
      <c r="C645" s="2"/>
      <c r="D645" s="2"/>
      <c r="E645" s="2"/>
      <c r="F645" s="1"/>
      <c r="G645" s="1"/>
      <c r="H645" s="1"/>
      <c r="I645" s="1"/>
      <c r="J645" s="1"/>
      <c r="K645" s="1"/>
      <c r="L645" s="1"/>
      <c r="M645" s="1"/>
    </row>
    <row r="646" spans="1:13" ht="15.75" customHeight="1" x14ac:dyDescent="0.25">
      <c r="A646" s="1"/>
      <c r="B646" s="2"/>
      <c r="C646" s="2"/>
      <c r="D646" s="2"/>
      <c r="E646" s="2"/>
      <c r="F646" s="1"/>
      <c r="G646" s="1"/>
      <c r="H646" s="1"/>
      <c r="I646" s="1"/>
      <c r="J646" s="1"/>
      <c r="K646" s="1"/>
      <c r="L646" s="1"/>
      <c r="M646" s="1"/>
    </row>
    <row r="647" spans="1:13" ht="15.75" customHeight="1" x14ac:dyDescent="0.25">
      <c r="A647" s="1"/>
      <c r="B647" s="2"/>
      <c r="C647" s="2"/>
      <c r="D647" s="2"/>
      <c r="E647" s="2"/>
      <c r="F647" s="1"/>
      <c r="G647" s="1"/>
      <c r="H647" s="1"/>
      <c r="I647" s="1"/>
      <c r="J647" s="1"/>
      <c r="K647" s="1"/>
      <c r="L647" s="1"/>
      <c r="M647" s="1"/>
    </row>
    <row r="648" spans="1:13" ht="15.75" customHeight="1" x14ac:dyDescent="0.25">
      <c r="A648" s="1"/>
      <c r="B648" s="2"/>
      <c r="C648" s="2"/>
      <c r="D648" s="2"/>
      <c r="E648" s="2"/>
      <c r="F648" s="1"/>
      <c r="G648" s="1"/>
      <c r="H648" s="1"/>
      <c r="I648" s="1"/>
      <c r="J648" s="1"/>
      <c r="K648" s="1"/>
      <c r="L648" s="1"/>
      <c r="M648" s="1"/>
    </row>
    <row r="649" spans="1:13" ht="15.75" customHeight="1" x14ac:dyDescent="0.25">
      <c r="A649" s="1"/>
      <c r="B649" s="2"/>
      <c r="C649" s="2"/>
      <c r="D649" s="2"/>
      <c r="E649" s="2"/>
      <c r="F649" s="1"/>
      <c r="G649" s="1"/>
      <c r="H649" s="1"/>
      <c r="I649" s="1"/>
      <c r="J649" s="1"/>
      <c r="K649" s="1"/>
      <c r="L649" s="1"/>
      <c r="M649" s="1"/>
    </row>
    <row r="650" spans="1:13" ht="15.75" customHeight="1" x14ac:dyDescent="0.25">
      <c r="A650" s="1"/>
      <c r="B650" s="2"/>
      <c r="C650" s="2"/>
      <c r="D650" s="2"/>
      <c r="E650" s="2"/>
      <c r="F650" s="1"/>
      <c r="G650" s="1"/>
      <c r="H650" s="1"/>
      <c r="I650" s="1"/>
      <c r="J650" s="1"/>
      <c r="K650" s="1"/>
      <c r="L650" s="1"/>
      <c r="M650" s="1"/>
    </row>
    <row r="651" spans="1:13" ht="15.75" customHeight="1" x14ac:dyDescent="0.25">
      <c r="A651" s="1"/>
      <c r="B651" s="2"/>
      <c r="C651" s="2"/>
      <c r="D651" s="2"/>
      <c r="E651" s="2"/>
      <c r="F651" s="1"/>
      <c r="G651" s="1"/>
      <c r="H651" s="1"/>
      <c r="I651" s="1"/>
      <c r="J651" s="1"/>
      <c r="K651" s="1"/>
      <c r="L651" s="1"/>
      <c r="M651" s="1"/>
    </row>
    <row r="652" spans="1:13" ht="15.75" customHeight="1" x14ac:dyDescent="0.25">
      <c r="A652" s="1"/>
      <c r="B652" s="2"/>
      <c r="C652" s="2"/>
      <c r="D652" s="2"/>
      <c r="E652" s="2"/>
      <c r="F652" s="1"/>
      <c r="G652" s="1"/>
      <c r="H652" s="1"/>
      <c r="I652" s="1"/>
      <c r="J652" s="1"/>
      <c r="K652" s="1"/>
      <c r="L652" s="1"/>
      <c r="M652" s="1"/>
    </row>
    <row r="653" spans="1:13" ht="15.75" customHeight="1" x14ac:dyDescent="0.25">
      <c r="A653" s="1"/>
      <c r="B653" s="2"/>
      <c r="C653" s="2"/>
      <c r="D653" s="2"/>
      <c r="E653" s="2"/>
      <c r="F653" s="1"/>
      <c r="G653" s="1"/>
      <c r="H653" s="1"/>
      <c r="I653" s="1"/>
      <c r="J653" s="1"/>
      <c r="K653" s="1"/>
      <c r="L653" s="1"/>
      <c r="M653" s="1"/>
    </row>
    <row r="654" spans="1:13" ht="15.75" customHeight="1" x14ac:dyDescent="0.25">
      <c r="A654" s="1"/>
      <c r="B654" s="2"/>
      <c r="C654" s="2"/>
      <c r="D654" s="2"/>
      <c r="E654" s="2"/>
      <c r="F654" s="1"/>
      <c r="G654" s="1"/>
      <c r="H654" s="1"/>
      <c r="I654" s="1"/>
      <c r="J654" s="1"/>
      <c r="K654" s="1"/>
      <c r="L654" s="1"/>
      <c r="M654" s="1"/>
    </row>
    <row r="655" spans="1:13" ht="15.75" customHeight="1" x14ac:dyDescent="0.25">
      <c r="A655" s="1"/>
      <c r="B655" s="2"/>
      <c r="C655" s="2"/>
      <c r="D655" s="2"/>
      <c r="E655" s="2"/>
      <c r="F655" s="1"/>
      <c r="G655" s="1"/>
      <c r="H655" s="1"/>
      <c r="I655" s="1"/>
      <c r="J655" s="1"/>
      <c r="K655" s="1"/>
      <c r="L655" s="1"/>
      <c r="M655" s="1"/>
    </row>
    <row r="656" spans="1:13" ht="15.75" customHeight="1" x14ac:dyDescent="0.25">
      <c r="A656" s="1"/>
      <c r="B656" s="2"/>
      <c r="C656" s="2"/>
      <c r="D656" s="2"/>
      <c r="E656" s="2"/>
      <c r="F656" s="1"/>
      <c r="G656" s="1"/>
      <c r="H656" s="1"/>
      <c r="I656" s="1"/>
      <c r="J656" s="1"/>
      <c r="K656" s="1"/>
      <c r="L656" s="1"/>
      <c r="M656" s="1"/>
    </row>
    <row r="657" spans="1:13" ht="15.75" customHeight="1" x14ac:dyDescent="0.25">
      <c r="A657" s="1"/>
      <c r="B657" s="2"/>
      <c r="C657" s="2"/>
      <c r="D657" s="2"/>
      <c r="E657" s="2"/>
      <c r="F657" s="1"/>
      <c r="G657" s="1"/>
      <c r="H657" s="1"/>
      <c r="I657" s="1"/>
      <c r="J657" s="1"/>
      <c r="K657" s="1"/>
      <c r="L657" s="1"/>
      <c r="M657" s="1"/>
    </row>
    <row r="658" spans="1:13" ht="15.75" customHeight="1" x14ac:dyDescent="0.25">
      <c r="A658" s="1"/>
      <c r="B658" s="2"/>
      <c r="C658" s="2"/>
      <c r="D658" s="2"/>
      <c r="E658" s="2"/>
      <c r="F658" s="1"/>
      <c r="G658" s="1"/>
      <c r="H658" s="1"/>
      <c r="I658" s="1"/>
      <c r="J658" s="1"/>
      <c r="K658" s="1"/>
      <c r="L658" s="1"/>
      <c r="M658" s="1"/>
    </row>
    <row r="659" spans="1:13" ht="15.75" customHeight="1" x14ac:dyDescent="0.25">
      <c r="A659" s="1"/>
      <c r="B659" s="2"/>
      <c r="C659" s="2"/>
      <c r="D659" s="2"/>
      <c r="E659" s="2"/>
      <c r="F659" s="1"/>
      <c r="G659" s="1"/>
      <c r="H659" s="1"/>
      <c r="I659" s="1"/>
      <c r="J659" s="1"/>
      <c r="K659" s="1"/>
      <c r="L659" s="1"/>
      <c r="M659" s="1"/>
    </row>
    <row r="660" spans="1:13" ht="15.75" customHeight="1" x14ac:dyDescent="0.25">
      <c r="A660" s="1"/>
      <c r="B660" s="2"/>
      <c r="C660" s="2"/>
      <c r="D660" s="2"/>
      <c r="E660" s="2"/>
      <c r="F660" s="1"/>
      <c r="G660" s="1"/>
      <c r="H660" s="1"/>
      <c r="I660" s="1"/>
      <c r="J660" s="1"/>
      <c r="K660" s="1"/>
      <c r="L660" s="1"/>
      <c r="M660" s="1"/>
    </row>
    <row r="661" spans="1:13" ht="15.75" customHeight="1" x14ac:dyDescent="0.25">
      <c r="A661" s="1"/>
      <c r="B661" s="2"/>
      <c r="C661" s="2"/>
      <c r="D661" s="2"/>
      <c r="E661" s="2"/>
      <c r="F661" s="1"/>
      <c r="G661" s="1"/>
      <c r="H661" s="1"/>
      <c r="I661" s="1"/>
      <c r="J661" s="1"/>
      <c r="K661" s="1"/>
      <c r="L661" s="1"/>
      <c r="M661" s="1"/>
    </row>
    <row r="662" spans="1:13" ht="15.75" customHeight="1" x14ac:dyDescent="0.25">
      <c r="A662" s="1"/>
      <c r="B662" s="2"/>
      <c r="C662" s="2"/>
      <c r="D662" s="2"/>
      <c r="E662" s="2"/>
      <c r="F662" s="1"/>
      <c r="G662" s="1"/>
      <c r="H662" s="1"/>
      <c r="I662" s="1"/>
      <c r="J662" s="1"/>
      <c r="K662" s="1"/>
      <c r="L662" s="1"/>
      <c r="M662" s="1"/>
    </row>
    <row r="663" spans="1:13" ht="15.75" customHeight="1" x14ac:dyDescent="0.25">
      <c r="A663" s="1"/>
      <c r="B663" s="2"/>
      <c r="C663" s="2"/>
      <c r="D663" s="2"/>
      <c r="E663" s="2"/>
      <c r="F663" s="1"/>
      <c r="G663" s="1"/>
      <c r="H663" s="1"/>
      <c r="I663" s="1"/>
      <c r="J663" s="1"/>
      <c r="K663" s="1"/>
      <c r="L663" s="1"/>
      <c r="M663" s="1"/>
    </row>
    <row r="664" spans="1:13" ht="15.75" customHeight="1" x14ac:dyDescent="0.25">
      <c r="A664" s="1"/>
      <c r="B664" s="2"/>
      <c r="C664" s="2"/>
      <c r="D664" s="2"/>
      <c r="E664" s="2"/>
      <c r="F664" s="1"/>
      <c r="G664" s="1"/>
      <c r="H664" s="1"/>
      <c r="I664" s="1"/>
      <c r="J664" s="1"/>
      <c r="K664" s="1"/>
      <c r="L664" s="1"/>
      <c r="M664" s="1"/>
    </row>
    <row r="665" spans="1:13" ht="15.75" customHeight="1" x14ac:dyDescent="0.25">
      <c r="A665" s="1"/>
      <c r="B665" s="2"/>
      <c r="C665" s="2"/>
      <c r="D665" s="2"/>
      <c r="E665" s="2"/>
      <c r="F665" s="1"/>
      <c r="G665" s="1"/>
      <c r="H665" s="1"/>
      <c r="I665" s="1"/>
      <c r="J665" s="1"/>
      <c r="K665" s="1"/>
      <c r="L665" s="1"/>
      <c r="M665" s="1"/>
    </row>
    <row r="666" spans="1:13" ht="15.75" customHeight="1" x14ac:dyDescent="0.25">
      <c r="A666" s="1"/>
      <c r="B666" s="2"/>
      <c r="C666" s="2"/>
      <c r="D666" s="2"/>
      <c r="E666" s="2"/>
      <c r="F666" s="1"/>
      <c r="G666" s="1"/>
      <c r="H666" s="1"/>
      <c r="I666" s="1"/>
      <c r="J666" s="1"/>
      <c r="K666" s="1"/>
      <c r="L666" s="1"/>
      <c r="M666" s="1"/>
    </row>
    <row r="667" spans="1:13" ht="15.75" customHeight="1" x14ac:dyDescent="0.25">
      <c r="A667" s="1"/>
      <c r="B667" s="2"/>
      <c r="C667" s="2"/>
      <c r="D667" s="2"/>
      <c r="E667" s="2"/>
      <c r="F667" s="1"/>
      <c r="G667" s="1"/>
      <c r="H667" s="1"/>
      <c r="I667" s="1"/>
      <c r="J667" s="1"/>
      <c r="K667" s="1"/>
      <c r="L667" s="1"/>
      <c r="M667" s="1"/>
    </row>
    <row r="668" spans="1:13" ht="15.75" customHeight="1" x14ac:dyDescent="0.25">
      <c r="A668" s="1"/>
      <c r="B668" s="2"/>
      <c r="C668" s="2"/>
      <c r="D668" s="2"/>
      <c r="E668" s="2"/>
      <c r="F668" s="1"/>
      <c r="G668" s="1"/>
      <c r="H668" s="1"/>
      <c r="I668" s="1"/>
      <c r="J668" s="1"/>
      <c r="K668" s="1"/>
      <c r="L668" s="1"/>
      <c r="M668" s="1"/>
    </row>
    <row r="669" spans="1:13" ht="15.75" customHeight="1" x14ac:dyDescent="0.25">
      <c r="A669" s="1"/>
      <c r="B669" s="2"/>
      <c r="C669" s="2"/>
      <c r="D669" s="2"/>
      <c r="E669" s="2"/>
      <c r="F669" s="1"/>
      <c r="G669" s="1"/>
      <c r="H669" s="1"/>
      <c r="I669" s="1"/>
      <c r="J669" s="1"/>
      <c r="K669" s="1"/>
      <c r="L669" s="1"/>
      <c r="M669" s="1"/>
    </row>
    <row r="670" spans="1:13" ht="15.75" customHeight="1" x14ac:dyDescent="0.25">
      <c r="A670" s="1"/>
      <c r="B670" s="2"/>
      <c r="C670" s="2"/>
      <c r="D670" s="2"/>
      <c r="E670" s="2"/>
      <c r="F670" s="1"/>
      <c r="G670" s="1"/>
      <c r="H670" s="1"/>
      <c r="I670" s="1"/>
      <c r="J670" s="1"/>
      <c r="K670" s="1"/>
      <c r="L670" s="1"/>
      <c r="M670" s="1"/>
    </row>
    <row r="671" spans="1:13" ht="15.75" customHeight="1" x14ac:dyDescent="0.25">
      <c r="A671" s="1"/>
      <c r="B671" s="2"/>
      <c r="C671" s="2"/>
      <c r="D671" s="2"/>
      <c r="E671" s="2"/>
      <c r="F671" s="1"/>
      <c r="G671" s="1"/>
      <c r="H671" s="1"/>
      <c r="I671" s="1"/>
      <c r="J671" s="1"/>
      <c r="K671" s="1"/>
      <c r="L671" s="1"/>
      <c r="M671" s="1"/>
    </row>
    <row r="672" spans="1:13" ht="15.75" customHeight="1" x14ac:dyDescent="0.25">
      <c r="A672" s="1"/>
      <c r="B672" s="2"/>
      <c r="C672" s="2"/>
      <c r="D672" s="2"/>
      <c r="E672" s="2"/>
      <c r="F672" s="1"/>
      <c r="G672" s="1"/>
      <c r="H672" s="1"/>
      <c r="I672" s="1"/>
      <c r="J672" s="1"/>
      <c r="K672" s="1"/>
      <c r="L672" s="1"/>
      <c r="M672" s="1"/>
    </row>
    <row r="673" spans="1:13" ht="15.75" customHeight="1" x14ac:dyDescent="0.25">
      <c r="A673" s="1"/>
      <c r="B673" s="2"/>
      <c r="C673" s="2"/>
      <c r="D673" s="2"/>
      <c r="E673" s="2"/>
      <c r="F673" s="1"/>
      <c r="G673" s="1"/>
      <c r="H673" s="1"/>
      <c r="I673" s="1"/>
      <c r="J673" s="1"/>
      <c r="K673" s="1"/>
      <c r="L673" s="1"/>
      <c r="M673" s="1"/>
    </row>
    <row r="674" spans="1:13" ht="15.75" customHeight="1" x14ac:dyDescent="0.25">
      <c r="A674" s="1"/>
      <c r="B674" s="2"/>
      <c r="C674" s="2"/>
      <c r="D674" s="2"/>
      <c r="E674" s="2"/>
      <c r="F674" s="1"/>
      <c r="G674" s="1"/>
      <c r="H674" s="1"/>
      <c r="I674" s="1"/>
      <c r="J674" s="1"/>
      <c r="K674" s="1"/>
      <c r="L674" s="1"/>
      <c r="M674" s="1"/>
    </row>
    <row r="675" spans="1:13" ht="15.75" customHeight="1" x14ac:dyDescent="0.25">
      <c r="A675" s="1"/>
      <c r="B675" s="2"/>
      <c r="C675" s="2"/>
      <c r="D675" s="2"/>
      <c r="E675" s="2"/>
      <c r="F675" s="1"/>
      <c r="G675" s="1"/>
      <c r="H675" s="1"/>
      <c r="I675" s="1"/>
      <c r="J675" s="1"/>
      <c r="K675" s="1"/>
      <c r="L675" s="1"/>
      <c r="M675" s="1"/>
    </row>
    <row r="676" spans="1:13" ht="15.75" customHeight="1" x14ac:dyDescent="0.25">
      <c r="A676" s="1"/>
      <c r="B676" s="2"/>
      <c r="C676" s="2"/>
      <c r="D676" s="2"/>
      <c r="E676" s="2"/>
      <c r="F676" s="1"/>
      <c r="G676" s="1"/>
      <c r="H676" s="1"/>
      <c r="I676" s="1"/>
      <c r="J676" s="1"/>
      <c r="K676" s="1"/>
      <c r="L676" s="1"/>
      <c r="M676" s="1"/>
    </row>
    <row r="677" spans="1:13" ht="15.75" customHeight="1" x14ac:dyDescent="0.25">
      <c r="A677" s="1"/>
      <c r="B677" s="2"/>
      <c r="C677" s="2"/>
      <c r="D677" s="2"/>
      <c r="E677" s="2"/>
      <c r="F677" s="1"/>
      <c r="G677" s="1"/>
      <c r="H677" s="1"/>
      <c r="I677" s="1"/>
      <c r="J677" s="1"/>
      <c r="K677" s="1"/>
      <c r="L677" s="1"/>
      <c r="M677" s="1"/>
    </row>
    <row r="678" spans="1:13" ht="15.75" customHeight="1" x14ac:dyDescent="0.25">
      <c r="A678" s="1"/>
      <c r="B678" s="2"/>
      <c r="C678" s="2"/>
      <c r="D678" s="2"/>
      <c r="E678" s="2"/>
      <c r="F678" s="1"/>
      <c r="G678" s="1"/>
      <c r="H678" s="1"/>
      <c r="I678" s="1"/>
      <c r="J678" s="1"/>
      <c r="K678" s="1"/>
      <c r="L678" s="1"/>
      <c r="M678" s="1"/>
    </row>
    <row r="679" spans="1:13" ht="15.75" customHeight="1" x14ac:dyDescent="0.25">
      <c r="A679" s="1"/>
      <c r="B679" s="2"/>
      <c r="C679" s="2"/>
      <c r="D679" s="2"/>
      <c r="E679" s="2"/>
      <c r="F679" s="1"/>
      <c r="G679" s="1"/>
      <c r="H679" s="1"/>
      <c r="I679" s="1"/>
      <c r="J679" s="1"/>
      <c r="K679" s="1"/>
      <c r="L679" s="1"/>
      <c r="M679" s="1"/>
    </row>
    <row r="680" spans="1:13" ht="15.75" customHeight="1" x14ac:dyDescent="0.25">
      <c r="A680" s="1"/>
      <c r="B680" s="2"/>
      <c r="C680" s="2"/>
      <c r="D680" s="2"/>
      <c r="E680" s="2"/>
      <c r="F680" s="1"/>
      <c r="G680" s="1"/>
      <c r="H680" s="1"/>
      <c r="I680" s="1"/>
      <c r="J680" s="1"/>
      <c r="K680" s="1"/>
      <c r="L680" s="1"/>
      <c r="M680" s="1"/>
    </row>
    <row r="681" spans="1:13" ht="15.75" customHeight="1" x14ac:dyDescent="0.25">
      <c r="A681" s="1"/>
      <c r="B681" s="2"/>
      <c r="C681" s="2"/>
      <c r="D681" s="2"/>
      <c r="E681" s="2"/>
      <c r="F681" s="1"/>
      <c r="G681" s="1"/>
      <c r="H681" s="1"/>
      <c r="I681" s="1"/>
      <c r="J681" s="1"/>
      <c r="K681" s="1"/>
      <c r="L681" s="1"/>
      <c r="M681" s="1"/>
    </row>
    <row r="682" spans="1:13" ht="15.75" customHeight="1" x14ac:dyDescent="0.25">
      <c r="A682" s="1"/>
      <c r="B682" s="2"/>
      <c r="C682" s="2"/>
      <c r="D682" s="2"/>
      <c r="E682" s="2"/>
      <c r="F682" s="1"/>
      <c r="G682" s="1"/>
      <c r="H682" s="1"/>
      <c r="I682" s="1"/>
      <c r="J682" s="1"/>
      <c r="K682" s="1"/>
      <c r="L682" s="1"/>
      <c r="M682" s="1"/>
    </row>
    <row r="683" spans="1:13" ht="15.75" customHeight="1" x14ac:dyDescent="0.25">
      <c r="A683" s="1"/>
      <c r="B683" s="2"/>
      <c r="C683" s="2"/>
      <c r="D683" s="2"/>
      <c r="E683" s="2"/>
      <c r="F683" s="1"/>
      <c r="G683" s="1"/>
      <c r="H683" s="1"/>
      <c r="I683" s="1"/>
      <c r="J683" s="1"/>
      <c r="K683" s="1"/>
      <c r="L683" s="1"/>
      <c r="M683" s="1"/>
    </row>
    <row r="684" spans="1:13" ht="15.75" customHeight="1" x14ac:dyDescent="0.25">
      <c r="A684" s="1"/>
      <c r="B684" s="2"/>
      <c r="C684" s="2"/>
      <c r="D684" s="2"/>
      <c r="E684" s="2"/>
      <c r="F684" s="1"/>
      <c r="G684" s="1"/>
      <c r="H684" s="1"/>
      <c r="I684" s="1"/>
      <c r="J684" s="1"/>
      <c r="K684" s="1"/>
      <c r="L684" s="1"/>
      <c r="M684" s="1"/>
    </row>
    <row r="685" spans="1:13" ht="15.75" customHeight="1" x14ac:dyDescent="0.25">
      <c r="A685" s="1"/>
      <c r="B685" s="2"/>
      <c r="C685" s="2"/>
      <c r="D685" s="2"/>
      <c r="E685" s="2"/>
      <c r="F685" s="1"/>
      <c r="G685" s="1"/>
      <c r="H685" s="1"/>
      <c r="I685" s="1"/>
      <c r="J685" s="1"/>
      <c r="K685" s="1"/>
      <c r="L685" s="1"/>
      <c r="M685" s="1"/>
    </row>
    <row r="686" spans="1:13" ht="15.75" customHeight="1" x14ac:dyDescent="0.25">
      <c r="A686" s="1"/>
      <c r="B686" s="2"/>
      <c r="C686" s="2"/>
      <c r="D686" s="2"/>
      <c r="E686" s="2"/>
      <c r="F686" s="1"/>
      <c r="G686" s="1"/>
      <c r="H686" s="1"/>
      <c r="I686" s="1"/>
      <c r="J686" s="1"/>
      <c r="K686" s="1"/>
      <c r="L686" s="1"/>
      <c r="M686" s="1"/>
    </row>
    <row r="687" spans="1:13" ht="15.75" customHeight="1" x14ac:dyDescent="0.25">
      <c r="A687" s="1"/>
      <c r="B687" s="2"/>
      <c r="C687" s="2"/>
      <c r="D687" s="2"/>
      <c r="E687" s="2"/>
      <c r="F687" s="1"/>
      <c r="G687" s="1"/>
      <c r="H687" s="1"/>
      <c r="I687" s="1"/>
      <c r="J687" s="1"/>
      <c r="K687" s="1"/>
      <c r="L687" s="1"/>
      <c r="M687" s="1"/>
    </row>
    <row r="688" spans="1:13" ht="15.75" customHeight="1" x14ac:dyDescent="0.25">
      <c r="A688" s="1"/>
      <c r="B688" s="2"/>
      <c r="C688" s="2"/>
      <c r="D688" s="2"/>
      <c r="E688" s="2"/>
      <c r="F688" s="1"/>
      <c r="G688" s="1"/>
      <c r="H688" s="1"/>
      <c r="I688" s="1"/>
      <c r="J688" s="1"/>
      <c r="K688" s="1"/>
      <c r="L688" s="1"/>
      <c r="M688" s="1"/>
    </row>
    <row r="689" spans="1:13" ht="15.75" customHeight="1" x14ac:dyDescent="0.25">
      <c r="A689" s="1"/>
      <c r="B689" s="2"/>
      <c r="C689" s="2"/>
      <c r="D689" s="2"/>
      <c r="E689" s="2"/>
      <c r="F689" s="1"/>
      <c r="G689" s="1"/>
      <c r="H689" s="1"/>
      <c r="I689" s="1"/>
      <c r="J689" s="1"/>
      <c r="K689" s="1"/>
      <c r="L689" s="1"/>
      <c r="M689" s="1"/>
    </row>
    <row r="690" spans="1:13" ht="15.75" customHeight="1" x14ac:dyDescent="0.25">
      <c r="A690" s="1"/>
      <c r="B690" s="2"/>
      <c r="C690" s="2"/>
      <c r="D690" s="2"/>
      <c r="E690" s="2"/>
      <c r="F690" s="1"/>
      <c r="G690" s="1"/>
      <c r="H690" s="1"/>
      <c r="I690" s="1"/>
      <c r="J690" s="1"/>
      <c r="K690" s="1"/>
      <c r="L690" s="1"/>
      <c r="M690" s="1"/>
    </row>
    <row r="691" spans="1:13" ht="15.75" customHeight="1" x14ac:dyDescent="0.25">
      <c r="A691" s="1"/>
      <c r="B691" s="2"/>
      <c r="C691" s="2"/>
      <c r="D691" s="2"/>
      <c r="E691" s="2"/>
      <c r="F691" s="1"/>
      <c r="G691" s="1"/>
      <c r="H691" s="1"/>
      <c r="I691" s="1"/>
      <c r="J691" s="1"/>
      <c r="K691" s="1"/>
      <c r="L691" s="1"/>
      <c r="M691" s="1"/>
    </row>
    <row r="692" spans="1:13" ht="15.75" customHeight="1" x14ac:dyDescent="0.25">
      <c r="A692" s="1"/>
      <c r="B692" s="2"/>
      <c r="C692" s="2"/>
      <c r="D692" s="2"/>
      <c r="E692" s="2"/>
      <c r="F692" s="1"/>
      <c r="G692" s="1"/>
      <c r="H692" s="1"/>
      <c r="I692" s="1"/>
      <c r="J692" s="1"/>
      <c r="K692" s="1"/>
      <c r="L692" s="1"/>
      <c r="M692" s="1"/>
    </row>
    <row r="693" spans="1:13" ht="15.75" customHeight="1" x14ac:dyDescent="0.25">
      <c r="A693" s="1"/>
      <c r="B693" s="2"/>
      <c r="C693" s="2"/>
      <c r="D693" s="2"/>
      <c r="E693" s="2"/>
      <c r="F693" s="1"/>
      <c r="G693" s="1"/>
      <c r="H693" s="1"/>
      <c r="I693" s="1"/>
      <c r="J693" s="1"/>
      <c r="K693" s="1"/>
      <c r="L693" s="1"/>
      <c r="M693" s="1"/>
    </row>
    <row r="694" spans="1:13" ht="15.75" customHeight="1" x14ac:dyDescent="0.25">
      <c r="A694" s="1"/>
      <c r="B694" s="2"/>
      <c r="C694" s="2"/>
      <c r="D694" s="2"/>
      <c r="E694" s="2"/>
      <c r="F694" s="1"/>
      <c r="G694" s="1"/>
      <c r="H694" s="1"/>
      <c r="I694" s="1"/>
      <c r="J694" s="1"/>
      <c r="K694" s="1"/>
      <c r="L694" s="1"/>
      <c r="M694" s="1"/>
    </row>
    <row r="695" spans="1:13" ht="15.75" customHeight="1" x14ac:dyDescent="0.25">
      <c r="A695" s="1"/>
      <c r="B695" s="2"/>
      <c r="C695" s="2"/>
      <c r="D695" s="2"/>
      <c r="E695" s="2"/>
      <c r="F695" s="1"/>
      <c r="G695" s="1"/>
      <c r="H695" s="1"/>
      <c r="I695" s="1"/>
      <c r="J695" s="1"/>
      <c r="K695" s="1"/>
      <c r="L695" s="1"/>
      <c r="M695" s="1"/>
    </row>
    <row r="696" spans="1:13" ht="15.75" customHeight="1" x14ac:dyDescent="0.25">
      <c r="A696" s="1"/>
      <c r="B696" s="2"/>
      <c r="C696" s="2"/>
      <c r="D696" s="2"/>
      <c r="E696" s="2"/>
      <c r="F696" s="1"/>
      <c r="G696" s="1"/>
      <c r="H696" s="1"/>
      <c r="I696" s="1"/>
      <c r="J696" s="1"/>
      <c r="K696" s="1"/>
      <c r="L696" s="1"/>
      <c r="M696" s="1"/>
    </row>
    <row r="697" spans="1:13" ht="15.75" customHeight="1" x14ac:dyDescent="0.25">
      <c r="A697" s="1"/>
      <c r="B697" s="2"/>
      <c r="C697" s="2"/>
      <c r="D697" s="2"/>
      <c r="E697" s="2"/>
      <c r="F697" s="1"/>
      <c r="G697" s="1"/>
      <c r="H697" s="1"/>
      <c r="I697" s="1"/>
      <c r="J697" s="1"/>
      <c r="K697" s="1"/>
      <c r="L697" s="1"/>
      <c r="M697" s="1"/>
    </row>
    <row r="698" spans="1:13" ht="15.75" customHeight="1" x14ac:dyDescent="0.25">
      <c r="A698" s="1"/>
      <c r="B698" s="2"/>
      <c r="C698" s="2"/>
      <c r="D698" s="2"/>
      <c r="E698" s="2"/>
      <c r="F698" s="1"/>
      <c r="G698" s="1"/>
      <c r="H698" s="1"/>
      <c r="I698" s="1"/>
      <c r="J698" s="1"/>
      <c r="K698" s="1"/>
      <c r="L698" s="1"/>
      <c r="M698" s="1"/>
    </row>
    <row r="699" spans="1:13" ht="15.75" customHeight="1" x14ac:dyDescent="0.25">
      <c r="A699" s="1"/>
      <c r="B699" s="2"/>
      <c r="C699" s="2"/>
      <c r="D699" s="2"/>
      <c r="E699" s="2"/>
      <c r="F699" s="1"/>
      <c r="G699" s="1"/>
      <c r="H699" s="1"/>
      <c r="I699" s="1"/>
      <c r="J699" s="1"/>
      <c r="K699" s="1"/>
      <c r="L699" s="1"/>
      <c r="M699" s="1"/>
    </row>
    <row r="700" spans="1:13" ht="15.75" customHeight="1" x14ac:dyDescent="0.25">
      <c r="A700" s="1"/>
      <c r="B700" s="2"/>
      <c r="C700" s="2"/>
      <c r="D700" s="2"/>
      <c r="E700" s="2"/>
      <c r="F700" s="1"/>
      <c r="G700" s="1"/>
      <c r="H700" s="1"/>
      <c r="I700" s="1"/>
      <c r="J700" s="1"/>
      <c r="K700" s="1"/>
      <c r="L700" s="1"/>
      <c r="M700" s="1"/>
    </row>
    <row r="701" spans="1:13" ht="15.75" customHeight="1" x14ac:dyDescent="0.25">
      <c r="A701" s="1"/>
      <c r="B701" s="2"/>
      <c r="C701" s="2"/>
      <c r="D701" s="2"/>
      <c r="E701" s="2"/>
      <c r="F701" s="1"/>
      <c r="G701" s="1"/>
      <c r="H701" s="1"/>
      <c r="I701" s="1"/>
      <c r="J701" s="1"/>
      <c r="K701" s="1"/>
      <c r="L701" s="1"/>
      <c r="M701" s="1"/>
    </row>
    <row r="702" spans="1:13" ht="15.75" customHeight="1" x14ac:dyDescent="0.25">
      <c r="A702" s="1"/>
      <c r="B702" s="2"/>
      <c r="C702" s="2"/>
      <c r="D702" s="2"/>
      <c r="E702" s="2"/>
      <c r="F702" s="1"/>
      <c r="G702" s="1"/>
      <c r="H702" s="1"/>
      <c r="I702" s="1"/>
      <c r="J702" s="1"/>
      <c r="K702" s="1"/>
      <c r="L702" s="1"/>
      <c r="M702" s="1"/>
    </row>
    <row r="703" spans="1:13" ht="15.75" customHeight="1" x14ac:dyDescent="0.25">
      <c r="A703" s="1"/>
      <c r="B703" s="2"/>
      <c r="C703" s="2"/>
      <c r="D703" s="2"/>
      <c r="E703" s="2"/>
      <c r="F703" s="1"/>
      <c r="G703" s="1"/>
      <c r="H703" s="1"/>
      <c r="I703" s="1"/>
      <c r="J703" s="1"/>
      <c r="K703" s="1"/>
      <c r="L703" s="1"/>
      <c r="M703" s="1"/>
    </row>
    <row r="704" spans="1:13" ht="15.75" customHeight="1" x14ac:dyDescent="0.25">
      <c r="A704" s="1"/>
      <c r="B704" s="2"/>
      <c r="C704" s="2"/>
      <c r="D704" s="2"/>
      <c r="E704" s="2"/>
      <c r="F704" s="1"/>
      <c r="G704" s="1"/>
      <c r="H704" s="1"/>
      <c r="I704" s="1"/>
      <c r="J704" s="1"/>
      <c r="K704" s="1"/>
      <c r="L704" s="1"/>
      <c r="M704" s="1"/>
    </row>
    <row r="705" spans="1:13" ht="15.75" customHeight="1" x14ac:dyDescent="0.25">
      <c r="A705" s="1"/>
      <c r="B705" s="2"/>
      <c r="C705" s="2"/>
      <c r="D705" s="2"/>
      <c r="E705" s="2"/>
      <c r="F705" s="1"/>
      <c r="G705" s="1"/>
      <c r="H705" s="1"/>
      <c r="I705" s="1"/>
      <c r="J705" s="1"/>
      <c r="K705" s="1"/>
      <c r="L705" s="1"/>
      <c r="M705" s="1"/>
    </row>
    <row r="706" spans="1:13" ht="15.75" customHeight="1" x14ac:dyDescent="0.25">
      <c r="A706" s="1"/>
      <c r="B706" s="2"/>
      <c r="C706" s="2"/>
      <c r="D706" s="2"/>
      <c r="E706" s="2"/>
      <c r="F706" s="1"/>
      <c r="G706" s="1"/>
      <c r="H706" s="1"/>
      <c r="I706" s="1"/>
      <c r="J706" s="1"/>
      <c r="K706" s="1"/>
      <c r="L706" s="1"/>
      <c r="M706" s="1"/>
    </row>
    <row r="707" spans="1:13" ht="15.75" customHeight="1" x14ac:dyDescent="0.25">
      <c r="A707" s="1"/>
      <c r="B707" s="2"/>
      <c r="C707" s="2"/>
      <c r="D707" s="2"/>
      <c r="E707" s="2"/>
      <c r="F707" s="1"/>
      <c r="G707" s="1"/>
      <c r="H707" s="1"/>
      <c r="I707" s="1"/>
      <c r="J707" s="1"/>
      <c r="K707" s="1"/>
      <c r="L707" s="1"/>
      <c r="M707" s="1"/>
    </row>
    <row r="708" spans="1:13" ht="15.75" customHeight="1" x14ac:dyDescent="0.25">
      <c r="A708" s="1"/>
      <c r="B708" s="2"/>
      <c r="C708" s="2"/>
      <c r="D708" s="2"/>
      <c r="E708" s="2"/>
      <c r="F708" s="1"/>
      <c r="G708" s="1"/>
      <c r="H708" s="1"/>
      <c r="I708" s="1"/>
      <c r="J708" s="1"/>
      <c r="K708" s="1"/>
      <c r="L708" s="1"/>
      <c r="M708" s="1"/>
    </row>
    <row r="709" spans="1:13" ht="15.75" customHeight="1" x14ac:dyDescent="0.25">
      <c r="A709" s="1"/>
      <c r="B709" s="2"/>
      <c r="C709" s="2"/>
      <c r="D709" s="2"/>
      <c r="E709" s="2"/>
      <c r="F709" s="1"/>
      <c r="G709" s="1"/>
      <c r="H709" s="1"/>
      <c r="I709" s="1"/>
      <c r="J709" s="1"/>
      <c r="K709" s="1"/>
      <c r="L709" s="1"/>
      <c r="M709" s="1"/>
    </row>
    <row r="710" spans="1:13" ht="15.75" customHeight="1" x14ac:dyDescent="0.25">
      <c r="A710" s="1"/>
      <c r="B710" s="2"/>
      <c r="C710" s="2"/>
      <c r="D710" s="2"/>
      <c r="E710" s="2"/>
      <c r="F710" s="1"/>
      <c r="G710" s="1"/>
      <c r="H710" s="1"/>
      <c r="I710" s="1"/>
      <c r="J710" s="1"/>
      <c r="K710" s="1"/>
      <c r="L710" s="1"/>
      <c r="M710" s="1"/>
    </row>
    <row r="711" spans="1:13" ht="15.75" customHeight="1" x14ac:dyDescent="0.25">
      <c r="A711" s="1"/>
      <c r="B711" s="2"/>
      <c r="C711" s="2"/>
      <c r="D711" s="2"/>
      <c r="E711" s="2"/>
      <c r="F711" s="1"/>
      <c r="G711" s="1"/>
      <c r="H711" s="1"/>
      <c r="I711" s="1"/>
      <c r="J711" s="1"/>
      <c r="K711" s="1"/>
      <c r="L711" s="1"/>
      <c r="M711" s="1"/>
    </row>
    <row r="712" spans="1:13" ht="15.75" customHeight="1" x14ac:dyDescent="0.25">
      <c r="A712" s="1"/>
      <c r="B712" s="2"/>
      <c r="C712" s="2"/>
      <c r="D712" s="2"/>
      <c r="E712" s="2"/>
      <c r="F712" s="1"/>
      <c r="G712" s="1"/>
      <c r="H712" s="1"/>
      <c r="I712" s="1"/>
      <c r="J712" s="1"/>
      <c r="K712" s="1"/>
      <c r="L712" s="1"/>
      <c r="M712" s="1"/>
    </row>
    <row r="713" spans="1:13" ht="15.75" customHeight="1" x14ac:dyDescent="0.25">
      <c r="A713" s="1"/>
      <c r="B713" s="2"/>
      <c r="C713" s="2"/>
      <c r="D713" s="2"/>
      <c r="E713" s="2"/>
      <c r="F713" s="1"/>
      <c r="G713" s="1"/>
      <c r="H713" s="1"/>
      <c r="I713" s="1"/>
      <c r="J713" s="1"/>
      <c r="K713" s="1"/>
      <c r="L713" s="1"/>
      <c r="M713" s="1"/>
    </row>
    <row r="714" spans="1:13" ht="15.75" customHeight="1" x14ac:dyDescent="0.25">
      <c r="A714" s="1"/>
      <c r="B714" s="2"/>
      <c r="C714" s="2"/>
      <c r="D714" s="2"/>
      <c r="E714" s="2"/>
      <c r="F714" s="1"/>
      <c r="G714" s="1"/>
      <c r="H714" s="1"/>
      <c r="I714" s="1"/>
      <c r="J714" s="1"/>
      <c r="K714" s="1"/>
      <c r="L714" s="1"/>
      <c r="M714" s="1"/>
    </row>
    <row r="715" spans="1:13" ht="15.75" customHeight="1" x14ac:dyDescent="0.25">
      <c r="A715" s="1"/>
      <c r="B715" s="2"/>
      <c r="C715" s="2"/>
      <c r="D715" s="2"/>
      <c r="E715" s="2"/>
      <c r="F715" s="1"/>
      <c r="G715" s="1"/>
      <c r="H715" s="1"/>
      <c r="I715" s="1"/>
      <c r="J715" s="1"/>
      <c r="K715" s="1"/>
      <c r="L715" s="1"/>
      <c r="M715" s="1"/>
    </row>
    <row r="716" spans="1:13" ht="15.75" customHeight="1" x14ac:dyDescent="0.25">
      <c r="A716" s="1"/>
      <c r="B716" s="2"/>
      <c r="C716" s="2"/>
      <c r="D716" s="2"/>
      <c r="E716" s="2"/>
      <c r="F716" s="1"/>
      <c r="G716" s="1"/>
      <c r="H716" s="1"/>
      <c r="I716" s="1"/>
      <c r="J716" s="1"/>
      <c r="K716" s="1"/>
      <c r="L716" s="1"/>
      <c r="M716" s="1"/>
    </row>
    <row r="717" spans="1:13" ht="15.75" customHeight="1" x14ac:dyDescent="0.25">
      <c r="A717" s="1"/>
      <c r="B717" s="2"/>
      <c r="C717" s="2"/>
      <c r="D717" s="2"/>
      <c r="E717" s="2"/>
      <c r="F717" s="1"/>
      <c r="G717" s="1"/>
      <c r="H717" s="1"/>
      <c r="I717" s="1"/>
      <c r="J717" s="1"/>
      <c r="K717" s="1"/>
      <c r="L717" s="1"/>
      <c r="M717" s="1"/>
    </row>
    <row r="718" spans="1:13" ht="15.75" customHeight="1" x14ac:dyDescent="0.25">
      <c r="A718" s="1"/>
      <c r="B718" s="2"/>
      <c r="C718" s="2"/>
      <c r="D718" s="2"/>
      <c r="E718" s="2"/>
      <c r="F718" s="1"/>
      <c r="G718" s="1"/>
      <c r="H718" s="1"/>
      <c r="I718" s="1"/>
      <c r="J718" s="1"/>
      <c r="K718" s="1"/>
      <c r="L718" s="1"/>
      <c r="M718" s="1"/>
    </row>
    <row r="719" spans="1:13" ht="15.75" customHeight="1" x14ac:dyDescent="0.25">
      <c r="A719" s="1"/>
      <c r="B719" s="2"/>
      <c r="C719" s="2"/>
      <c r="D719" s="2"/>
      <c r="E719" s="2"/>
      <c r="F719" s="1"/>
      <c r="G719" s="1"/>
      <c r="H719" s="1"/>
      <c r="I719" s="1"/>
      <c r="J719" s="1"/>
      <c r="K719" s="1"/>
      <c r="L719" s="1"/>
      <c r="M719" s="1"/>
    </row>
    <row r="720" spans="1:13" ht="15.75" customHeight="1" x14ac:dyDescent="0.25">
      <c r="A720" s="1"/>
      <c r="B720" s="2"/>
      <c r="C720" s="2"/>
      <c r="D720" s="2"/>
      <c r="E720" s="2"/>
      <c r="F720" s="1"/>
      <c r="G720" s="1"/>
      <c r="H720" s="1"/>
      <c r="I720" s="1"/>
      <c r="J720" s="1"/>
      <c r="K720" s="1"/>
      <c r="L720" s="1"/>
      <c r="M720" s="1"/>
    </row>
    <row r="721" spans="1:13" ht="15.75" customHeight="1" x14ac:dyDescent="0.25">
      <c r="A721" s="1"/>
      <c r="B721" s="2"/>
      <c r="C721" s="2"/>
      <c r="D721" s="2"/>
      <c r="E721" s="2"/>
      <c r="F721" s="1"/>
      <c r="G721" s="1"/>
      <c r="H721" s="1"/>
      <c r="I721" s="1"/>
      <c r="J721" s="1"/>
      <c r="K721" s="1"/>
      <c r="L721" s="1"/>
      <c r="M721" s="1"/>
    </row>
    <row r="722" spans="1:13" ht="15.75" customHeight="1" x14ac:dyDescent="0.25">
      <c r="A722" s="1"/>
      <c r="B722" s="2"/>
      <c r="C722" s="2"/>
      <c r="D722" s="2"/>
      <c r="E722" s="2"/>
      <c r="F722" s="1"/>
      <c r="G722" s="1"/>
      <c r="H722" s="1"/>
      <c r="I722" s="1"/>
      <c r="J722" s="1"/>
      <c r="K722" s="1"/>
      <c r="L722" s="1"/>
      <c r="M722" s="1"/>
    </row>
    <row r="723" spans="1:13" ht="15.75" customHeight="1" x14ac:dyDescent="0.25">
      <c r="A723" s="1"/>
      <c r="B723" s="2"/>
      <c r="C723" s="2"/>
      <c r="D723" s="2"/>
      <c r="E723" s="2"/>
      <c r="F723" s="1"/>
      <c r="G723" s="1"/>
      <c r="H723" s="1"/>
      <c r="I723" s="1"/>
      <c r="J723" s="1"/>
      <c r="K723" s="1"/>
      <c r="L723" s="1"/>
      <c r="M723" s="1"/>
    </row>
    <row r="724" spans="1:13" ht="15.75" customHeight="1" x14ac:dyDescent="0.25">
      <c r="A724" s="1"/>
      <c r="B724" s="2"/>
      <c r="C724" s="2"/>
      <c r="D724" s="2"/>
      <c r="E724" s="2"/>
      <c r="F724" s="1"/>
      <c r="G724" s="1"/>
      <c r="H724" s="1"/>
      <c r="I724" s="1"/>
      <c r="J724" s="1"/>
      <c r="K724" s="1"/>
      <c r="L724" s="1"/>
      <c r="M724" s="1"/>
    </row>
    <row r="725" spans="1:13" ht="15.75" customHeight="1" x14ac:dyDescent="0.25">
      <c r="A725" s="1"/>
      <c r="B725" s="2"/>
      <c r="C725" s="2"/>
      <c r="D725" s="2"/>
      <c r="E725" s="2"/>
      <c r="F725" s="1"/>
      <c r="G725" s="1"/>
      <c r="H725" s="1"/>
      <c r="I725" s="1"/>
      <c r="J725" s="1"/>
      <c r="K725" s="1"/>
      <c r="L725" s="1"/>
      <c r="M725" s="1"/>
    </row>
    <row r="726" spans="1:13" ht="15.75" customHeight="1" x14ac:dyDescent="0.25">
      <c r="A726" s="1"/>
      <c r="B726" s="2"/>
      <c r="C726" s="2"/>
      <c r="D726" s="2"/>
      <c r="E726" s="2"/>
      <c r="F726" s="1"/>
      <c r="G726" s="1"/>
      <c r="H726" s="1"/>
      <c r="I726" s="1"/>
      <c r="J726" s="1"/>
      <c r="K726" s="1"/>
      <c r="L726" s="1"/>
      <c r="M726" s="1"/>
    </row>
    <row r="727" spans="1:13" ht="15.75" customHeight="1" x14ac:dyDescent="0.25">
      <c r="A727" s="1"/>
      <c r="B727" s="2"/>
      <c r="C727" s="2"/>
      <c r="D727" s="2"/>
      <c r="E727" s="2"/>
      <c r="F727" s="1"/>
      <c r="G727" s="1"/>
      <c r="H727" s="1"/>
      <c r="I727" s="1"/>
      <c r="J727" s="1"/>
      <c r="K727" s="1"/>
      <c r="L727" s="1"/>
      <c r="M727" s="1"/>
    </row>
    <row r="728" spans="1:13" ht="15.75" customHeight="1" x14ac:dyDescent="0.25">
      <c r="A728" s="1"/>
      <c r="B728" s="2"/>
      <c r="C728" s="2"/>
      <c r="D728" s="2"/>
      <c r="E728" s="2"/>
      <c r="F728" s="1"/>
      <c r="G728" s="1"/>
      <c r="H728" s="1"/>
      <c r="I728" s="1"/>
      <c r="J728" s="1"/>
      <c r="K728" s="1"/>
      <c r="L728" s="1"/>
      <c r="M728" s="1"/>
    </row>
    <row r="729" spans="1:13" ht="15.75" customHeight="1" x14ac:dyDescent="0.25">
      <c r="A729" s="1"/>
      <c r="B729" s="2"/>
      <c r="C729" s="2"/>
      <c r="D729" s="2"/>
      <c r="E729" s="2"/>
      <c r="F729" s="1"/>
      <c r="G729" s="1"/>
      <c r="H729" s="1"/>
      <c r="I729" s="1"/>
      <c r="J729" s="1"/>
      <c r="K729" s="1"/>
      <c r="L729" s="1"/>
      <c r="M729" s="1"/>
    </row>
    <row r="730" spans="1:13" ht="15.75" customHeight="1" x14ac:dyDescent="0.25">
      <c r="A730" s="1"/>
      <c r="B730" s="2"/>
      <c r="C730" s="2"/>
      <c r="D730" s="2"/>
      <c r="E730" s="2"/>
      <c r="F730" s="1"/>
      <c r="G730" s="1"/>
      <c r="H730" s="1"/>
      <c r="I730" s="1"/>
      <c r="J730" s="1"/>
      <c r="K730" s="1"/>
      <c r="L730" s="1"/>
      <c r="M730" s="1"/>
    </row>
    <row r="731" spans="1:13" ht="15.75" customHeight="1" x14ac:dyDescent="0.25">
      <c r="A731" s="1"/>
      <c r="B731" s="2"/>
      <c r="C731" s="2"/>
      <c r="D731" s="2"/>
      <c r="E731" s="2"/>
      <c r="F731" s="1"/>
      <c r="G731" s="1"/>
      <c r="H731" s="1"/>
      <c r="I731" s="1"/>
      <c r="J731" s="1"/>
      <c r="K731" s="1"/>
      <c r="L731" s="1"/>
      <c r="M731" s="1"/>
    </row>
    <row r="732" spans="1:13" ht="15.75" customHeight="1" x14ac:dyDescent="0.25">
      <c r="A732" s="1"/>
      <c r="B732" s="2"/>
      <c r="C732" s="2"/>
      <c r="D732" s="2"/>
      <c r="E732" s="2"/>
      <c r="F732" s="1"/>
      <c r="G732" s="1"/>
      <c r="H732" s="1"/>
      <c r="I732" s="1"/>
      <c r="J732" s="1"/>
      <c r="K732" s="1"/>
      <c r="L732" s="1"/>
      <c r="M732" s="1"/>
    </row>
    <row r="733" spans="1:13" ht="15.75" customHeight="1" x14ac:dyDescent="0.25">
      <c r="A733" s="1"/>
      <c r="B733" s="2"/>
      <c r="C733" s="2"/>
      <c r="D733" s="2"/>
      <c r="E733" s="2"/>
      <c r="F733" s="1"/>
      <c r="G733" s="1"/>
      <c r="H733" s="1"/>
      <c r="I733" s="1"/>
      <c r="J733" s="1"/>
      <c r="K733" s="1"/>
      <c r="L733" s="1"/>
      <c r="M733" s="1"/>
    </row>
    <row r="734" spans="1:13" ht="15.75" customHeight="1" x14ac:dyDescent="0.25">
      <c r="A734" s="1"/>
      <c r="B734" s="2"/>
      <c r="C734" s="2"/>
      <c r="D734" s="2"/>
      <c r="E734" s="2"/>
      <c r="F734" s="1"/>
      <c r="G734" s="1"/>
      <c r="H734" s="1"/>
      <c r="I734" s="1"/>
      <c r="J734" s="1"/>
      <c r="K734" s="1"/>
      <c r="L734" s="1"/>
      <c r="M734" s="1"/>
    </row>
    <row r="735" spans="1:13" ht="15.75" customHeight="1" x14ac:dyDescent="0.25">
      <c r="A735" s="1"/>
      <c r="B735" s="2"/>
      <c r="C735" s="2"/>
      <c r="D735" s="2"/>
      <c r="E735" s="2"/>
      <c r="F735" s="1"/>
      <c r="G735" s="1"/>
      <c r="H735" s="1"/>
      <c r="I735" s="1"/>
      <c r="J735" s="1"/>
      <c r="K735" s="1"/>
      <c r="L735" s="1"/>
      <c r="M735" s="1"/>
    </row>
    <row r="736" spans="1:13" ht="15.75" customHeight="1" x14ac:dyDescent="0.25">
      <c r="A736" s="1"/>
      <c r="B736" s="2"/>
      <c r="C736" s="2"/>
      <c r="D736" s="2"/>
      <c r="E736" s="2"/>
      <c r="F736" s="1"/>
      <c r="G736" s="1"/>
      <c r="H736" s="1"/>
      <c r="I736" s="1"/>
      <c r="J736" s="1"/>
      <c r="K736" s="1"/>
      <c r="L736" s="1"/>
      <c r="M736" s="1"/>
    </row>
    <row r="737" spans="1:13" ht="15.75" customHeight="1" x14ac:dyDescent="0.25">
      <c r="A737" s="1"/>
      <c r="B737" s="2"/>
      <c r="C737" s="2"/>
      <c r="D737" s="2"/>
      <c r="E737" s="2"/>
      <c r="F737" s="1"/>
      <c r="G737" s="1"/>
      <c r="H737" s="1"/>
      <c r="I737" s="1"/>
      <c r="J737" s="1"/>
      <c r="K737" s="1"/>
      <c r="L737" s="1"/>
      <c r="M737" s="1"/>
    </row>
    <row r="738" spans="1:13" ht="15.75" customHeight="1" x14ac:dyDescent="0.25">
      <c r="A738" s="1"/>
      <c r="B738" s="2"/>
      <c r="C738" s="2"/>
      <c r="D738" s="2"/>
      <c r="E738" s="2"/>
      <c r="F738" s="1"/>
      <c r="G738" s="1"/>
      <c r="H738" s="1"/>
      <c r="I738" s="1"/>
      <c r="J738" s="1"/>
      <c r="K738" s="1"/>
      <c r="L738" s="1"/>
      <c r="M738" s="1"/>
    </row>
    <row r="739" spans="1:13" ht="15.75" customHeight="1" x14ac:dyDescent="0.25">
      <c r="A739" s="1"/>
      <c r="B739" s="2"/>
      <c r="C739" s="2"/>
      <c r="D739" s="2"/>
      <c r="E739" s="2"/>
      <c r="F739" s="1"/>
      <c r="G739" s="1"/>
      <c r="H739" s="1"/>
      <c r="I739" s="1"/>
      <c r="J739" s="1"/>
      <c r="K739" s="1"/>
      <c r="L739" s="1"/>
      <c r="M739" s="1"/>
    </row>
    <row r="740" spans="1:13" ht="15.75" customHeight="1" x14ac:dyDescent="0.25">
      <c r="A740" s="1"/>
      <c r="B740" s="2"/>
      <c r="C740" s="2"/>
      <c r="D740" s="2"/>
      <c r="E740" s="2"/>
      <c r="F740" s="1"/>
      <c r="G740" s="1"/>
      <c r="H740" s="1"/>
      <c r="I740" s="1"/>
      <c r="J740" s="1"/>
      <c r="K740" s="1"/>
      <c r="L740" s="1"/>
      <c r="M740" s="1"/>
    </row>
    <row r="741" spans="1:13" ht="15.75" customHeight="1" x14ac:dyDescent="0.25">
      <c r="A741" s="1"/>
      <c r="B741" s="2"/>
      <c r="C741" s="2"/>
      <c r="D741" s="2"/>
      <c r="E741" s="2"/>
      <c r="F741" s="1"/>
      <c r="G741" s="1"/>
      <c r="H741" s="1"/>
      <c r="I741" s="1"/>
      <c r="J741" s="1"/>
      <c r="K741" s="1"/>
      <c r="L741" s="1"/>
      <c r="M741" s="1"/>
    </row>
    <row r="742" spans="1:13" ht="15.75" customHeight="1" x14ac:dyDescent="0.25">
      <c r="A742" s="1"/>
      <c r="B742" s="2"/>
      <c r="C742" s="2"/>
      <c r="D742" s="2"/>
      <c r="E742" s="2"/>
      <c r="F742" s="1"/>
      <c r="G742" s="1"/>
      <c r="H742" s="1"/>
      <c r="I742" s="1"/>
      <c r="J742" s="1"/>
      <c r="K742" s="1"/>
      <c r="L742" s="1"/>
      <c r="M742" s="1"/>
    </row>
    <row r="743" spans="1:13" ht="15.75" customHeight="1" x14ac:dyDescent="0.25">
      <c r="A743" s="1"/>
      <c r="B743" s="2"/>
      <c r="C743" s="2"/>
      <c r="D743" s="2"/>
      <c r="E743" s="2"/>
      <c r="F743" s="1"/>
      <c r="G743" s="1"/>
      <c r="H743" s="1"/>
      <c r="I743" s="1"/>
      <c r="J743" s="1"/>
      <c r="K743" s="1"/>
      <c r="L743" s="1"/>
      <c r="M743" s="1"/>
    </row>
    <row r="744" spans="1:13" ht="15.75" customHeight="1" x14ac:dyDescent="0.25">
      <c r="A744" s="1"/>
      <c r="B744" s="2"/>
      <c r="C744" s="2"/>
      <c r="D744" s="2"/>
      <c r="E744" s="2"/>
      <c r="F744" s="1"/>
      <c r="G744" s="1"/>
      <c r="H744" s="1"/>
      <c r="I744" s="1"/>
      <c r="J744" s="1"/>
      <c r="K744" s="1"/>
      <c r="L744" s="1"/>
      <c r="M744" s="1"/>
    </row>
    <row r="745" spans="1:13" ht="15.75" customHeight="1" x14ac:dyDescent="0.25">
      <c r="A745" s="1"/>
      <c r="B745" s="2"/>
      <c r="C745" s="2"/>
      <c r="D745" s="2"/>
      <c r="E745" s="2"/>
      <c r="F745" s="1"/>
      <c r="G745" s="1"/>
      <c r="H745" s="1"/>
      <c r="I745" s="1"/>
      <c r="J745" s="1"/>
      <c r="K745" s="1"/>
      <c r="L745" s="1"/>
      <c r="M745" s="1"/>
    </row>
    <row r="746" spans="1:13" ht="15.75" customHeight="1" x14ac:dyDescent="0.25">
      <c r="A746" s="1"/>
      <c r="B746" s="2"/>
      <c r="C746" s="2"/>
      <c r="D746" s="2"/>
      <c r="E746" s="2"/>
      <c r="F746" s="1"/>
      <c r="G746" s="1"/>
      <c r="H746" s="1"/>
      <c r="I746" s="1"/>
      <c r="J746" s="1"/>
      <c r="K746" s="1"/>
      <c r="L746" s="1"/>
      <c r="M746" s="1"/>
    </row>
    <row r="747" spans="1:13" ht="15.75" customHeight="1" x14ac:dyDescent="0.25">
      <c r="A747" s="1"/>
      <c r="B747" s="2"/>
      <c r="C747" s="2"/>
      <c r="D747" s="2"/>
      <c r="E747" s="2"/>
      <c r="F747" s="1"/>
      <c r="G747" s="1"/>
      <c r="H747" s="1"/>
      <c r="I747" s="1"/>
      <c r="J747" s="1"/>
      <c r="K747" s="1"/>
      <c r="L747" s="1"/>
      <c r="M747" s="1"/>
    </row>
    <row r="748" spans="1:13" ht="15.75" customHeight="1" x14ac:dyDescent="0.25">
      <c r="A748" s="1"/>
      <c r="B748" s="2"/>
      <c r="C748" s="2"/>
      <c r="D748" s="2"/>
      <c r="E748" s="2"/>
      <c r="F748" s="1"/>
      <c r="G748" s="1"/>
      <c r="H748" s="1"/>
      <c r="I748" s="1"/>
      <c r="J748" s="1"/>
      <c r="K748" s="1"/>
      <c r="L748" s="1"/>
      <c r="M748" s="1"/>
    </row>
    <row r="749" spans="1:13" ht="15.75" customHeight="1" x14ac:dyDescent="0.25">
      <c r="A749" s="1"/>
      <c r="B749" s="2"/>
      <c r="C749" s="2"/>
      <c r="D749" s="2"/>
      <c r="E749" s="2"/>
      <c r="F749" s="1"/>
      <c r="G749" s="1"/>
      <c r="H749" s="1"/>
      <c r="I749" s="1"/>
      <c r="J749" s="1"/>
      <c r="K749" s="1"/>
      <c r="L749" s="1"/>
      <c r="M749" s="1"/>
    </row>
    <row r="750" spans="1:13" ht="15.75" customHeight="1" x14ac:dyDescent="0.25">
      <c r="A750" s="1"/>
      <c r="B750" s="2"/>
      <c r="C750" s="2"/>
      <c r="D750" s="2"/>
      <c r="E750" s="2"/>
      <c r="F750" s="1"/>
      <c r="G750" s="1"/>
      <c r="H750" s="1"/>
      <c r="I750" s="1"/>
      <c r="J750" s="1"/>
      <c r="K750" s="1"/>
      <c r="L750" s="1"/>
      <c r="M750" s="1"/>
    </row>
    <row r="751" spans="1:13" ht="15.75" customHeight="1" x14ac:dyDescent="0.25">
      <c r="A751" s="1"/>
      <c r="B751" s="2"/>
      <c r="C751" s="2"/>
      <c r="D751" s="2"/>
      <c r="E751" s="2"/>
      <c r="F751" s="1"/>
      <c r="G751" s="1"/>
      <c r="H751" s="1"/>
      <c r="I751" s="1"/>
      <c r="J751" s="1"/>
      <c r="K751" s="1"/>
      <c r="L751" s="1"/>
      <c r="M751" s="1"/>
    </row>
    <row r="752" spans="1:13" ht="15.75" customHeight="1" x14ac:dyDescent="0.25">
      <c r="A752" s="1"/>
      <c r="B752" s="2"/>
      <c r="C752" s="2"/>
      <c r="D752" s="2"/>
      <c r="E752" s="2"/>
      <c r="F752" s="1"/>
      <c r="G752" s="1"/>
      <c r="H752" s="1"/>
      <c r="I752" s="1"/>
      <c r="J752" s="1"/>
      <c r="K752" s="1"/>
      <c r="L752" s="1"/>
      <c r="M752" s="1"/>
    </row>
    <row r="753" spans="1:13" ht="15.75" customHeight="1" x14ac:dyDescent="0.25">
      <c r="A753" s="1"/>
      <c r="B753" s="2"/>
      <c r="C753" s="2"/>
      <c r="D753" s="2"/>
      <c r="E753" s="2"/>
      <c r="F753" s="1"/>
      <c r="G753" s="1"/>
      <c r="H753" s="1"/>
      <c r="I753" s="1"/>
      <c r="J753" s="1"/>
      <c r="K753" s="1"/>
      <c r="L753" s="1"/>
      <c r="M753" s="1"/>
    </row>
    <row r="754" spans="1:13" ht="15.75" customHeight="1" x14ac:dyDescent="0.25">
      <c r="A754" s="1"/>
      <c r="B754" s="2"/>
      <c r="C754" s="2"/>
      <c r="D754" s="2"/>
      <c r="E754" s="2"/>
      <c r="F754" s="1"/>
      <c r="G754" s="1"/>
      <c r="H754" s="1"/>
      <c r="I754" s="1"/>
      <c r="J754" s="1"/>
      <c r="K754" s="1"/>
      <c r="L754" s="1"/>
      <c r="M754" s="1"/>
    </row>
    <row r="755" spans="1:13" ht="15.75" customHeight="1" x14ac:dyDescent="0.25">
      <c r="A755" s="1"/>
      <c r="B755" s="2"/>
      <c r="C755" s="2"/>
      <c r="D755" s="2"/>
      <c r="E755" s="2"/>
      <c r="F755" s="1"/>
      <c r="G755" s="1"/>
      <c r="H755" s="1"/>
      <c r="I755" s="1"/>
      <c r="J755" s="1"/>
      <c r="K755" s="1"/>
      <c r="L755" s="1"/>
      <c r="M755" s="1"/>
    </row>
    <row r="756" spans="1:13" ht="15.75" customHeight="1" x14ac:dyDescent="0.25">
      <c r="A756" s="1"/>
      <c r="B756" s="2"/>
      <c r="C756" s="2"/>
      <c r="D756" s="2"/>
      <c r="E756" s="2"/>
      <c r="F756" s="1"/>
      <c r="G756" s="1"/>
      <c r="H756" s="1"/>
      <c r="I756" s="1"/>
      <c r="J756" s="1"/>
      <c r="K756" s="1"/>
      <c r="L756" s="1"/>
      <c r="M756" s="1"/>
    </row>
    <row r="757" spans="1:13" ht="15.75" customHeight="1" x14ac:dyDescent="0.25">
      <c r="A757" s="1"/>
      <c r="B757" s="2"/>
      <c r="C757" s="2"/>
      <c r="D757" s="2"/>
      <c r="E757" s="2"/>
      <c r="F757" s="1"/>
      <c r="G757" s="1"/>
      <c r="H757" s="1"/>
      <c r="I757" s="1"/>
      <c r="J757" s="1"/>
      <c r="K757" s="1"/>
      <c r="L757" s="1"/>
      <c r="M757" s="1"/>
    </row>
    <row r="758" spans="1:13" ht="15.75" customHeight="1" x14ac:dyDescent="0.25">
      <c r="A758" s="1"/>
      <c r="B758" s="2"/>
      <c r="C758" s="2"/>
      <c r="D758" s="2"/>
      <c r="E758" s="2"/>
      <c r="F758" s="1"/>
      <c r="G758" s="1"/>
      <c r="H758" s="1"/>
      <c r="I758" s="1"/>
      <c r="J758" s="1"/>
      <c r="K758" s="1"/>
      <c r="L758" s="1"/>
      <c r="M758" s="1"/>
    </row>
    <row r="759" spans="1:13" ht="15.75" customHeight="1" x14ac:dyDescent="0.25">
      <c r="A759" s="1"/>
      <c r="B759" s="2"/>
      <c r="C759" s="2"/>
      <c r="D759" s="2"/>
      <c r="E759" s="2"/>
      <c r="F759" s="1"/>
      <c r="G759" s="1"/>
      <c r="H759" s="1"/>
      <c r="I759" s="1"/>
      <c r="J759" s="1"/>
      <c r="K759" s="1"/>
      <c r="L759" s="1"/>
      <c r="M759" s="1"/>
    </row>
    <row r="760" spans="1:13" ht="15.75" customHeight="1" x14ac:dyDescent="0.25">
      <c r="A760" s="1"/>
      <c r="B760" s="2"/>
      <c r="C760" s="2"/>
      <c r="D760" s="2"/>
      <c r="E760" s="2"/>
      <c r="F760" s="1"/>
      <c r="G760" s="1"/>
      <c r="H760" s="1"/>
      <c r="I760" s="1"/>
      <c r="J760" s="1"/>
      <c r="K760" s="1"/>
      <c r="L760" s="1"/>
      <c r="M760" s="1"/>
    </row>
    <row r="761" spans="1:13" ht="15.75" customHeight="1" x14ac:dyDescent="0.25">
      <c r="A761" s="1"/>
      <c r="B761" s="2"/>
      <c r="C761" s="2"/>
      <c r="D761" s="2"/>
      <c r="E761" s="2"/>
      <c r="F761" s="1"/>
      <c r="G761" s="1"/>
      <c r="H761" s="1"/>
      <c r="I761" s="1"/>
      <c r="J761" s="1"/>
      <c r="K761" s="1"/>
      <c r="L761" s="1"/>
      <c r="M761" s="1"/>
    </row>
    <row r="762" spans="1:13" ht="15.75" customHeight="1" x14ac:dyDescent="0.25">
      <c r="A762" s="1"/>
      <c r="B762" s="2"/>
      <c r="C762" s="2"/>
      <c r="D762" s="2"/>
      <c r="E762" s="2"/>
      <c r="F762" s="1"/>
      <c r="G762" s="1"/>
      <c r="H762" s="1"/>
      <c r="I762" s="1"/>
      <c r="J762" s="1"/>
      <c r="K762" s="1"/>
      <c r="L762" s="1"/>
      <c r="M762" s="1"/>
    </row>
    <row r="763" spans="1:13" ht="15.75" customHeight="1" x14ac:dyDescent="0.25">
      <c r="A763" s="1"/>
      <c r="B763" s="2"/>
      <c r="C763" s="2"/>
      <c r="D763" s="2"/>
      <c r="E763" s="2"/>
      <c r="F763" s="1"/>
      <c r="G763" s="1"/>
      <c r="H763" s="1"/>
      <c r="I763" s="1"/>
      <c r="J763" s="1"/>
      <c r="K763" s="1"/>
      <c r="L763" s="1"/>
      <c r="M763" s="1"/>
    </row>
    <row r="764" spans="1:13" ht="15.75" customHeight="1" x14ac:dyDescent="0.25">
      <c r="A764" s="1"/>
      <c r="B764" s="2"/>
      <c r="C764" s="2"/>
      <c r="D764" s="2"/>
      <c r="E764" s="2"/>
      <c r="F764" s="1"/>
      <c r="G764" s="1"/>
      <c r="H764" s="1"/>
      <c r="I764" s="1"/>
      <c r="J764" s="1"/>
      <c r="K764" s="1"/>
      <c r="L764" s="1"/>
      <c r="M764" s="1"/>
    </row>
    <row r="765" spans="1:13" ht="15.75" customHeight="1" x14ac:dyDescent="0.25">
      <c r="A765" s="1"/>
      <c r="B765" s="2"/>
      <c r="C765" s="2"/>
      <c r="D765" s="2"/>
      <c r="E765" s="2"/>
      <c r="F765" s="1"/>
      <c r="G765" s="1"/>
      <c r="H765" s="1"/>
      <c r="I765" s="1"/>
      <c r="J765" s="1"/>
      <c r="K765" s="1"/>
      <c r="L765" s="1"/>
      <c r="M765" s="1"/>
    </row>
    <row r="766" spans="1:13" ht="15.75" customHeight="1" x14ac:dyDescent="0.25">
      <c r="A766" s="1"/>
      <c r="B766" s="2"/>
      <c r="C766" s="2"/>
      <c r="D766" s="2"/>
      <c r="E766" s="2"/>
      <c r="F766" s="1"/>
      <c r="G766" s="1"/>
      <c r="H766" s="1"/>
      <c r="I766" s="1"/>
      <c r="J766" s="1"/>
      <c r="K766" s="1"/>
      <c r="L766" s="1"/>
      <c r="M766" s="1"/>
    </row>
    <row r="767" spans="1:13" ht="15.75" customHeight="1" x14ac:dyDescent="0.25">
      <c r="A767" s="1"/>
      <c r="B767" s="2"/>
      <c r="C767" s="2"/>
      <c r="D767" s="2"/>
      <c r="E767" s="2"/>
      <c r="F767" s="1"/>
      <c r="G767" s="1"/>
      <c r="H767" s="1"/>
      <c r="I767" s="1"/>
      <c r="J767" s="1"/>
      <c r="K767" s="1"/>
      <c r="L767" s="1"/>
      <c r="M767" s="1"/>
    </row>
    <row r="768" spans="1:13" ht="15.75" customHeight="1" x14ac:dyDescent="0.25">
      <c r="A768" s="1"/>
      <c r="B768" s="2"/>
      <c r="C768" s="2"/>
      <c r="D768" s="2"/>
      <c r="E768" s="2"/>
      <c r="F768" s="1"/>
      <c r="G768" s="1"/>
      <c r="H768" s="1"/>
      <c r="I768" s="1"/>
      <c r="J768" s="1"/>
      <c r="K768" s="1"/>
      <c r="L768" s="1"/>
      <c r="M768" s="1"/>
    </row>
    <row r="769" spans="1:13" ht="15.75" customHeight="1" x14ac:dyDescent="0.25">
      <c r="A769" s="1"/>
      <c r="B769" s="2"/>
      <c r="C769" s="2"/>
      <c r="D769" s="2"/>
      <c r="E769" s="2"/>
      <c r="F769" s="1"/>
      <c r="G769" s="1"/>
      <c r="H769" s="1"/>
      <c r="I769" s="1"/>
      <c r="J769" s="1"/>
      <c r="K769" s="1"/>
      <c r="L769" s="1"/>
      <c r="M769" s="1"/>
    </row>
    <row r="770" spans="1:13" ht="15.75" customHeight="1" x14ac:dyDescent="0.25">
      <c r="A770" s="1"/>
      <c r="B770" s="2"/>
      <c r="C770" s="2"/>
      <c r="D770" s="2"/>
      <c r="E770" s="2"/>
      <c r="F770" s="1"/>
      <c r="G770" s="1"/>
      <c r="H770" s="1"/>
      <c r="I770" s="1"/>
      <c r="J770" s="1"/>
      <c r="K770" s="1"/>
      <c r="L770" s="1"/>
      <c r="M770" s="1"/>
    </row>
    <row r="771" spans="1:13" ht="15.75" customHeight="1" x14ac:dyDescent="0.25">
      <c r="A771" s="1"/>
      <c r="B771" s="2"/>
      <c r="C771" s="2"/>
      <c r="D771" s="2"/>
      <c r="E771" s="2"/>
      <c r="F771" s="1"/>
      <c r="G771" s="1"/>
      <c r="H771" s="1"/>
      <c r="I771" s="1"/>
      <c r="J771" s="1"/>
      <c r="K771" s="1"/>
      <c r="L771" s="1"/>
      <c r="M771" s="1"/>
    </row>
    <row r="772" spans="1:13" ht="15.75" customHeight="1" x14ac:dyDescent="0.25">
      <c r="A772" s="1"/>
      <c r="B772" s="2"/>
      <c r="C772" s="2"/>
      <c r="D772" s="2"/>
      <c r="E772" s="2"/>
      <c r="F772" s="1"/>
      <c r="G772" s="1"/>
      <c r="H772" s="1"/>
      <c r="I772" s="1"/>
      <c r="J772" s="1"/>
      <c r="K772" s="1"/>
      <c r="L772" s="1"/>
      <c r="M772" s="1"/>
    </row>
    <row r="773" spans="1:13" ht="15.75" customHeight="1" x14ac:dyDescent="0.25">
      <c r="A773" s="1"/>
      <c r="B773" s="2"/>
      <c r="C773" s="2"/>
      <c r="D773" s="2"/>
      <c r="E773" s="2"/>
      <c r="F773" s="1"/>
      <c r="G773" s="1"/>
      <c r="H773" s="1"/>
      <c r="I773" s="1"/>
      <c r="J773" s="1"/>
      <c r="K773" s="1"/>
      <c r="L773" s="1"/>
      <c r="M773" s="1"/>
    </row>
    <row r="774" spans="1:13" ht="15.75" customHeight="1" x14ac:dyDescent="0.25">
      <c r="A774" s="1"/>
      <c r="B774" s="2"/>
      <c r="C774" s="2"/>
      <c r="D774" s="2"/>
      <c r="E774" s="2"/>
      <c r="F774" s="1"/>
      <c r="G774" s="1"/>
      <c r="H774" s="1"/>
      <c r="I774" s="1"/>
      <c r="J774" s="1"/>
      <c r="K774" s="1"/>
      <c r="L774" s="1"/>
      <c r="M774" s="1"/>
    </row>
    <row r="775" spans="1:13" ht="15.75" customHeight="1" x14ac:dyDescent="0.25">
      <c r="A775" s="1"/>
      <c r="B775" s="2"/>
      <c r="C775" s="2"/>
      <c r="D775" s="2"/>
      <c r="E775" s="2"/>
      <c r="F775" s="1"/>
      <c r="G775" s="1"/>
      <c r="H775" s="1"/>
      <c r="I775" s="1"/>
      <c r="J775" s="1"/>
      <c r="K775" s="1"/>
      <c r="L775" s="1"/>
      <c r="M775" s="1"/>
    </row>
    <row r="776" spans="1:13" ht="15.75" customHeight="1" x14ac:dyDescent="0.25">
      <c r="A776" s="1"/>
      <c r="B776" s="2"/>
      <c r="C776" s="2"/>
      <c r="D776" s="2"/>
      <c r="E776" s="2"/>
      <c r="F776" s="1"/>
      <c r="G776" s="1"/>
      <c r="H776" s="1"/>
      <c r="I776" s="1"/>
      <c r="J776" s="1"/>
      <c r="K776" s="1"/>
      <c r="L776" s="1"/>
      <c r="M776" s="1"/>
    </row>
    <row r="777" spans="1:13" ht="15.75" customHeight="1" x14ac:dyDescent="0.25">
      <c r="A777" s="1"/>
      <c r="B777" s="2"/>
      <c r="C777" s="2"/>
      <c r="D777" s="2"/>
      <c r="E777" s="2"/>
      <c r="F777" s="1"/>
      <c r="G777" s="1"/>
      <c r="H777" s="1"/>
      <c r="I777" s="1"/>
      <c r="J777" s="1"/>
      <c r="K777" s="1"/>
      <c r="L777" s="1"/>
      <c r="M777" s="1"/>
    </row>
    <row r="778" spans="1:13" ht="15.75" customHeight="1" x14ac:dyDescent="0.25">
      <c r="A778" s="1"/>
      <c r="B778" s="2"/>
      <c r="C778" s="2"/>
      <c r="D778" s="2"/>
      <c r="E778" s="2"/>
      <c r="F778" s="1"/>
      <c r="G778" s="1"/>
      <c r="H778" s="1"/>
      <c r="I778" s="1"/>
      <c r="J778" s="1"/>
      <c r="K778" s="1"/>
      <c r="L778" s="1"/>
      <c r="M778" s="1"/>
    </row>
    <row r="779" spans="1:13" ht="15.75" customHeight="1" x14ac:dyDescent="0.25">
      <c r="A779" s="1"/>
      <c r="B779" s="2"/>
      <c r="C779" s="2"/>
      <c r="D779" s="2"/>
      <c r="E779" s="2"/>
      <c r="F779" s="1"/>
      <c r="G779" s="1"/>
      <c r="H779" s="1"/>
      <c r="I779" s="1"/>
      <c r="J779" s="1"/>
      <c r="K779" s="1"/>
      <c r="L779" s="1"/>
      <c r="M779" s="1"/>
    </row>
    <row r="780" spans="1:13" ht="15.75" customHeight="1" x14ac:dyDescent="0.25">
      <c r="A780" s="1"/>
      <c r="B780" s="2"/>
      <c r="C780" s="2"/>
      <c r="D780" s="2"/>
      <c r="E780" s="2"/>
      <c r="F780" s="1"/>
      <c r="G780" s="1"/>
      <c r="H780" s="1"/>
      <c r="I780" s="1"/>
      <c r="J780" s="1"/>
      <c r="K780" s="1"/>
      <c r="L780" s="1"/>
      <c r="M780" s="1"/>
    </row>
    <row r="781" spans="1:13" ht="15.75" customHeight="1" x14ac:dyDescent="0.25">
      <c r="A781" s="1"/>
      <c r="B781" s="2"/>
      <c r="C781" s="2"/>
      <c r="D781" s="2"/>
      <c r="E781" s="2"/>
      <c r="F781" s="1"/>
      <c r="G781" s="1"/>
      <c r="H781" s="1"/>
      <c r="I781" s="1"/>
      <c r="J781" s="1"/>
      <c r="K781" s="1"/>
      <c r="L781" s="1"/>
      <c r="M781" s="1"/>
    </row>
    <row r="782" spans="1:13" ht="15.75" customHeight="1" x14ac:dyDescent="0.25">
      <c r="A782" s="1"/>
      <c r="B782" s="2"/>
      <c r="C782" s="2"/>
      <c r="D782" s="2"/>
      <c r="E782" s="2"/>
      <c r="F782" s="1"/>
      <c r="G782" s="1"/>
      <c r="H782" s="1"/>
      <c r="I782" s="1"/>
      <c r="J782" s="1"/>
      <c r="K782" s="1"/>
      <c r="L782" s="1"/>
      <c r="M782" s="1"/>
    </row>
    <row r="783" spans="1:13" ht="15.75" customHeight="1" x14ac:dyDescent="0.25">
      <c r="A783" s="1"/>
      <c r="B783" s="2"/>
      <c r="C783" s="2"/>
      <c r="D783" s="2"/>
      <c r="E783" s="2"/>
      <c r="F783" s="1"/>
      <c r="G783" s="1"/>
      <c r="H783" s="1"/>
      <c r="I783" s="1"/>
      <c r="J783" s="1"/>
      <c r="K783" s="1"/>
      <c r="L783" s="1"/>
      <c r="M783" s="1"/>
    </row>
    <row r="784" spans="1:13" ht="15.75" customHeight="1" x14ac:dyDescent="0.25">
      <c r="A784" s="1"/>
      <c r="B784" s="2"/>
      <c r="C784" s="2"/>
      <c r="D784" s="2"/>
      <c r="E784" s="2"/>
      <c r="F784" s="1"/>
      <c r="G784" s="1"/>
      <c r="H784" s="1"/>
      <c r="I784" s="1"/>
      <c r="J784" s="1"/>
      <c r="K784" s="1"/>
      <c r="L784" s="1"/>
      <c r="M784" s="1"/>
    </row>
    <row r="785" spans="1:13" ht="15.75" customHeight="1" x14ac:dyDescent="0.25">
      <c r="A785" s="1"/>
      <c r="B785" s="2"/>
      <c r="C785" s="2"/>
      <c r="D785" s="2"/>
      <c r="E785" s="2"/>
      <c r="F785" s="1"/>
      <c r="G785" s="1"/>
      <c r="H785" s="1"/>
      <c r="I785" s="1"/>
      <c r="J785" s="1"/>
      <c r="K785" s="1"/>
      <c r="L785" s="1"/>
      <c r="M785" s="1"/>
    </row>
    <row r="786" spans="1:13" ht="15.75" customHeight="1" x14ac:dyDescent="0.25">
      <c r="A786" s="1"/>
      <c r="B786" s="2"/>
      <c r="C786" s="2"/>
      <c r="D786" s="2"/>
      <c r="E786" s="2"/>
      <c r="F786" s="1"/>
      <c r="G786" s="1"/>
      <c r="H786" s="1"/>
      <c r="I786" s="1"/>
      <c r="J786" s="1"/>
      <c r="K786" s="1"/>
      <c r="L786" s="1"/>
      <c r="M786" s="1"/>
    </row>
    <row r="787" spans="1:13" ht="15.75" customHeight="1" x14ac:dyDescent="0.25">
      <c r="A787" s="1"/>
      <c r="B787" s="2"/>
      <c r="C787" s="2"/>
      <c r="D787" s="2"/>
      <c r="E787" s="2"/>
      <c r="F787" s="1"/>
      <c r="G787" s="1"/>
      <c r="H787" s="1"/>
      <c r="I787" s="1"/>
      <c r="J787" s="1"/>
      <c r="K787" s="1"/>
      <c r="L787" s="1"/>
      <c r="M787" s="1"/>
    </row>
    <row r="788" spans="1:13" ht="15.75" customHeight="1" x14ac:dyDescent="0.25">
      <c r="A788" s="1"/>
      <c r="B788" s="2"/>
      <c r="C788" s="2"/>
      <c r="D788" s="2"/>
      <c r="E788" s="2"/>
      <c r="F788" s="1"/>
      <c r="G788" s="1"/>
      <c r="H788" s="1"/>
      <c r="I788" s="1"/>
      <c r="J788" s="1"/>
      <c r="K788" s="1"/>
      <c r="L788" s="1"/>
      <c r="M788" s="1"/>
    </row>
    <row r="789" spans="1:13" ht="15.75" customHeight="1" x14ac:dyDescent="0.25">
      <c r="A789" s="1"/>
      <c r="B789" s="2"/>
      <c r="C789" s="2"/>
      <c r="D789" s="2"/>
      <c r="E789" s="2"/>
      <c r="F789" s="1"/>
      <c r="G789" s="1"/>
      <c r="H789" s="1"/>
      <c r="I789" s="1"/>
      <c r="J789" s="1"/>
      <c r="K789" s="1"/>
      <c r="L789" s="1"/>
      <c r="M789" s="1"/>
    </row>
    <row r="790" spans="1:13" ht="15.75" customHeight="1" x14ac:dyDescent="0.25">
      <c r="A790" s="1"/>
      <c r="B790" s="2"/>
      <c r="C790" s="2"/>
      <c r="D790" s="2"/>
      <c r="E790" s="2"/>
      <c r="F790" s="1"/>
      <c r="G790" s="1"/>
      <c r="H790" s="1"/>
      <c r="I790" s="1"/>
      <c r="J790" s="1"/>
      <c r="K790" s="1"/>
      <c r="L790" s="1"/>
      <c r="M790" s="1"/>
    </row>
    <row r="791" spans="1:13" ht="15.75" customHeight="1" x14ac:dyDescent="0.25">
      <c r="A791" s="1"/>
      <c r="B791" s="2"/>
      <c r="C791" s="2"/>
      <c r="D791" s="2"/>
      <c r="E791" s="2"/>
      <c r="F791" s="1"/>
      <c r="G791" s="1"/>
      <c r="H791" s="1"/>
      <c r="I791" s="1"/>
      <c r="J791" s="1"/>
      <c r="K791" s="1"/>
      <c r="L791" s="1"/>
      <c r="M791" s="1"/>
    </row>
    <row r="792" spans="1:13" ht="15.75" customHeight="1" x14ac:dyDescent="0.25">
      <c r="A792" s="1"/>
      <c r="B792" s="2"/>
      <c r="C792" s="2"/>
      <c r="D792" s="2"/>
      <c r="E792" s="2"/>
      <c r="F792" s="1"/>
      <c r="G792" s="1"/>
      <c r="H792" s="1"/>
      <c r="I792" s="1"/>
      <c r="J792" s="1"/>
      <c r="K792" s="1"/>
      <c r="L792" s="1"/>
      <c r="M792" s="1"/>
    </row>
    <row r="793" spans="1:13" ht="15.75" customHeight="1" x14ac:dyDescent="0.25">
      <c r="A793" s="1"/>
      <c r="B793" s="2"/>
      <c r="C793" s="2"/>
      <c r="D793" s="2"/>
      <c r="E793" s="2"/>
      <c r="F793" s="1"/>
      <c r="G793" s="1"/>
      <c r="H793" s="1"/>
      <c r="I793" s="1"/>
      <c r="J793" s="1"/>
      <c r="K793" s="1"/>
      <c r="L793" s="1"/>
      <c r="M793" s="1"/>
    </row>
    <row r="794" spans="1:13" ht="15.75" customHeight="1" x14ac:dyDescent="0.25">
      <c r="A794" s="1"/>
      <c r="B794" s="2"/>
      <c r="C794" s="2"/>
      <c r="D794" s="2"/>
      <c r="E794" s="2"/>
      <c r="F794" s="1"/>
      <c r="G794" s="1"/>
      <c r="H794" s="1"/>
      <c r="I794" s="1"/>
      <c r="J794" s="1"/>
      <c r="K794" s="1"/>
      <c r="L794" s="1"/>
      <c r="M794" s="1"/>
    </row>
    <row r="795" spans="1:13" ht="15.75" customHeight="1" x14ac:dyDescent="0.25">
      <c r="A795" s="1"/>
      <c r="B795" s="2"/>
      <c r="C795" s="2"/>
      <c r="D795" s="2"/>
      <c r="E795" s="2"/>
      <c r="F795" s="1"/>
      <c r="G795" s="1"/>
      <c r="H795" s="1"/>
      <c r="I795" s="1"/>
      <c r="J795" s="1"/>
      <c r="K795" s="1"/>
      <c r="L795" s="1"/>
      <c r="M795" s="1"/>
    </row>
    <row r="796" spans="1:13" ht="15.75" customHeight="1" x14ac:dyDescent="0.25">
      <c r="A796" s="1"/>
      <c r="B796" s="2"/>
      <c r="C796" s="2"/>
      <c r="D796" s="2"/>
      <c r="E796" s="2"/>
      <c r="F796" s="1"/>
      <c r="G796" s="1"/>
      <c r="H796" s="1"/>
      <c r="I796" s="1"/>
      <c r="J796" s="1"/>
      <c r="K796" s="1"/>
      <c r="L796" s="1"/>
      <c r="M796" s="1"/>
    </row>
    <row r="797" spans="1:13" ht="15.75" customHeight="1" x14ac:dyDescent="0.25">
      <c r="A797" s="1"/>
      <c r="B797" s="2"/>
      <c r="C797" s="2"/>
      <c r="D797" s="2"/>
      <c r="E797" s="2"/>
      <c r="F797" s="1"/>
      <c r="G797" s="1"/>
      <c r="H797" s="1"/>
      <c r="I797" s="1"/>
      <c r="J797" s="1"/>
      <c r="K797" s="1"/>
      <c r="L797" s="1"/>
      <c r="M797" s="1"/>
    </row>
    <row r="798" spans="1:13" ht="15.75" customHeight="1" x14ac:dyDescent="0.25">
      <c r="A798" s="1"/>
      <c r="B798" s="2"/>
      <c r="C798" s="2"/>
      <c r="D798" s="2"/>
      <c r="E798" s="2"/>
      <c r="F798" s="1"/>
      <c r="G798" s="1"/>
      <c r="H798" s="1"/>
      <c r="I798" s="1"/>
      <c r="J798" s="1"/>
      <c r="K798" s="1"/>
      <c r="L798" s="1"/>
      <c r="M798" s="1"/>
    </row>
    <row r="799" spans="1:13" ht="15.75" customHeight="1" x14ac:dyDescent="0.25">
      <c r="A799" s="1"/>
      <c r="B799" s="2"/>
      <c r="C799" s="2"/>
      <c r="D799" s="2"/>
      <c r="E799" s="2"/>
      <c r="F799" s="1"/>
      <c r="G799" s="1"/>
      <c r="H799" s="1"/>
      <c r="I799" s="1"/>
      <c r="J799" s="1"/>
      <c r="K799" s="1"/>
      <c r="L799" s="1"/>
      <c r="M799" s="1"/>
    </row>
    <row r="800" spans="1:13" ht="15.75" customHeight="1" x14ac:dyDescent="0.25">
      <c r="A800" s="1"/>
      <c r="B800" s="2"/>
      <c r="C800" s="2"/>
      <c r="D800" s="2"/>
      <c r="E800" s="2"/>
      <c r="F800" s="1"/>
      <c r="G800" s="1"/>
      <c r="H800" s="1"/>
      <c r="I800" s="1"/>
      <c r="J800" s="1"/>
      <c r="K800" s="1"/>
      <c r="L800" s="1"/>
      <c r="M800" s="1"/>
    </row>
    <row r="801" spans="1:13" ht="15.75" customHeight="1" x14ac:dyDescent="0.25">
      <c r="A801" s="1"/>
      <c r="B801" s="2"/>
      <c r="C801" s="2"/>
      <c r="D801" s="2"/>
      <c r="E801" s="2"/>
      <c r="F801" s="1"/>
      <c r="G801" s="1"/>
      <c r="H801" s="1"/>
      <c r="I801" s="1"/>
      <c r="J801" s="1"/>
      <c r="K801" s="1"/>
      <c r="L801" s="1"/>
      <c r="M801" s="1"/>
    </row>
    <row r="802" spans="1:13" ht="15.75" customHeight="1" x14ac:dyDescent="0.25">
      <c r="A802" s="1"/>
      <c r="B802" s="2"/>
      <c r="C802" s="2"/>
      <c r="D802" s="2"/>
      <c r="E802" s="2"/>
      <c r="F802" s="1"/>
      <c r="G802" s="1"/>
      <c r="H802" s="1"/>
      <c r="I802" s="1"/>
      <c r="J802" s="1"/>
      <c r="K802" s="1"/>
      <c r="L802" s="1"/>
      <c r="M802" s="1"/>
    </row>
    <row r="803" spans="1:13" ht="15.75" customHeight="1" x14ac:dyDescent="0.25">
      <c r="A803" s="1"/>
      <c r="B803" s="2"/>
      <c r="C803" s="2"/>
      <c r="D803" s="2"/>
      <c r="E803" s="2"/>
      <c r="F803" s="1"/>
      <c r="G803" s="1"/>
      <c r="H803" s="1"/>
      <c r="I803" s="1"/>
      <c r="J803" s="1"/>
      <c r="K803" s="1"/>
      <c r="L803" s="1"/>
      <c r="M803" s="1"/>
    </row>
    <row r="804" spans="1:13" ht="15.75" customHeight="1" x14ac:dyDescent="0.25">
      <c r="A804" s="1"/>
      <c r="B804" s="2"/>
      <c r="C804" s="2"/>
      <c r="D804" s="2"/>
      <c r="E804" s="2"/>
      <c r="F804" s="1"/>
      <c r="G804" s="1"/>
      <c r="H804" s="1"/>
      <c r="I804" s="1"/>
      <c r="J804" s="1"/>
      <c r="K804" s="1"/>
      <c r="L804" s="1"/>
      <c r="M804" s="1"/>
    </row>
    <row r="805" spans="1:13" ht="15.75" customHeight="1" x14ac:dyDescent="0.25">
      <c r="A805" s="1"/>
      <c r="B805" s="2"/>
      <c r="C805" s="2"/>
      <c r="D805" s="2"/>
      <c r="E805" s="2"/>
      <c r="F805" s="1"/>
      <c r="G805" s="1"/>
      <c r="H805" s="1"/>
      <c r="I805" s="1"/>
      <c r="J805" s="1"/>
      <c r="K805" s="1"/>
      <c r="L805" s="1"/>
      <c r="M805" s="1"/>
    </row>
    <row r="806" spans="1:13" ht="15.75" customHeight="1" x14ac:dyDescent="0.25">
      <c r="A806" s="1"/>
      <c r="B806" s="2"/>
      <c r="C806" s="2"/>
      <c r="D806" s="2"/>
      <c r="E806" s="2"/>
      <c r="F806" s="1"/>
      <c r="G806" s="1"/>
      <c r="H806" s="1"/>
      <c r="I806" s="1"/>
      <c r="J806" s="1"/>
      <c r="K806" s="1"/>
      <c r="L806" s="1"/>
      <c r="M806" s="1"/>
    </row>
    <row r="807" spans="1:13" ht="15.75" customHeight="1" x14ac:dyDescent="0.25">
      <c r="A807" s="1"/>
      <c r="B807" s="2"/>
      <c r="C807" s="2"/>
      <c r="D807" s="2"/>
      <c r="E807" s="2"/>
      <c r="F807" s="1"/>
      <c r="G807" s="1"/>
      <c r="H807" s="1"/>
      <c r="I807" s="1"/>
      <c r="J807" s="1"/>
      <c r="K807" s="1"/>
      <c r="L807" s="1"/>
      <c r="M807" s="1"/>
    </row>
    <row r="808" spans="1:13" ht="15.75" customHeight="1" x14ac:dyDescent="0.25">
      <c r="A808" s="1"/>
      <c r="B808" s="2"/>
      <c r="C808" s="2"/>
      <c r="D808" s="2"/>
      <c r="E808" s="2"/>
      <c r="F808" s="1"/>
      <c r="G808" s="1"/>
      <c r="H808" s="1"/>
      <c r="I808" s="1"/>
      <c r="J808" s="1"/>
      <c r="K808" s="1"/>
      <c r="L808" s="1"/>
      <c r="M808" s="1"/>
    </row>
    <row r="809" spans="1:13" ht="15.75" customHeight="1" x14ac:dyDescent="0.25">
      <c r="A809" s="1"/>
      <c r="B809" s="2"/>
      <c r="C809" s="2"/>
      <c r="D809" s="2"/>
      <c r="E809" s="2"/>
      <c r="F809" s="1"/>
      <c r="G809" s="1"/>
      <c r="H809" s="1"/>
      <c r="I809" s="1"/>
      <c r="J809" s="1"/>
      <c r="K809" s="1"/>
      <c r="L809" s="1"/>
      <c r="M809" s="1"/>
    </row>
    <row r="810" spans="1:13" ht="15.75" customHeight="1" x14ac:dyDescent="0.25">
      <c r="A810" s="1"/>
      <c r="B810" s="2"/>
      <c r="C810" s="2"/>
      <c r="D810" s="2"/>
      <c r="E810" s="2"/>
      <c r="F810" s="1"/>
      <c r="G810" s="1"/>
      <c r="H810" s="1"/>
      <c r="I810" s="1"/>
      <c r="J810" s="1"/>
      <c r="K810" s="1"/>
      <c r="L810" s="1"/>
      <c r="M810" s="1"/>
    </row>
    <row r="811" spans="1:13" ht="15.75" customHeight="1" x14ac:dyDescent="0.25">
      <c r="A811" s="1"/>
      <c r="B811" s="2"/>
      <c r="C811" s="2"/>
      <c r="D811" s="2"/>
      <c r="E811" s="2"/>
      <c r="F811" s="1"/>
      <c r="G811" s="1"/>
      <c r="H811" s="1"/>
      <c r="I811" s="1"/>
      <c r="J811" s="1"/>
      <c r="K811" s="1"/>
      <c r="L811" s="1"/>
      <c r="M811" s="1"/>
    </row>
    <row r="812" spans="1:13" ht="15.75" customHeight="1" x14ac:dyDescent="0.25">
      <c r="A812" s="1"/>
      <c r="B812" s="2"/>
      <c r="C812" s="2"/>
      <c r="D812" s="2"/>
      <c r="E812" s="2"/>
      <c r="F812" s="1"/>
      <c r="G812" s="1"/>
      <c r="H812" s="1"/>
      <c r="I812" s="1"/>
      <c r="J812" s="1"/>
      <c r="K812" s="1"/>
      <c r="L812" s="1"/>
      <c r="M812" s="1"/>
    </row>
    <row r="813" spans="1:13" ht="15.75" customHeight="1" x14ac:dyDescent="0.25">
      <c r="A813" s="1"/>
      <c r="B813" s="2"/>
      <c r="C813" s="2"/>
      <c r="D813" s="2"/>
      <c r="E813" s="2"/>
      <c r="F813" s="1"/>
      <c r="G813" s="1"/>
      <c r="H813" s="1"/>
      <c r="I813" s="1"/>
      <c r="J813" s="1"/>
      <c r="K813" s="1"/>
      <c r="L813" s="1"/>
      <c r="M813" s="1"/>
    </row>
    <row r="814" spans="1:13" ht="15.75" customHeight="1" x14ac:dyDescent="0.25">
      <c r="A814" s="1"/>
      <c r="B814" s="2"/>
      <c r="C814" s="2"/>
      <c r="D814" s="2"/>
      <c r="E814" s="2"/>
      <c r="F814" s="1"/>
      <c r="G814" s="1"/>
      <c r="H814" s="1"/>
      <c r="I814" s="1"/>
      <c r="J814" s="1"/>
      <c r="K814" s="1"/>
      <c r="L814" s="1"/>
      <c r="M814" s="1"/>
    </row>
    <row r="815" spans="1:13" ht="15.75" customHeight="1" x14ac:dyDescent="0.25">
      <c r="A815" s="1"/>
      <c r="B815" s="2"/>
      <c r="C815" s="2"/>
      <c r="D815" s="2"/>
      <c r="E815" s="2"/>
      <c r="F815" s="1"/>
      <c r="G815" s="1"/>
      <c r="H815" s="1"/>
      <c r="I815" s="1"/>
      <c r="J815" s="1"/>
      <c r="K815" s="1"/>
      <c r="L815" s="1"/>
      <c r="M815" s="1"/>
    </row>
    <row r="816" spans="1:13" ht="15.75" customHeight="1" x14ac:dyDescent="0.25">
      <c r="A816" s="1"/>
      <c r="B816" s="2"/>
      <c r="C816" s="2"/>
      <c r="D816" s="2"/>
      <c r="E816" s="2"/>
      <c r="F816" s="1"/>
      <c r="G816" s="1"/>
      <c r="H816" s="1"/>
      <c r="I816" s="1"/>
      <c r="J816" s="1"/>
      <c r="K816" s="1"/>
      <c r="L816" s="1"/>
      <c r="M816" s="1"/>
    </row>
    <row r="817" spans="1:13" ht="15.75" customHeight="1" x14ac:dyDescent="0.25">
      <c r="A817" s="1"/>
      <c r="B817" s="2"/>
      <c r="C817" s="2"/>
      <c r="D817" s="2"/>
      <c r="E817" s="2"/>
      <c r="F817" s="1"/>
      <c r="G817" s="1"/>
      <c r="H817" s="1"/>
      <c r="I817" s="1"/>
      <c r="J817" s="1"/>
      <c r="K817" s="1"/>
      <c r="L817" s="1"/>
      <c r="M817" s="1"/>
    </row>
    <row r="818" spans="1:13" ht="15.75" customHeight="1" x14ac:dyDescent="0.25">
      <c r="A818" s="1"/>
      <c r="B818" s="2"/>
      <c r="C818" s="2"/>
      <c r="D818" s="2"/>
      <c r="E818" s="2"/>
      <c r="F818" s="1"/>
      <c r="G818" s="1"/>
      <c r="H818" s="1"/>
      <c r="I818" s="1"/>
      <c r="J818" s="1"/>
      <c r="K818" s="1"/>
      <c r="L818" s="1"/>
      <c r="M818" s="1"/>
    </row>
    <row r="819" spans="1:13" ht="15.75" customHeight="1" x14ac:dyDescent="0.25">
      <c r="A819" s="1"/>
      <c r="B819" s="2"/>
      <c r="C819" s="2"/>
      <c r="D819" s="2"/>
      <c r="E819" s="2"/>
      <c r="F819" s="1"/>
      <c r="G819" s="1"/>
      <c r="H819" s="1"/>
      <c r="I819" s="1"/>
      <c r="J819" s="1"/>
      <c r="K819" s="1"/>
      <c r="L819" s="1"/>
      <c r="M819" s="1"/>
    </row>
    <row r="820" spans="1:13" ht="15.75" customHeight="1" x14ac:dyDescent="0.25">
      <c r="A820" s="1"/>
      <c r="B820" s="2"/>
      <c r="C820" s="2"/>
      <c r="D820" s="2"/>
      <c r="E820" s="2"/>
      <c r="F820" s="1"/>
      <c r="G820" s="1"/>
      <c r="H820" s="1"/>
      <c r="I820" s="1"/>
      <c r="J820" s="1"/>
      <c r="K820" s="1"/>
      <c r="L820" s="1"/>
      <c r="M820" s="1"/>
    </row>
    <row r="821" spans="1:13" ht="15.75" customHeight="1" x14ac:dyDescent="0.25">
      <c r="A821" s="1"/>
      <c r="B821" s="2"/>
      <c r="C821" s="2"/>
      <c r="D821" s="2"/>
      <c r="E821" s="2"/>
      <c r="F821" s="1"/>
      <c r="G821" s="1"/>
      <c r="H821" s="1"/>
      <c r="I821" s="1"/>
      <c r="J821" s="1"/>
      <c r="K821" s="1"/>
      <c r="L821" s="1"/>
      <c r="M821" s="1"/>
    </row>
    <row r="822" spans="1:13" ht="15.75" customHeight="1" x14ac:dyDescent="0.25">
      <c r="A822" s="1"/>
      <c r="B822" s="2"/>
      <c r="C822" s="2"/>
      <c r="D822" s="2"/>
      <c r="E822" s="2"/>
      <c r="F822" s="1"/>
      <c r="G822" s="1"/>
      <c r="H822" s="1"/>
      <c r="I822" s="1"/>
      <c r="J822" s="1"/>
      <c r="K822" s="1"/>
      <c r="L822" s="1"/>
      <c r="M822" s="1"/>
    </row>
    <row r="823" spans="1:13" ht="15.75" customHeight="1" x14ac:dyDescent="0.25">
      <c r="A823" s="1"/>
      <c r="B823" s="2"/>
      <c r="C823" s="2"/>
      <c r="D823" s="2"/>
      <c r="E823" s="2"/>
      <c r="F823" s="1"/>
      <c r="G823" s="1"/>
      <c r="H823" s="1"/>
      <c r="I823" s="1"/>
      <c r="J823" s="1"/>
      <c r="K823" s="1"/>
      <c r="L823" s="1"/>
      <c r="M823" s="1"/>
    </row>
    <row r="824" spans="1:13" ht="15.75" customHeight="1" x14ac:dyDescent="0.25">
      <c r="A824" s="1"/>
      <c r="B824" s="2"/>
      <c r="C824" s="2"/>
      <c r="D824" s="2"/>
      <c r="E824" s="2"/>
      <c r="F824" s="1"/>
      <c r="G824" s="1"/>
      <c r="H824" s="1"/>
      <c r="I824" s="1"/>
      <c r="J824" s="1"/>
      <c r="K824" s="1"/>
      <c r="L824" s="1"/>
      <c r="M824" s="1"/>
    </row>
    <row r="825" spans="1:13" ht="15.75" customHeight="1" x14ac:dyDescent="0.25">
      <c r="A825" s="1"/>
      <c r="B825" s="2"/>
      <c r="C825" s="2"/>
      <c r="D825" s="2"/>
      <c r="E825" s="2"/>
      <c r="F825" s="1"/>
      <c r="G825" s="1"/>
      <c r="H825" s="1"/>
      <c r="I825" s="1"/>
      <c r="J825" s="1"/>
      <c r="K825" s="1"/>
      <c r="L825" s="1"/>
      <c r="M825" s="1"/>
    </row>
    <row r="826" spans="1:13" ht="15.75" customHeight="1" x14ac:dyDescent="0.25">
      <c r="A826" s="1"/>
      <c r="B826" s="2"/>
      <c r="C826" s="2"/>
      <c r="D826" s="2"/>
      <c r="E826" s="2"/>
      <c r="F826" s="1"/>
      <c r="G826" s="1"/>
      <c r="H826" s="1"/>
      <c r="I826" s="1"/>
      <c r="J826" s="1"/>
      <c r="K826" s="1"/>
      <c r="L826" s="1"/>
      <c r="M826" s="1"/>
    </row>
    <row r="827" spans="1:13" ht="15.75" customHeight="1" x14ac:dyDescent="0.25">
      <c r="A827" s="1"/>
      <c r="B827" s="2"/>
      <c r="C827" s="2"/>
      <c r="D827" s="2"/>
      <c r="E827" s="2"/>
      <c r="F827" s="1"/>
      <c r="G827" s="1"/>
      <c r="H827" s="1"/>
      <c r="I827" s="1"/>
      <c r="J827" s="1"/>
      <c r="K827" s="1"/>
      <c r="L827" s="1"/>
      <c r="M827" s="1"/>
    </row>
    <row r="828" spans="1:13" ht="15.75" customHeight="1" x14ac:dyDescent="0.25">
      <c r="A828" s="1"/>
      <c r="B828" s="2"/>
      <c r="C828" s="2"/>
      <c r="D828" s="2"/>
      <c r="E828" s="2"/>
      <c r="F828" s="1"/>
      <c r="G828" s="1"/>
      <c r="H828" s="1"/>
      <c r="I828" s="1"/>
      <c r="J828" s="1"/>
      <c r="K828" s="1"/>
      <c r="L828" s="1"/>
      <c r="M828" s="1"/>
    </row>
    <row r="829" spans="1:13" ht="15.75" customHeight="1" x14ac:dyDescent="0.25">
      <c r="A829" s="1"/>
      <c r="B829" s="2"/>
      <c r="C829" s="2"/>
      <c r="D829" s="2"/>
      <c r="E829" s="2"/>
      <c r="F829" s="1"/>
      <c r="G829" s="1"/>
      <c r="H829" s="1"/>
      <c r="I829" s="1"/>
      <c r="J829" s="1"/>
      <c r="K829" s="1"/>
      <c r="L829" s="1"/>
      <c r="M829" s="1"/>
    </row>
    <row r="830" spans="1:13" ht="15.75" customHeight="1" x14ac:dyDescent="0.25">
      <c r="A830" s="1"/>
      <c r="B830" s="2"/>
      <c r="C830" s="2"/>
      <c r="D830" s="2"/>
      <c r="E830" s="2"/>
      <c r="F830" s="1"/>
      <c r="G830" s="1"/>
      <c r="H830" s="1"/>
      <c r="I830" s="1"/>
      <c r="J830" s="1"/>
      <c r="K830" s="1"/>
      <c r="L830" s="1"/>
      <c r="M830" s="1"/>
    </row>
    <row r="831" spans="1:13" ht="15.75" customHeight="1" x14ac:dyDescent="0.25">
      <c r="A831" s="1"/>
      <c r="B831" s="2"/>
      <c r="C831" s="2"/>
      <c r="D831" s="2"/>
      <c r="E831" s="2"/>
      <c r="F831" s="1"/>
      <c r="G831" s="1"/>
      <c r="H831" s="1"/>
      <c r="I831" s="1"/>
      <c r="J831" s="1"/>
      <c r="K831" s="1"/>
      <c r="L831" s="1"/>
      <c r="M831" s="1"/>
    </row>
    <row r="832" spans="1:13" ht="15.75" customHeight="1" x14ac:dyDescent="0.25">
      <c r="A832" s="1"/>
      <c r="B832" s="2"/>
      <c r="C832" s="2"/>
      <c r="D832" s="2"/>
      <c r="E832" s="2"/>
      <c r="F832" s="1"/>
      <c r="G832" s="1"/>
      <c r="H832" s="1"/>
      <c r="I832" s="1"/>
      <c r="J832" s="1"/>
      <c r="K832" s="1"/>
      <c r="L832" s="1"/>
      <c r="M832" s="1"/>
    </row>
    <row r="833" spans="1:13" ht="15.75" customHeight="1" x14ac:dyDescent="0.25">
      <c r="A833" s="1"/>
      <c r="B833" s="2"/>
      <c r="C833" s="2"/>
      <c r="D833" s="2"/>
      <c r="E833" s="2"/>
      <c r="F833" s="1"/>
      <c r="G833" s="1"/>
      <c r="H833" s="1"/>
      <c r="I833" s="1"/>
      <c r="J833" s="1"/>
      <c r="K833" s="1"/>
      <c r="L833" s="1"/>
      <c r="M833" s="1"/>
    </row>
    <row r="834" spans="1:13" ht="15.75" customHeight="1" x14ac:dyDescent="0.25">
      <c r="A834" s="1"/>
      <c r="B834" s="2"/>
      <c r="C834" s="2"/>
      <c r="D834" s="2"/>
      <c r="E834" s="2"/>
      <c r="F834" s="1"/>
      <c r="G834" s="1"/>
      <c r="H834" s="1"/>
      <c r="I834" s="1"/>
      <c r="J834" s="1"/>
      <c r="K834" s="1"/>
      <c r="L834" s="1"/>
      <c r="M834" s="1"/>
    </row>
    <row r="835" spans="1:13" ht="15.75" customHeight="1" x14ac:dyDescent="0.25">
      <c r="A835" s="1"/>
      <c r="B835" s="2"/>
      <c r="C835" s="2"/>
      <c r="D835" s="2"/>
      <c r="E835" s="2"/>
      <c r="F835" s="1"/>
      <c r="G835" s="1"/>
      <c r="H835" s="1"/>
      <c r="I835" s="1"/>
      <c r="J835" s="1"/>
      <c r="K835" s="1"/>
      <c r="L835" s="1"/>
      <c r="M835" s="1"/>
    </row>
    <row r="836" spans="1:13" ht="15.75" customHeight="1" x14ac:dyDescent="0.25">
      <c r="A836" s="1"/>
      <c r="B836" s="2"/>
      <c r="C836" s="2"/>
      <c r="D836" s="2"/>
      <c r="E836" s="2"/>
      <c r="F836" s="1"/>
      <c r="G836" s="1"/>
      <c r="H836" s="1"/>
      <c r="I836" s="1"/>
      <c r="J836" s="1"/>
      <c r="K836" s="1"/>
      <c r="L836" s="1"/>
      <c r="M836" s="1"/>
    </row>
    <row r="837" spans="1:13" ht="15.75" customHeight="1" x14ac:dyDescent="0.25">
      <c r="A837" s="1"/>
      <c r="B837" s="2"/>
      <c r="C837" s="2"/>
      <c r="D837" s="2"/>
      <c r="E837" s="2"/>
      <c r="F837" s="1"/>
      <c r="G837" s="1"/>
      <c r="H837" s="1"/>
      <c r="I837" s="1"/>
      <c r="J837" s="1"/>
      <c r="K837" s="1"/>
      <c r="L837" s="1"/>
      <c r="M837" s="1"/>
    </row>
    <row r="838" spans="1:13" ht="15.75" customHeight="1" x14ac:dyDescent="0.25">
      <c r="A838" s="1"/>
      <c r="B838" s="2"/>
      <c r="C838" s="2"/>
      <c r="D838" s="2"/>
      <c r="E838" s="2"/>
      <c r="F838" s="1"/>
      <c r="G838" s="1"/>
      <c r="H838" s="1"/>
      <c r="I838" s="1"/>
      <c r="J838" s="1"/>
      <c r="K838" s="1"/>
      <c r="L838" s="1"/>
      <c r="M838" s="1"/>
    </row>
    <row r="839" spans="1:13" ht="15.75" customHeight="1" x14ac:dyDescent="0.25">
      <c r="A839" s="1"/>
      <c r="B839" s="2"/>
      <c r="C839" s="2"/>
      <c r="D839" s="2"/>
      <c r="E839" s="2"/>
      <c r="F839" s="1"/>
      <c r="G839" s="1"/>
      <c r="H839" s="1"/>
      <c r="I839" s="1"/>
      <c r="J839" s="1"/>
      <c r="K839" s="1"/>
      <c r="L839" s="1"/>
      <c r="M839" s="1"/>
    </row>
    <row r="840" spans="1:13" ht="15.75" customHeight="1" x14ac:dyDescent="0.25">
      <c r="A840" s="1"/>
      <c r="B840" s="2"/>
      <c r="C840" s="2"/>
      <c r="D840" s="2"/>
      <c r="E840" s="2"/>
      <c r="F840" s="1"/>
      <c r="G840" s="1"/>
      <c r="H840" s="1"/>
      <c r="I840" s="1"/>
      <c r="J840" s="1"/>
      <c r="K840" s="1"/>
      <c r="L840" s="1"/>
      <c r="M840" s="1"/>
    </row>
    <row r="841" spans="1:13" ht="15.75" customHeight="1" x14ac:dyDescent="0.25">
      <c r="A841" s="1"/>
      <c r="B841" s="2"/>
      <c r="C841" s="2"/>
      <c r="D841" s="2"/>
      <c r="E841" s="2"/>
      <c r="F841" s="1"/>
      <c r="G841" s="1"/>
      <c r="H841" s="1"/>
      <c r="I841" s="1"/>
      <c r="J841" s="1"/>
      <c r="K841" s="1"/>
      <c r="L841" s="1"/>
      <c r="M841" s="1"/>
    </row>
    <row r="842" spans="1:13" ht="15.75" customHeight="1" x14ac:dyDescent="0.25">
      <c r="A842" s="1"/>
      <c r="B842" s="2"/>
      <c r="C842" s="2"/>
      <c r="D842" s="2"/>
      <c r="E842" s="2"/>
      <c r="F842" s="1"/>
      <c r="G842" s="1"/>
      <c r="H842" s="1"/>
      <c r="I842" s="1"/>
      <c r="J842" s="1"/>
      <c r="K842" s="1"/>
      <c r="L842" s="1"/>
      <c r="M842" s="1"/>
    </row>
    <row r="843" spans="1:13" ht="15.75" customHeight="1" x14ac:dyDescent="0.25">
      <c r="A843" s="1"/>
      <c r="B843" s="2"/>
      <c r="C843" s="2"/>
      <c r="D843" s="2"/>
      <c r="E843" s="2"/>
      <c r="F843" s="1"/>
      <c r="G843" s="1"/>
      <c r="H843" s="1"/>
      <c r="I843" s="1"/>
      <c r="J843" s="1"/>
      <c r="K843" s="1"/>
      <c r="L843" s="1"/>
      <c r="M843" s="1"/>
    </row>
    <row r="844" spans="1:13" ht="15.75" customHeight="1" x14ac:dyDescent="0.25">
      <c r="A844" s="1"/>
      <c r="B844" s="2"/>
      <c r="C844" s="2"/>
      <c r="D844" s="2"/>
      <c r="E844" s="2"/>
      <c r="F844" s="1"/>
      <c r="G844" s="1"/>
      <c r="H844" s="1"/>
      <c r="I844" s="1"/>
      <c r="J844" s="1"/>
      <c r="K844" s="1"/>
      <c r="L844" s="1"/>
      <c r="M844" s="1"/>
    </row>
    <row r="845" spans="1:13" ht="15.75" customHeight="1" x14ac:dyDescent="0.25">
      <c r="A845" s="1"/>
      <c r="B845" s="2"/>
      <c r="C845" s="2"/>
      <c r="D845" s="2"/>
      <c r="E845" s="2"/>
      <c r="F845" s="1"/>
      <c r="G845" s="1"/>
      <c r="H845" s="1"/>
      <c r="I845" s="1"/>
      <c r="J845" s="1"/>
      <c r="K845" s="1"/>
      <c r="L845" s="1"/>
      <c r="M845" s="1"/>
    </row>
    <row r="846" spans="1:13" ht="15.75" customHeight="1" x14ac:dyDescent="0.25">
      <c r="A846" s="1"/>
      <c r="B846" s="2"/>
      <c r="C846" s="2"/>
      <c r="D846" s="2"/>
      <c r="E846" s="2"/>
      <c r="F846" s="1"/>
      <c r="G846" s="1"/>
      <c r="H846" s="1"/>
      <c r="I846" s="1"/>
      <c r="J846" s="1"/>
      <c r="K846" s="1"/>
      <c r="L846" s="1"/>
      <c r="M846" s="1"/>
    </row>
    <row r="847" spans="1:13" ht="15.75" customHeight="1" x14ac:dyDescent="0.25">
      <c r="A847" s="1"/>
      <c r="B847" s="2"/>
      <c r="C847" s="2"/>
      <c r="D847" s="2"/>
      <c r="E847" s="2"/>
      <c r="F847" s="1"/>
      <c r="G847" s="1"/>
      <c r="H847" s="1"/>
      <c r="I847" s="1"/>
      <c r="J847" s="1"/>
      <c r="K847" s="1"/>
      <c r="L847" s="1"/>
      <c r="M847" s="1"/>
    </row>
    <row r="848" spans="1:13" ht="15.75" customHeight="1" x14ac:dyDescent="0.25">
      <c r="A848" s="1"/>
      <c r="B848" s="2"/>
      <c r="C848" s="2"/>
      <c r="D848" s="2"/>
      <c r="E848" s="2"/>
      <c r="F848" s="1"/>
      <c r="G848" s="1"/>
      <c r="H848" s="1"/>
      <c r="I848" s="1"/>
      <c r="J848" s="1"/>
      <c r="K848" s="1"/>
      <c r="L848" s="1"/>
      <c r="M848" s="1"/>
    </row>
    <row r="849" spans="1:13" ht="15.75" customHeight="1" x14ac:dyDescent="0.25">
      <c r="A849" s="1"/>
      <c r="B849" s="2"/>
      <c r="C849" s="2"/>
      <c r="D849" s="2"/>
      <c r="E849" s="2"/>
      <c r="F849" s="1"/>
      <c r="G849" s="1"/>
      <c r="H849" s="1"/>
      <c r="I849" s="1"/>
      <c r="J849" s="1"/>
      <c r="K849" s="1"/>
      <c r="L849" s="1"/>
      <c r="M849" s="1"/>
    </row>
    <row r="850" spans="1:13" ht="15.75" customHeight="1" x14ac:dyDescent="0.25">
      <c r="A850" s="1"/>
      <c r="B850" s="2"/>
      <c r="C850" s="2"/>
      <c r="D850" s="2"/>
      <c r="E850" s="2"/>
      <c r="F850" s="1"/>
      <c r="G850" s="1"/>
      <c r="H850" s="1"/>
      <c r="I850" s="1"/>
      <c r="J850" s="1"/>
      <c r="K850" s="1"/>
      <c r="L850" s="1"/>
      <c r="M850" s="1"/>
    </row>
    <row r="851" spans="1:13" ht="15.75" customHeight="1" x14ac:dyDescent="0.25">
      <c r="A851" s="1"/>
      <c r="B851" s="2"/>
      <c r="C851" s="2"/>
      <c r="D851" s="2"/>
      <c r="E851" s="2"/>
      <c r="F851" s="1"/>
      <c r="G851" s="1"/>
      <c r="H851" s="1"/>
      <c r="I851" s="1"/>
      <c r="J851" s="1"/>
      <c r="K851" s="1"/>
      <c r="L851" s="1"/>
      <c r="M851" s="1"/>
    </row>
    <row r="852" spans="1:13" ht="15.75" customHeight="1" x14ac:dyDescent="0.25">
      <c r="A852" s="1"/>
      <c r="B852" s="2"/>
      <c r="C852" s="2"/>
      <c r="D852" s="2"/>
      <c r="E852" s="2"/>
      <c r="F852" s="1"/>
      <c r="G852" s="1"/>
      <c r="H852" s="1"/>
      <c r="I852" s="1"/>
      <c r="J852" s="1"/>
      <c r="K852" s="1"/>
      <c r="L852" s="1"/>
      <c r="M852" s="1"/>
    </row>
    <row r="853" spans="1:13" ht="15.75" customHeight="1" x14ac:dyDescent="0.25">
      <c r="A853" s="1"/>
      <c r="B853" s="2"/>
      <c r="C853" s="2"/>
      <c r="D853" s="2"/>
      <c r="E853" s="2"/>
      <c r="F853" s="1"/>
      <c r="G853" s="1"/>
      <c r="H853" s="1"/>
      <c r="I853" s="1"/>
      <c r="J853" s="1"/>
      <c r="K853" s="1"/>
      <c r="L853" s="1"/>
      <c r="M853" s="1"/>
    </row>
    <row r="854" spans="1:13" ht="15.75" customHeight="1" x14ac:dyDescent="0.25">
      <c r="A854" s="1"/>
      <c r="B854" s="2"/>
      <c r="C854" s="2"/>
      <c r="D854" s="2"/>
      <c r="E854" s="2"/>
      <c r="F854" s="1"/>
      <c r="G854" s="1"/>
      <c r="H854" s="1"/>
      <c r="I854" s="1"/>
      <c r="J854" s="1"/>
      <c r="K854" s="1"/>
      <c r="L854" s="1"/>
      <c r="M854" s="1"/>
    </row>
    <row r="855" spans="1:13" ht="15.75" customHeight="1" x14ac:dyDescent="0.25">
      <c r="A855" s="1"/>
      <c r="B855" s="2"/>
      <c r="C855" s="2"/>
      <c r="D855" s="2"/>
      <c r="E855" s="2"/>
      <c r="F855" s="1"/>
      <c r="G855" s="1"/>
      <c r="H855" s="1"/>
      <c r="I855" s="1"/>
      <c r="J855" s="1"/>
      <c r="K855" s="1"/>
      <c r="L855" s="1"/>
      <c r="M855" s="1"/>
    </row>
    <row r="856" spans="1:13" ht="15.75" customHeight="1" x14ac:dyDescent="0.25">
      <c r="A856" s="1"/>
      <c r="B856" s="2"/>
      <c r="C856" s="2"/>
      <c r="D856" s="2"/>
      <c r="E856" s="2"/>
      <c r="F856" s="1"/>
      <c r="G856" s="1"/>
      <c r="H856" s="1"/>
      <c r="I856" s="1"/>
      <c r="J856" s="1"/>
      <c r="K856" s="1"/>
      <c r="L856" s="1"/>
      <c r="M856" s="1"/>
    </row>
    <row r="857" spans="1:13" ht="15.75" customHeight="1" x14ac:dyDescent="0.25">
      <c r="A857" s="1"/>
      <c r="B857" s="2"/>
      <c r="C857" s="2"/>
      <c r="D857" s="2"/>
      <c r="E857" s="2"/>
      <c r="F857" s="1"/>
      <c r="G857" s="1"/>
      <c r="H857" s="1"/>
      <c r="I857" s="1"/>
      <c r="J857" s="1"/>
      <c r="K857" s="1"/>
      <c r="L857" s="1"/>
      <c r="M857" s="1"/>
    </row>
    <row r="858" spans="1:13" ht="15.75" customHeight="1" x14ac:dyDescent="0.25">
      <c r="A858" s="1"/>
      <c r="B858" s="2"/>
      <c r="C858" s="2"/>
      <c r="D858" s="2"/>
      <c r="E858" s="2"/>
      <c r="F858" s="1"/>
      <c r="G858" s="1"/>
      <c r="H858" s="1"/>
      <c r="I858" s="1"/>
      <c r="J858" s="1"/>
      <c r="K858" s="1"/>
      <c r="L858" s="1"/>
      <c r="M858" s="1"/>
    </row>
    <row r="859" spans="1:13" ht="15.75" customHeight="1" x14ac:dyDescent="0.25">
      <c r="A859" s="1"/>
      <c r="B859" s="2"/>
      <c r="C859" s="2"/>
      <c r="D859" s="2"/>
      <c r="E859" s="2"/>
      <c r="F859" s="1"/>
      <c r="G859" s="1"/>
      <c r="H859" s="1"/>
      <c r="I859" s="1"/>
      <c r="J859" s="1"/>
      <c r="K859" s="1"/>
      <c r="L859" s="1"/>
      <c r="M859" s="1"/>
    </row>
    <row r="860" spans="1:13" ht="15.75" customHeight="1" x14ac:dyDescent="0.25">
      <c r="A860" s="1"/>
      <c r="B860" s="2"/>
      <c r="C860" s="2"/>
      <c r="D860" s="2"/>
      <c r="E860" s="2"/>
      <c r="F860" s="1"/>
      <c r="G860" s="1"/>
      <c r="H860" s="1"/>
      <c r="I860" s="1"/>
      <c r="J860" s="1"/>
      <c r="K860" s="1"/>
      <c r="L860" s="1"/>
      <c r="M860" s="1"/>
    </row>
    <row r="861" spans="1:13" ht="15.75" customHeight="1" x14ac:dyDescent="0.25">
      <c r="A861" s="1"/>
      <c r="B861" s="2"/>
      <c r="C861" s="2"/>
      <c r="D861" s="2"/>
      <c r="E861" s="2"/>
      <c r="F861" s="1"/>
      <c r="G861" s="1"/>
      <c r="H861" s="1"/>
      <c r="I861" s="1"/>
      <c r="J861" s="1"/>
      <c r="K861" s="1"/>
      <c r="L861" s="1"/>
      <c r="M861" s="1"/>
    </row>
    <row r="862" spans="1:13" ht="15.75" customHeight="1" x14ac:dyDescent="0.25">
      <c r="A862" s="1"/>
      <c r="B862" s="2"/>
      <c r="C862" s="2"/>
      <c r="D862" s="2"/>
      <c r="E862" s="2"/>
      <c r="F862" s="1"/>
      <c r="G862" s="1"/>
      <c r="H862" s="1"/>
      <c r="I862" s="1"/>
      <c r="J862" s="1"/>
      <c r="K862" s="1"/>
      <c r="L862" s="1"/>
      <c r="M862" s="1"/>
    </row>
    <row r="863" spans="1:13" ht="15.75" customHeight="1" x14ac:dyDescent="0.25">
      <c r="A863" s="1"/>
      <c r="B863" s="2"/>
      <c r="C863" s="2"/>
      <c r="D863" s="2"/>
      <c r="E863" s="2"/>
      <c r="F863" s="1"/>
      <c r="G863" s="1"/>
      <c r="H863" s="1"/>
      <c r="I863" s="1"/>
      <c r="J863" s="1"/>
      <c r="K863" s="1"/>
      <c r="L863" s="1"/>
      <c r="M863" s="1"/>
    </row>
    <row r="864" spans="1:13" ht="15.75" customHeight="1" x14ac:dyDescent="0.25">
      <c r="A864" s="1"/>
      <c r="B864" s="2"/>
      <c r="C864" s="2"/>
      <c r="D864" s="2"/>
      <c r="E864" s="2"/>
      <c r="F864" s="1"/>
      <c r="G864" s="1"/>
      <c r="H864" s="1"/>
      <c r="I864" s="1"/>
      <c r="J864" s="1"/>
      <c r="K864" s="1"/>
      <c r="L864" s="1"/>
      <c r="M864" s="1"/>
    </row>
    <row r="865" spans="1:13" ht="15.75" customHeight="1" x14ac:dyDescent="0.25">
      <c r="A865" s="1"/>
      <c r="B865" s="2"/>
      <c r="C865" s="2"/>
      <c r="D865" s="2"/>
      <c r="E865" s="2"/>
      <c r="F865" s="1"/>
      <c r="G865" s="1"/>
      <c r="H865" s="1"/>
      <c r="I865" s="1"/>
      <c r="J865" s="1"/>
      <c r="K865" s="1"/>
      <c r="L865" s="1"/>
      <c r="M865" s="1"/>
    </row>
    <row r="866" spans="1:13" ht="15.75" customHeight="1" x14ac:dyDescent="0.25">
      <c r="A866" s="1"/>
      <c r="B866" s="2"/>
      <c r="C866" s="2"/>
      <c r="D866" s="2"/>
      <c r="E866" s="2"/>
      <c r="F866" s="1"/>
      <c r="G866" s="1"/>
      <c r="H866" s="1"/>
      <c r="I866" s="1"/>
      <c r="J866" s="1"/>
      <c r="K866" s="1"/>
      <c r="L866" s="1"/>
      <c r="M866" s="1"/>
    </row>
    <row r="867" spans="1:13" ht="15.75" customHeight="1" x14ac:dyDescent="0.25">
      <c r="A867" s="1"/>
      <c r="B867" s="2"/>
      <c r="C867" s="2"/>
      <c r="D867" s="2"/>
      <c r="E867" s="2"/>
      <c r="F867" s="1"/>
      <c r="G867" s="1"/>
      <c r="H867" s="1"/>
      <c r="I867" s="1"/>
      <c r="J867" s="1"/>
      <c r="K867" s="1"/>
      <c r="L867" s="1"/>
      <c r="M867" s="1"/>
    </row>
    <row r="868" spans="1:13" ht="15.75" customHeight="1" x14ac:dyDescent="0.25">
      <c r="A868" s="1"/>
      <c r="B868" s="2"/>
      <c r="C868" s="2"/>
      <c r="D868" s="2"/>
      <c r="E868" s="2"/>
      <c r="F868" s="1"/>
      <c r="G868" s="1"/>
      <c r="H868" s="1"/>
      <c r="I868" s="1"/>
      <c r="J868" s="1"/>
      <c r="K868" s="1"/>
      <c r="L868" s="1"/>
      <c r="M868" s="1"/>
    </row>
    <row r="869" spans="1:13" ht="15.75" customHeight="1" x14ac:dyDescent="0.25">
      <c r="A869" s="1"/>
      <c r="B869" s="2"/>
      <c r="C869" s="2"/>
      <c r="D869" s="2"/>
      <c r="E869" s="2"/>
      <c r="F869" s="1"/>
      <c r="G869" s="1"/>
      <c r="H869" s="1"/>
      <c r="I869" s="1"/>
      <c r="J869" s="1"/>
      <c r="K869" s="1"/>
      <c r="L869" s="1"/>
      <c r="M869" s="1"/>
    </row>
    <row r="870" spans="1:13" ht="15.75" customHeight="1" x14ac:dyDescent="0.25">
      <c r="A870" s="1"/>
      <c r="B870" s="2"/>
      <c r="C870" s="2"/>
      <c r="D870" s="2"/>
      <c r="E870" s="2"/>
      <c r="F870" s="1"/>
      <c r="G870" s="1"/>
      <c r="H870" s="1"/>
      <c r="I870" s="1"/>
      <c r="J870" s="1"/>
      <c r="K870" s="1"/>
      <c r="L870" s="1"/>
      <c r="M870" s="1"/>
    </row>
    <row r="871" spans="1:13" ht="15.75" customHeight="1" x14ac:dyDescent="0.25">
      <c r="A871" s="1"/>
      <c r="B871" s="2"/>
      <c r="C871" s="2"/>
      <c r="D871" s="2"/>
      <c r="E871" s="2"/>
      <c r="F871" s="1"/>
      <c r="G871" s="1"/>
      <c r="H871" s="1"/>
      <c r="I871" s="1"/>
      <c r="J871" s="1"/>
      <c r="K871" s="1"/>
      <c r="L871" s="1"/>
      <c r="M871" s="1"/>
    </row>
    <row r="872" spans="1:13" ht="15.75" customHeight="1" x14ac:dyDescent="0.25">
      <c r="A872" s="1"/>
      <c r="B872" s="2"/>
      <c r="C872" s="2"/>
      <c r="D872" s="2"/>
      <c r="E872" s="2"/>
      <c r="F872" s="1"/>
      <c r="G872" s="1"/>
      <c r="H872" s="1"/>
      <c r="I872" s="1"/>
      <c r="J872" s="1"/>
      <c r="K872" s="1"/>
      <c r="L872" s="1"/>
      <c r="M872" s="1"/>
    </row>
    <row r="873" spans="1:13" ht="15.75" customHeight="1" x14ac:dyDescent="0.25">
      <c r="A873" s="1"/>
      <c r="B873" s="2"/>
      <c r="C873" s="2"/>
      <c r="D873" s="2"/>
      <c r="E873" s="2"/>
      <c r="F873" s="1"/>
      <c r="G873" s="1"/>
      <c r="H873" s="1"/>
      <c r="I873" s="1"/>
      <c r="J873" s="1"/>
      <c r="K873" s="1"/>
      <c r="L873" s="1"/>
      <c r="M873" s="1"/>
    </row>
    <row r="874" spans="1:13" ht="15.75" customHeight="1" x14ac:dyDescent="0.25">
      <c r="A874" s="1"/>
      <c r="B874" s="2"/>
      <c r="C874" s="2"/>
      <c r="D874" s="2"/>
      <c r="E874" s="2"/>
      <c r="F874" s="1"/>
      <c r="G874" s="1"/>
      <c r="H874" s="1"/>
      <c r="I874" s="1"/>
      <c r="J874" s="1"/>
      <c r="K874" s="1"/>
      <c r="L874" s="1"/>
      <c r="M874" s="1"/>
    </row>
    <row r="875" spans="1:13" ht="15.75" customHeight="1" x14ac:dyDescent="0.25">
      <c r="A875" s="1"/>
      <c r="B875" s="2"/>
      <c r="C875" s="2"/>
      <c r="D875" s="2"/>
      <c r="E875" s="2"/>
      <c r="F875" s="1"/>
      <c r="G875" s="1"/>
      <c r="H875" s="1"/>
      <c r="I875" s="1"/>
      <c r="J875" s="1"/>
      <c r="K875" s="1"/>
      <c r="L875" s="1"/>
      <c r="M875" s="1"/>
    </row>
    <row r="876" spans="1:13" ht="15.75" customHeight="1" x14ac:dyDescent="0.25">
      <c r="A876" s="1"/>
      <c r="B876" s="2"/>
      <c r="C876" s="2"/>
      <c r="D876" s="2"/>
      <c r="E876" s="2"/>
      <c r="F876" s="1"/>
      <c r="G876" s="1"/>
      <c r="H876" s="1"/>
      <c r="I876" s="1"/>
      <c r="J876" s="1"/>
      <c r="K876" s="1"/>
      <c r="L876" s="1"/>
      <c r="M876" s="1"/>
    </row>
    <row r="877" spans="1:13" ht="15.75" customHeight="1" x14ac:dyDescent="0.25">
      <c r="A877" s="1"/>
      <c r="B877" s="2"/>
      <c r="C877" s="2"/>
      <c r="D877" s="2"/>
      <c r="E877" s="2"/>
      <c r="F877" s="1"/>
      <c r="G877" s="1"/>
      <c r="H877" s="1"/>
      <c r="I877" s="1"/>
      <c r="J877" s="1"/>
      <c r="K877" s="1"/>
      <c r="L877" s="1"/>
      <c r="M877" s="1"/>
    </row>
    <row r="878" spans="1:13" ht="15.75" customHeight="1" x14ac:dyDescent="0.25">
      <c r="A878" s="1"/>
      <c r="B878" s="2"/>
      <c r="C878" s="2"/>
      <c r="D878" s="2"/>
      <c r="E878" s="2"/>
      <c r="F878" s="1"/>
      <c r="G878" s="1"/>
      <c r="H878" s="1"/>
      <c r="I878" s="1"/>
      <c r="J878" s="1"/>
      <c r="K878" s="1"/>
      <c r="L878" s="1"/>
      <c r="M878" s="1"/>
    </row>
    <row r="879" spans="1:13" ht="15.75" customHeight="1" x14ac:dyDescent="0.25">
      <c r="A879" s="1"/>
      <c r="B879" s="2"/>
      <c r="C879" s="2"/>
      <c r="D879" s="2"/>
      <c r="E879" s="2"/>
      <c r="F879" s="1"/>
      <c r="G879" s="1"/>
      <c r="H879" s="1"/>
      <c r="I879" s="1"/>
      <c r="J879" s="1"/>
      <c r="K879" s="1"/>
      <c r="L879" s="1"/>
      <c r="M879" s="1"/>
    </row>
    <row r="880" spans="1:13" ht="15.75" customHeight="1" x14ac:dyDescent="0.25">
      <c r="A880" s="1"/>
      <c r="B880" s="2"/>
      <c r="C880" s="2"/>
      <c r="D880" s="2"/>
      <c r="E880" s="2"/>
      <c r="F880" s="1"/>
      <c r="G880" s="1"/>
      <c r="H880" s="1"/>
      <c r="I880" s="1"/>
      <c r="J880" s="1"/>
      <c r="K880" s="1"/>
      <c r="L880" s="1"/>
      <c r="M880" s="1"/>
    </row>
    <row r="881" spans="1:13" ht="15.75" customHeight="1" x14ac:dyDescent="0.25">
      <c r="A881" s="1"/>
      <c r="B881" s="2"/>
      <c r="C881" s="2"/>
      <c r="D881" s="2"/>
      <c r="E881" s="2"/>
      <c r="F881" s="1"/>
      <c r="G881" s="1"/>
      <c r="H881" s="1"/>
      <c r="I881" s="1"/>
      <c r="J881" s="1"/>
      <c r="K881" s="1"/>
      <c r="L881" s="1"/>
      <c r="M881" s="1"/>
    </row>
    <row r="882" spans="1:13" ht="15.75" customHeight="1" x14ac:dyDescent="0.25">
      <c r="A882" s="1"/>
      <c r="B882" s="2"/>
      <c r="C882" s="2"/>
      <c r="D882" s="2"/>
      <c r="E882" s="2"/>
      <c r="F882" s="1"/>
      <c r="G882" s="1"/>
      <c r="H882" s="1"/>
      <c r="I882" s="1"/>
      <c r="J882" s="1"/>
      <c r="K882" s="1"/>
      <c r="L882" s="1"/>
      <c r="M882" s="1"/>
    </row>
    <row r="883" spans="1:13" ht="15.75" customHeight="1" x14ac:dyDescent="0.25">
      <c r="A883" s="1"/>
      <c r="B883" s="2"/>
      <c r="C883" s="2"/>
      <c r="D883" s="2"/>
      <c r="E883" s="2"/>
      <c r="F883" s="1"/>
      <c r="G883" s="1"/>
      <c r="H883" s="1"/>
      <c r="I883" s="1"/>
      <c r="J883" s="1"/>
      <c r="K883" s="1"/>
      <c r="L883" s="1"/>
      <c r="M883" s="1"/>
    </row>
    <row r="884" spans="1:13" ht="15.75" customHeight="1" x14ac:dyDescent="0.25">
      <c r="A884" s="1"/>
      <c r="B884" s="2"/>
      <c r="C884" s="2"/>
      <c r="D884" s="2"/>
      <c r="E884" s="2"/>
      <c r="F884" s="1"/>
      <c r="G884" s="1"/>
      <c r="H884" s="1"/>
      <c r="I884" s="1"/>
      <c r="J884" s="1"/>
      <c r="K884" s="1"/>
      <c r="L884" s="1"/>
      <c r="M884" s="1"/>
    </row>
    <row r="885" spans="1:13" ht="15.75" customHeight="1" x14ac:dyDescent="0.25">
      <c r="A885" s="1"/>
      <c r="B885" s="2"/>
      <c r="C885" s="2"/>
      <c r="D885" s="2"/>
      <c r="E885" s="2"/>
      <c r="F885" s="1"/>
      <c r="G885" s="1"/>
      <c r="H885" s="1"/>
      <c r="I885" s="1"/>
      <c r="J885" s="1"/>
      <c r="K885" s="1"/>
      <c r="L885" s="1"/>
      <c r="M885" s="1"/>
    </row>
    <row r="886" spans="1:13" ht="15.75" customHeight="1" x14ac:dyDescent="0.25">
      <c r="A886" s="1"/>
      <c r="B886" s="2"/>
      <c r="C886" s="2"/>
      <c r="D886" s="2"/>
      <c r="E886" s="2"/>
      <c r="F886" s="1"/>
      <c r="G886" s="1"/>
      <c r="H886" s="1"/>
      <c r="I886" s="1"/>
      <c r="J886" s="1"/>
      <c r="K886" s="1"/>
      <c r="L886" s="1"/>
      <c r="M886" s="1"/>
    </row>
    <row r="887" spans="1:13" ht="15.75" customHeight="1" x14ac:dyDescent="0.25">
      <c r="A887" s="1"/>
      <c r="B887" s="2"/>
      <c r="C887" s="2"/>
      <c r="D887" s="2"/>
      <c r="E887" s="2"/>
      <c r="F887" s="1"/>
      <c r="G887" s="1"/>
      <c r="H887" s="1"/>
      <c r="I887" s="1"/>
      <c r="J887" s="1"/>
      <c r="K887" s="1"/>
      <c r="L887" s="1"/>
      <c r="M887" s="1"/>
    </row>
    <row r="888" spans="1:13" ht="15.75" customHeight="1" x14ac:dyDescent="0.25">
      <c r="A888" s="1"/>
      <c r="B888" s="2"/>
      <c r="C888" s="2"/>
      <c r="D888" s="2"/>
      <c r="E888" s="2"/>
      <c r="F888" s="1"/>
      <c r="G888" s="1"/>
      <c r="H888" s="1"/>
      <c r="I888" s="1"/>
      <c r="J888" s="1"/>
      <c r="K888" s="1"/>
      <c r="L888" s="1"/>
      <c r="M888" s="1"/>
    </row>
    <row r="889" spans="1:13" ht="15.75" customHeight="1" x14ac:dyDescent="0.25">
      <c r="A889" s="1"/>
      <c r="B889" s="2"/>
      <c r="C889" s="2"/>
      <c r="D889" s="2"/>
      <c r="E889" s="2"/>
      <c r="F889" s="1"/>
      <c r="G889" s="1"/>
      <c r="H889" s="1"/>
      <c r="I889" s="1"/>
      <c r="J889" s="1"/>
      <c r="K889" s="1"/>
      <c r="L889" s="1"/>
      <c r="M889" s="1"/>
    </row>
    <row r="890" spans="1:13" ht="15.75" customHeight="1" x14ac:dyDescent="0.25">
      <c r="A890" s="1"/>
      <c r="B890" s="2"/>
      <c r="C890" s="2"/>
      <c r="D890" s="2"/>
      <c r="E890" s="2"/>
      <c r="F890" s="1"/>
      <c r="G890" s="1"/>
      <c r="H890" s="1"/>
      <c r="I890" s="1"/>
      <c r="J890" s="1"/>
      <c r="K890" s="1"/>
      <c r="L890" s="1"/>
      <c r="M890" s="1"/>
    </row>
    <row r="891" spans="1:13" ht="15.75" customHeight="1" x14ac:dyDescent="0.25">
      <c r="A891" s="1"/>
      <c r="B891" s="2"/>
      <c r="C891" s="2"/>
      <c r="D891" s="2"/>
      <c r="E891" s="2"/>
      <c r="F891" s="1"/>
      <c r="G891" s="1"/>
      <c r="H891" s="1"/>
      <c r="I891" s="1"/>
      <c r="J891" s="1"/>
      <c r="K891" s="1"/>
      <c r="L891" s="1"/>
      <c r="M891" s="1"/>
    </row>
    <row r="892" spans="1:13" ht="15.75" customHeight="1" x14ac:dyDescent="0.25">
      <c r="A892" s="1"/>
      <c r="B892" s="2"/>
      <c r="C892" s="2"/>
      <c r="D892" s="2"/>
      <c r="E892" s="2"/>
      <c r="F892" s="1"/>
      <c r="G892" s="1"/>
      <c r="H892" s="1"/>
      <c r="I892" s="1"/>
      <c r="J892" s="1"/>
      <c r="K892" s="1"/>
      <c r="L892" s="1"/>
      <c r="M892" s="1"/>
    </row>
    <row r="893" spans="1:13" ht="15.75" customHeight="1" x14ac:dyDescent="0.25">
      <c r="A893" s="1"/>
      <c r="B893" s="2"/>
      <c r="C893" s="2"/>
      <c r="D893" s="2"/>
      <c r="E893" s="2"/>
      <c r="F893" s="1"/>
      <c r="G893" s="1"/>
      <c r="H893" s="1"/>
      <c r="I893" s="1"/>
      <c r="J893" s="1"/>
      <c r="K893" s="1"/>
      <c r="L893" s="1"/>
      <c r="M893" s="1"/>
    </row>
    <row r="894" spans="1:13" ht="15.75" customHeight="1" x14ac:dyDescent="0.25">
      <c r="A894" s="1"/>
      <c r="B894" s="2"/>
      <c r="C894" s="2"/>
      <c r="D894" s="2"/>
      <c r="E894" s="2"/>
      <c r="F894" s="1"/>
      <c r="G894" s="1"/>
      <c r="H894" s="1"/>
      <c r="I894" s="1"/>
      <c r="J894" s="1"/>
      <c r="K894" s="1"/>
      <c r="L894" s="1"/>
      <c r="M894" s="1"/>
    </row>
    <row r="895" spans="1:13" ht="15.75" customHeight="1" x14ac:dyDescent="0.25">
      <c r="A895" s="1"/>
      <c r="B895" s="2"/>
      <c r="C895" s="2"/>
      <c r="D895" s="2"/>
      <c r="E895" s="2"/>
      <c r="F895" s="1"/>
      <c r="G895" s="1"/>
      <c r="H895" s="1"/>
      <c r="I895" s="1"/>
      <c r="J895" s="1"/>
      <c r="K895" s="1"/>
      <c r="L895" s="1"/>
      <c r="M895" s="1"/>
    </row>
    <row r="896" spans="1:13" ht="15.75" customHeight="1" x14ac:dyDescent="0.25">
      <c r="A896" s="1"/>
      <c r="B896" s="2"/>
      <c r="C896" s="2"/>
      <c r="D896" s="2"/>
      <c r="E896" s="2"/>
      <c r="F896" s="1"/>
      <c r="G896" s="1"/>
      <c r="H896" s="1"/>
      <c r="I896" s="1"/>
      <c r="J896" s="1"/>
      <c r="K896" s="1"/>
      <c r="L896" s="1"/>
      <c r="M896" s="1"/>
    </row>
    <row r="897" spans="1:13" ht="15.75" customHeight="1" x14ac:dyDescent="0.25">
      <c r="A897" s="1"/>
      <c r="B897" s="2"/>
      <c r="C897" s="2"/>
      <c r="D897" s="2"/>
      <c r="E897" s="2"/>
      <c r="F897" s="1"/>
      <c r="G897" s="1"/>
      <c r="H897" s="1"/>
      <c r="I897" s="1"/>
      <c r="J897" s="1"/>
      <c r="K897" s="1"/>
      <c r="L897" s="1"/>
      <c r="M897" s="1"/>
    </row>
    <row r="898" spans="1:13" ht="15.75" customHeight="1" x14ac:dyDescent="0.25">
      <c r="A898" s="1"/>
      <c r="B898" s="2"/>
      <c r="C898" s="2"/>
      <c r="D898" s="2"/>
      <c r="E898" s="2"/>
      <c r="F898" s="1"/>
      <c r="G898" s="1"/>
      <c r="H898" s="1"/>
      <c r="I898" s="1"/>
      <c r="J898" s="1"/>
      <c r="K898" s="1"/>
      <c r="L898" s="1"/>
      <c r="M898" s="1"/>
    </row>
    <row r="899" spans="1:13" ht="15.75" customHeight="1" x14ac:dyDescent="0.25">
      <c r="A899" s="1"/>
      <c r="B899" s="2"/>
      <c r="C899" s="2"/>
      <c r="D899" s="2"/>
      <c r="E899" s="2"/>
      <c r="F899" s="1"/>
      <c r="G899" s="1"/>
      <c r="H899" s="1"/>
      <c r="I899" s="1"/>
      <c r="J899" s="1"/>
      <c r="K899" s="1"/>
      <c r="L899" s="1"/>
      <c r="M899" s="1"/>
    </row>
    <row r="900" spans="1:13" ht="15.75" customHeight="1" x14ac:dyDescent="0.25">
      <c r="A900" s="1"/>
      <c r="B900" s="2"/>
      <c r="C900" s="2"/>
      <c r="D900" s="2"/>
      <c r="E900" s="2"/>
      <c r="F900" s="1"/>
      <c r="G900" s="1"/>
      <c r="H900" s="1"/>
      <c r="I900" s="1"/>
      <c r="J900" s="1"/>
      <c r="K900" s="1"/>
      <c r="L900" s="1"/>
      <c r="M900" s="1"/>
    </row>
    <row r="901" spans="1:13" ht="15.75" customHeight="1" x14ac:dyDescent="0.25">
      <c r="A901" s="1"/>
      <c r="B901" s="2"/>
      <c r="C901" s="2"/>
      <c r="D901" s="2"/>
      <c r="E901" s="2"/>
      <c r="F901" s="1"/>
      <c r="G901" s="1"/>
      <c r="H901" s="1"/>
      <c r="I901" s="1"/>
      <c r="J901" s="1"/>
      <c r="K901" s="1"/>
      <c r="L901" s="1"/>
      <c r="M901" s="1"/>
    </row>
    <row r="902" spans="1:13" ht="15.75" customHeight="1" x14ac:dyDescent="0.25">
      <c r="A902" s="1"/>
      <c r="B902" s="2"/>
      <c r="C902" s="2"/>
      <c r="D902" s="2"/>
      <c r="E902" s="2"/>
      <c r="F902" s="1"/>
      <c r="G902" s="1"/>
      <c r="H902" s="1"/>
      <c r="I902" s="1"/>
      <c r="J902" s="1"/>
      <c r="K902" s="1"/>
      <c r="L902" s="1"/>
      <c r="M902" s="1"/>
    </row>
    <row r="903" spans="1:13" ht="15.75" customHeight="1" x14ac:dyDescent="0.25">
      <c r="A903" s="1"/>
      <c r="B903" s="2"/>
      <c r="C903" s="2"/>
      <c r="D903" s="2"/>
      <c r="E903" s="2"/>
      <c r="F903" s="1"/>
      <c r="G903" s="1"/>
      <c r="H903" s="1"/>
      <c r="I903" s="1"/>
      <c r="J903" s="1"/>
      <c r="K903" s="1"/>
      <c r="L903" s="1"/>
      <c r="M903" s="1"/>
    </row>
    <row r="904" spans="1:13" ht="15.75" customHeight="1" x14ac:dyDescent="0.25">
      <c r="A904" s="1"/>
      <c r="B904" s="2"/>
      <c r="C904" s="2"/>
      <c r="D904" s="2"/>
      <c r="E904" s="2"/>
      <c r="F904" s="1"/>
      <c r="G904" s="1"/>
      <c r="H904" s="1"/>
      <c r="I904" s="1"/>
      <c r="J904" s="1"/>
      <c r="K904" s="1"/>
      <c r="L904" s="1"/>
      <c r="M904" s="1"/>
    </row>
    <row r="905" spans="1:13" ht="15.75" customHeight="1" x14ac:dyDescent="0.25">
      <c r="A905" s="1"/>
      <c r="B905" s="2"/>
      <c r="C905" s="2"/>
      <c r="D905" s="2"/>
      <c r="E905" s="2"/>
      <c r="F905" s="1"/>
      <c r="G905" s="1"/>
      <c r="H905" s="1"/>
      <c r="I905" s="1"/>
      <c r="J905" s="1"/>
      <c r="K905" s="1"/>
      <c r="L905" s="1"/>
      <c r="M905" s="1"/>
    </row>
    <row r="906" spans="1:13" ht="15.75" customHeight="1" x14ac:dyDescent="0.25">
      <c r="A906" s="1"/>
      <c r="B906" s="2"/>
      <c r="C906" s="2"/>
      <c r="D906" s="2"/>
      <c r="E906" s="2"/>
      <c r="F906" s="1"/>
      <c r="G906" s="1"/>
      <c r="H906" s="1"/>
      <c r="I906" s="1"/>
      <c r="J906" s="1"/>
      <c r="K906" s="1"/>
      <c r="L906" s="1"/>
      <c r="M906" s="1"/>
    </row>
    <row r="907" spans="1:13" ht="15.75" customHeight="1" x14ac:dyDescent="0.25">
      <c r="A907" s="1"/>
      <c r="B907" s="2"/>
      <c r="C907" s="2"/>
      <c r="D907" s="2"/>
      <c r="E907" s="2"/>
      <c r="F907" s="1"/>
      <c r="G907" s="1"/>
      <c r="H907" s="1"/>
      <c r="I907" s="1"/>
      <c r="J907" s="1"/>
      <c r="K907" s="1"/>
      <c r="L907" s="1"/>
      <c r="M907" s="1"/>
    </row>
    <row r="908" spans="1:13" ht="15.75" customHeight="1" x14ac:dyDescent="0.25">
      <c r="A908" s="1"/>
      <c r="B908" s="2"/>
      <c r="C908" s="2"/>
      <c r="D908" s="2"/>
      <c r="E908" s="2"/>
      <c r="F908" s="1"/>
      <c r="G908" s="1"/>
      <c r="H908" s="1"/>
      <c r="I908" s="1"/>
      <c r="J908" s="1"/>
      <c r="K908" s="1"/>
      <c r="L908" s="1"/>
      <c r="M908" s="1"/>
    </row>
    <row r="909" spans="1:13" ht="15.75" customHeight="1" x14ac:dyDescent="0.25">
      <c r="A909" s="1"/>
      <c r="B909" s="2"/>
      <c r="C909" s="2"/>
      <c r="D909" s="2"/>
      <c r="E909" s="2"/>
      <c r="F909" s="1"/>
      <c r="G909" s="1"/>
      <c r="H909" s="1"/>
      <c r="I909" s="1"/>
      <c r="J909" s="1"/>
      <c r="K909" s="1"/>
      <c r="L909" s="1"/>
      <c r="M909" s="1"/>
    </row>
    <row r="910" spans="1:13" ht="15.75" customHeight="1" x14ac:dyDescent="0.25">
      <c r="A910" s="1"/>
      <c r="B910" s="2"/>
      <c r="C910" s="2"/>
      <c r="D910" s="2"/>
      <c r="E910" s="2"/>
      <c r="F910" s="1"/>
      <c r="G910" s="1"/>
      <c r="H910" s="1"/>
      <c r="I910" s="1"/>
      <c r="J910" s="1"/>
      <c r="K910" s="1"/>
      <c r="L910" s="1"/>
      <c r="M910" s="1"/>
    </row>
    <row r="911" spans="1:13" ht="15.75" customHeight="1" x14ac:dyDescent="0.25">
      <c r="A911" s="1"/>
      <c r="B911" s="2"/>
      <c r="C911" s="2"/>
      <c r="D911" s="2"/>
      <c r="E911" s="2"/>
      <c r="F911" s="1"/>
      <c r="G911" s="1"/>
      <c r="H911" s="1"/>
      <c r="I911" s="1"/>
      <c r="J911" s="1"/>
      <c r="K911" s="1"/>
      <c r="L911" s="1"/>
      <c r="M911" s="1"/>
    </row>
    <row r="912" spans="1:13" ht="15.75" customHeight="1" x14ac:dyDescent="0.25">
      <c r="A912" s="1"/>
      <c r="B912" s="2"/>
      <c r="C912" s="2"/>
      <c r="D912" s="2"/>
      <c r="E912" s="2"/>
      <c r="F912" s="1"/>
      <c r="G912" s="1"/>
      <c r="H912" s="1"/>
      <c r="I912" s="1"/>
      <c r="J912" s="1"/>
      <c r="K912" s="1"/>
      <c r="L912" s="1"/>
      <c r="M912" s="1"/>
    </row>
    <row r="913" spans="1:13" ht="15.75" customHeight="1" x14ac:dyDescent="0.25">
      <c r="A913" s="1"/>
      <c r="B913" s="2"/>
      <c r="C913" s="2"/>
      <c r="D913" s="2"/>
      <c r="E913" s="2"/>
      <c r="F913" s="1"/>
      <c r="G913" s="1"/>
      <c r="H913" s="1"/>
      <c r="I913" s="1"/>
      <c r="J913" s="1"/>
      <c r="K913" s="1"/>
      <c r="L913" s="1"/>
      <c r="M913" s="1"/>
    </row>
    <row r="914" spans="1:13" ht="15.75" customHeight="1" x14ac:dyDescent="0.25">
      <c r="A914" s="1"/>
      <c r="B914" s="2"/>
      <c r="C914" s="2"/>
      <c r="D914" s="2"/>
      <c r="E914" s="2"/>
      <c r="F914" s="1"/>
      <c r="G914" s="1"/>
      <c r="H914" s="1"/>
      <c r="I914" s="1"/>
      <c r="J914" s="1"/>
      <c r="K914" s="1"/>
      <c r="L914" s="1"/>
      <c r="M914" s="1"/>
    </row>
    <row r="915" spans="1:13" ht="15.75" customHeight="1" x14ac:dyDescent="0.25">
      <c r="A915" s="1"/>
      <c r="B915" s="2"/>
      <c r="C915" s="2"/>
      <c r="D915" s="2"/>
      <c r="E915" s="2"/>
      <c r="F915" s="1"/>
      <c r="G915" s="1"/>
      <c r="H915" s="1"/>
      <c r="I915" s="1"/>
      <c r="J915" s="1"/>
      <c r="K915" s="1"/>
      <c r="L915" s="1"/>
      <c r="M915" s="1"/>
    </row>
    <row r="916" spans="1:13" ht="15.75" customHeight="1" x14ac:dyDescent="0.25">
      <c r="A916" s="1"/>
      <c r="B916" s="2"/>
      <c r="C916" s="2"/>
      <c r="D916" s="2"/>
      <c r="E916" s="2"/>
      <c r="F916" s="1"/>
      <c r="G916" s="1"/>
      <c r="H916" s="1"/>
      <c r="I916" s="1"/>
      <c r="J916" s="1"/>
      <c r="K916" s="1"/>
      <c r="L916" s="1"/>
      <c r="M916" s="1"/>
    </row>
    <row r="917" spans="1:13" ht="15.75" customHeight="1" x14ac:dyDescent="0.25">
      <c r="A917" s="1"/>
      <c r="B917" s="2"/>
      <c r="C917" s="2"/>
      <c r="D917" s="2"/>
      <c r="E917" s="2"/>
      <c r="F917" s="1"/>
      <c r="G917" s="1"/>
      <c r="H917" s="1"/>
      <c r="I917" s="1"/>
      <c r="J917" s="1"/>
      <c r="K917" s="1"/>
      <c r="L917" s="1"/>
      <c r="M917" s="1"/>
    </row>
    <row r="918" spans="1:13" ht="15.75" customHeight="1" x14ac:dyDescent="0.25">
      <c r="A918" s="1"/>
      <c r="B918" s="2"/>
      <c r="C918" s="2"/>
      <c r="D918" s="2"/>
      <c r="E918" s="2"/>
      <c r="F918" s="1"/>
      <c r="G918" s="1"/>
      <c r="H918" s="1"/>
      <c r="I918" s="1"/>
      <c r="J918" s="1"/>
      <c r="K918" s="1"/>
      <c r="L918" s="1"/>
      <c r="M918" s="1"/>
    </row>
    <row r="919" spans="1:13" ht="15.75" customHeight="1" x14ac:dyDescent="0.25">
      <c r="A919" s="1"/>
      <c r="B919" s="2"/>
      <c r="C919" s="2"/>
      <c r="D919" s="2"/>
      <c r="E919" s="2"/>
      <c r="F919" s="1"/>
      <c r="G919" s="1"/>
      <c r="H919" s="1"/>
      <c r="I919" s="1"/>
      <c r="J919" s="1"/>
      <c r="K919" s="1"/>
      <c r="L919" s="1"/>
      <c r="M919" s="1"/>
    </row>
    <row r="920" spans="1:13" ht="15.75" customHeight="1" x14ac:dyDescent="0.25">
      <c r="A920" s="1"/>
      <c r="B920" s="2"/>
      <c r="C920" s="2"/>
      <c r="D920" s="2"/>
      <c r="E920" s="2"/>
      <c r="F920" s="1"/>
      <c r="G920" s="1"/>
      <c r="H920" s="1"/>
      <c r="I920" s="1"/>
      <c r="J920" s="1"/>
      <c r="K920" s="1"/>
      <c r="L920" s="1"/>
      <c r="M920" s="1"/>
    </row>
    <row r="921" spans="1:13" ht="15.75" customHeight="1" x14ac:dyDescent="0.25">
      <c r="A921" s="1"/>
      <c r="B921" s="2"/>
      <c r="C921" s="2"/>
      <c r="D921" s="2"/>
      <c r="E921" s="2"/>
      <c r="F921" s="1"/>
      <c r="G921" s="1"/>
      <c r="H921" s="1"/>
      <c r="I921" s="1"/>
      <c r="J921" s="1"/>
      <c r="K921" s="1"/>
      <c r="L921" s="1"/>
      <c r="M921" s="1"/>
    </row>
    <row r="922" spans="1:13" ht="15.75" customHeight="1" x14ac:dyDescent="0.25">
      <c r="A922" s="1"/>
      <c r="B922" s="2"/>
      <c r="C922" s="2"/>
      <c r="D922" s="2"/>
      <c r="E922" s="2"/>
      <c r="F922" s="1"/>
      <c r="G922" s="1"/>
      <c r="H922" s="1"/>
      <c r="I922" s="1"/>
      <c r="J922" s="1"/>
      <c r="K922" s="1"/>
      <c r="L922" s="1"/>
      <c r="M922" s="1"/>
    </row>
    <row r="923" spans="1:13" ht="15.75" customHeight="1" x14ac:dyDescent="0.25">
      <c r="A923" s="1"/>
      <c r="B923" s="2"/>
      <c r="C923" s="2"/>
      <c r="D923" s="2"/>
      <c r="E923" s="2"/>
      <c r="F923" s="1"/>
      <c r="G923" s="1"/>
      <c r="H923" s="1"/>
      <c r="I923" s="1"/>
      <c r="J923" s="1"/>
      <c r="K923" s="1"/>
      <c r="L923" s="1"/>
      <c r="M923" s="1"/>
    </row>
    <row r="924" spans="1:13" ht="15.75" customHeight="1" x14ac:dyDescent="0.25">
      <c r="A924" s="1"/>
      <c r="B924" s="2"/>
      <c r="C924" s="2"/>
      <c r="D924" s="2"/>
      <c r="E924" s="2"/>
      <c r="F924" s="1"/>
      <c r="G924" s="1"/>
      <c r="H924" s="1"/>
      <c r="I924" s="1"/>
      <c r="J924" s="1"/>
      <c r="K924" s="1"/>
      <c r="L924" s="1"/>
      <c r="M924" s="1"/>
    </row>
    <row r="925" spans="1:13" ht="15.75" customHeight="1" x14ac:dyDescent="0.25">
      <c r="A925" s="1"/>
      <c r="B925" s="2"/>
      <c r="C925" s="2"/>
      <c r="D925" s="2"/>
      <c r="E925" s="2"/>
      <c r="F925" s="1"/>
      <c r="G925" s="1"/>
      <c r="H925" s="1"/>
      <c r="I925" s="1"/>
      <c r="J925" s="1"/>
      <c r="K925" s="1"/>
      <c r="L925" s="1"/>
      <c r="M925" s="1"/>
    </row>
    <row r="926" spans="1:13" ht="15.75" customHeight="1" x14ac:dyDescent="0.25">
      <c r="A926" s="1"/>
      <c r="B926" s="2"/>
      <c r="C926" s="2"/>
      <c r="D926" s="2"/>
      <c r="E926" s="2"/>
      <c r="F926" s="1"/>
      <c r="G926" s="1"/>
      <c r="H926" s="1"/>
      <c r="I926" s="1"/>
      <c r="J926" s="1"/>
      <c r="K926" s="1"/>
      <c r="L926" s="1"/>
      <c r="M926" s="1"/>
    </row>
    <row r="927" spans="1:13" ht="15.75" customHeight="1" x14ac:dyDescent="0.25">
      <c r="A927" s="1"/>
      <c r="B927" s="2"/>
      <c r="C927" s="2"/>
      <c r="D927" s="2"/>
      <c r="E927" s="2"/>
      <c r="F927" s="1"/>
      <c r="G927" s="1"/>
      <c r="H927" s="1"/>
      <c r="I927" s="1"/>
      <c r="J927" s="1"/>
      <c r="K927" s="1"/>
      <c r="L927" s="1"/>
      <c r="M927" s="1"/>
    </row>
    <row r="928" spans="1:13" ht="15.75" customHeight="1" x14ac:dyDescent="0.25">
      <c r="A928" s="1"/>
      <c r="B928" s="2"/>
      <c r="C928" s="2"/>
      <c r="D928" s="2"/>
      <c r="E928" s="2"/>
      <c r="F928" s="1"/>
      <c r="G928" s="1"/>
      <c r="H928" s="1"/>
      <c r="I928" s="1"/>
      <c r="J928" s="1"/>
      <c r="K928" s="1"/>
      <c r="L928" s="1"/>
      <c r="M928" s="1"/>
    </row>
    <row r="929" spans="1:13" ht="15.75" customHeight="1" x14ac:dyDescent="0.25">
      <c r="A929" s="1"/>
      <c r="B929" s="2"/>
      <c r="C929" s="2"/>
      <c r="D929" s="2"/>
      <c r="E929" s="2"/>
      <c r="F929" s="1"/>
      <c r="G929" s="1"/>
      <c r="H929" s="1"/>
      <c r="I929" s="1"/>
      <c r="J929" s="1"/>
      <c r="K929" s="1"/>
      <c r="L929" s="1"/>
      <c r="M929" s="1"/>
    </row>
    <row r="930" spans="1:13" ht="15.75" customHeight="1" x14ac:dyDescent="0.25">
      <c r="A930" s="1"/>
      <c r="B930" s="2"/>
      <c r="C930" s="2"/>
      <c r="D930" s="2"/>
      <c r="E930" s="2"/>
      <c r="F930" s="1"/>
      <c r="G930" s="1"/>
      <c r="H930" s="1"/>
      <c r="I930" s="1"/>
      <c r="J930" s="1"/>
      <c r="K930" s="1"/>
      <c r="L930" s="1"/>
      <c r="M930" s="1"/>
    </row>
    <row r="931" spans="1:13" ht="15.75" customHeight="1" x14ac:dyDescent="0.25">
      <c r="A931" s="1"/>
      <c r="B931" s="2"/>
      <c r="C931" s="2"/>
      <c r="D931" s="2"/>
      <c r="E931" s="2"/>
      <c r="F931" s="1"/>
      <c r="G931" s="1"/>
      <c r="H931" s="1"/>
      <c r="I931" s="1"/>
      <c r="J931" s="1"/>
      <c r="K931" s="1"/>
      <c r="L931" s="1"/>
      <c r="M931" s="1"/>
    </row>
    <row r="932" spans="1:13" ht="15.75" customHeight="1" x14ac:dyDescent="0.25">
      <c r="A932" s="1"/>
      <c r="B932" s="2"/>
      <c r="C932" s="2"/>
      <c r="D932" s="2"/>
      <c r="E932" s="2"/>
      <c r="F932" s="1"/>
      <c r="G932" s="1"/>
      <c r="H932" s="1"/>
      <c r="I932" s="1"/>
      <c r="J932" s="1"/>
      <c r="K932" s="1"/>
      <c r="L932" s="1"/>
      <c r="M932" s="1"/>
    </row>
    <row r="933" spans="1:13" ht="15.75" customHeight="1" x14ac:dyDescent="0.25">
      <c r="A933" s="1"/>
      <c r="B933" s="2"/>
      <c r="C933" s="2"/>
      <c r="D933" s="2"/>
      <c r="E933" s="2"/>
      <c r="F933" s="1"/>
      <c r="G933" s="1"/>
      <c r="H933" s="1"/>
      <c r="I933" s="1"/>
      <c r="J933" s="1"/>
      <c r="K933" s="1"/>
      <c r="L933" s="1"/>
      <c r="M933" s="1"/>
    </row>
    <row r="934" spans="1:13" ht="15.75" customHeight="1" x14ac:dyDescent="0.25">
      <c r="A934" s="1"/>
      <c r="B934" s="2"/>
      <c r="C934" s="2"/>
      <c r="D934" s="2"/>
      <c r="E934" s="2"/>
      <c r="F934" s="1"/>
      <c r="G934" s="1"/>
      <c r="H934" s="1"/>
      <c r="I934" s="1"/>
      <c r="J934" s="1"/>
      <c r="K934" s="1"/>
      <c r="L934" s="1"/>
      <c r="M934" s="1"/>
    </row>
    <row r="935" spans="1:13" ht="15.75" customHeight="1" x14ac:dyDescent="0.25">
      <c r="A935" s="1"/>
      <c r="B935" s="2"/>
      <c r="C935" s="2"/>
      <c r="D935" s="2"/>
      <c r="E935" s="2"/>
      <c r="F935" s="1"/>
      <c r="G935" s="1"/>
      <c r="H935" s="1"/>
      <c r="I935" s="1"/>
      <c r="J935" s="1"/>
      <c r="K935" s="1"/>
      <c r="L935" s="1"/>
      <c r="M935" s="1"/>
    </row>
    <row r="936" spans="1:13" ht="15.75" customHeight="1" x14ac:dyDescent="0.25">
      <c r="A936" s="1"/>
      <c r="B936" s="2"/>
      <c r="C936" s="2"/>
      <c r="D936" s="2"/>
      <c r="E936" s="2"/>
      <c r="F936" s="1"/>
      <c r="G936" s="1"/>
      <c r="H936" s="1"/>
      <c r="I936" s="1"/>
      <c r="J936" s="1"/>
      <c r="K936" s="1"/>
      <c r="L936" s="1"/>
      <c r="M936" s="1"/>
    </row>
    <row r="937" spans="1:13" ht="15.75" customHeight="1" x14ac:dyDescent="0.25">
      <c r="A937" s="1"/>
      <c r="B937" s="2"/>
      <c r="C937" s="2"/>
      <c r="D937" s="2"/>
      <c r="E937" s="2"/>
      <c r="F937" s="1"/>
      <c r="G937" s="1"/>
      <c r="H937" s="1"/>
      <c r="I937" s="1"/>
      <c r="J937" s="1"/>
      <c r="K937" s="1"/>
      <c r="L937" s="1"/>
      <c r="M937" s="1"/>
    </row>
    <row r="938" spans="1:13" ht="15.75" customHeight="1" x14ac:dyDescent="0.25">
      <c r="A938" s="1"/>
      <c r="B938" s="2"/>
      <c r="C938" s="2"/>
      <c r="D938" s="2"/>
      <c r="E938" s="2"/>
      <c r="F938" s="1"/>
      <c r="G938" s="1"/>
      <c r="H938" s="1"/>
      <c r="I938" s="1"/>
      <c r="J938" s="1"/>
      <c r="K938" s="1"/>
      <c r="L938" s="1"/>
      <c r="M938" s="1"/>
    </row>
    <row r="939" spans="1:13" ht="15.75" customHeight="1" x14ac:dyDescent="0.25">
      <c r="A939" s="1"/>
      <c r="B939" s="2"/>
      <c r="C939" s="2"/>
      <c r="D939" s="2"/>
      <c r="E939" s="2"/>
      <c r="F939" s="1"/>
      <c r="G939" s="1"/>
      <c r="H939" s="1"/>
      <c r="I939" s="1"/>
      <c r="J939" s="1"/>
      <c r="K939" s="1"/>
      <c r="L939" s="1"/>
      <c r="M939" s="1"/>
    </row>
    <row r="940" spans="1:13" ht="15.75" customHeight="1" x14ac:dyDescent="0.25">
      <c r="A940" s="1"/>
      <c r="B940" s="2"/>
      <c r="C940" s="2"/>
      <c r="D940" s="2"/>
      <c r="E940" s="2"/>
      <c r="F940" s="1"/>
      <c r="G940" s="1"/>
      <c r="H940" s="1"/>
      <c r="I940" s="1"/>
      <c r="J940" s="1"/>
      <c r="K940" s="1"/>
      <c r="L940" s="1"/>
      <c r="M940" s="1"/>
    </row>
    <row r="941" spans="1:13" ht="15.75" customHeight="1" x14ac:dyDescent="0.25">
      <c r="A941" s="1"/>
      <c r="B941" s="2"/>
      <c r="C941" s="2"/>
      <c r="D941" s="2"/>
      <c r="E941" s="2"/>
      <c r="F941" s="1"/>
      <c r="G941" s="1"/>
      <c r="H941" s="1"/>
      <c r="I941" s="1"/>
      <c r="J941" s="1"/>
      <c r="K941" s="1"/>
      <c r="L941" s="1"/>
      <c r="M941" s="1"/>
    </row>
    <row r="942" spans="1:13" ht="15.75" customHeight="1" x14ac:dyDescent="0.25">
      <c r="A942" s="1"/>
      <c r="B942" s="2"/>
      <c r="C942" s="2"/>
      <c r="D942" s="2"/>
      <c r="E942" s="2"/>
      <c r="F942" s="1"/>
      <c r="G942" s="1"/>
      <c r="H942" s="1"/>
      <c r="I942" s="1"/>
      <c r="J942" s="1"/>
      <c r="K942" s="1"/>
      <c r="L942" s="1"/>
      <c r="M942" s="1"/>
    </row>
    <row r="943" spans="1:13" ht="15.75" customHeight="1" x14ac:dyDescent="0.25">
      <c r="A943" s="1"/>
      <c r="B943" s="2"/>
      <c r="C943" s="2"/>
      <c r="D943" s="2"/>
      <c r="E943" s="2"/>
      <c r="F943" s="1"/>
      <c r="G943" s="1"/>
      <c r="H943" s="1"/>
      <c r="I943" s="1"/>
      <c r="J943" s="1"/>
      <c r="K943" s="1"/>
      <c r="L943" s="1"/>
      <c r="M943" s="1"/>
    </row>
    <row r="944" spans="1:13" ht="15.75" customHeight="1" x14ac:dyDescent="0.25">
      <c r="A944" s="1"/>
      <c r="B944" s="2"/>
      <c r="C944" s="2"/>
      <c r="D944" s="2"/>
      <c r="E944" s="2"/>
      <c r="F944" s="1"/>
      <c r="G944" s="1"/>
      <c r="H944" s="1"/>
      <c r="I944" s="1"/>
      <c r="J944" s="1"/>
      <c r="K944" s="1"/>
      <c r="L944" s="1"/>
      <c r="M944" s="1"/>
    </row>
    <row r="945" spans="1:13" ht="15.75" customHeight="1" x14ac:dyDescent="0.25">
      <c r="A945" s="1"/>
      <c r="B945" s="2"/>
      <c r="C945" s="2"/>
      <c r="D945" s="2"/>
      <c r="E945" s="2"/>
      <c r="F945" s="1"/>
      <c r="G945" s="1"/>
      <c r="H945" s="1"/>
      <c r="I945" s="1"/>
      <c r="J945" s="1"/>
      <c r="K945" s="1"/>
      <c r="L945" s="1"/>
      <c r="M945" s="1"/>
    </row>
    <row r="946" spans="1:13" ht="15.75" customHeight="1" x14ac:dyDescent="0.25">
      <c r="A946" s="1"/>
      <c r="B946" s="2"/>
      <c r="C946" s="2"/>
      <c r="D946" s="2"/>
      <c r="E946" s="2"/>
      <c r="F946" s="1"/>
      <c r="G946" s="1"/>
      <c r="H946" s="1"/>
      <c r="I946" s="1"/>
      <c r="J946" s="1"/>
      <c r="K946" s="1"/>
      <c r="L946" s="1"/>
      <c r="M946" s="1"/>
    </row>
    <row r="947" spans="1:13" ht="15.75" customHeight="1" x14ac:dyDescent="0.25">
      <c r="A947" s="1"/>
      <c r="B947" s="2"/>
      <c r="C947" s="2"/>
      <c r="D947" s="2"/>
      <c r="E947" s="2"/>
      <c r="F947" s="1"/>
      <c r="G947" s="1"/>
      <c r="H947" s="1"/>
      <c r="I947" s="1"/>
      <c r="J947" s="1"/>
      <c r="K947" s="1"/>
      <c r="L947" s="1"/>
      <c r="M947" s="1"/>
    </row>
    <row r="948" spans="1:13" ht="15.75" customHeight="1" x14ac:dyDescent="0.25">
      <c r="A948" s="1"/>
      <c r="B948" s="2"/>
      <c r="C948" s="2"/>
      <c r="D948" s="2"/>
      <c r="E948" s="2"/>
      <c r="F948" s="1"/>
      <c r="G948" s="1"/>
      <c r="H948" s="1"/>
      <c r="I948" s="1"/>
      <c r="J948" s="1"/>
      <c r="K948" s="1"/>
      <c r="L948" s="1"/>
      <c r="M948" s="1"/>
    </row>
    <row r="949" spans="1:13" ht="15.75" customHeight="1" x14ac:dyDescent="0.25">
      <c r="A949" s="1"/>
      <c r="B949" s="2"/>
      <c r="C949" s="2"/>
      <c r="D949" s="2"/>
      <c r="E949" s="2"/>
      <c r="F949" s="1"/>
      <c r="G949" s="1"/>
      <c r="H949" s="1"/>
      <c r="I949" s="1"/>
      <c r="J949" s="1"/>
      <c r="K949" s="1"/>
      <c r="L949" s="1"/>
      <c r="M949" s="1"/>
    </row>
    <row r="950" spans="1:13" ht="15.75" customHeight="1" x14ac:dyDescent="0.25">
      <c r="A950" s="1"/>
      <c r="B950" s="2"/>
      <c r="C950" s="2"/>
      <c r="D950" s="2"/>
      <c r="E950" s="2"/>
      <c r="F950" s="1"/>
      <c r="G950" s="1"/>
      <c r="H950" s="1"/>
      <c r="I950" s="1"/>
      <c r="J950" s="1"/>
      <c r="K950" s="1"/>
      <c r="L950" s="1"/>
      <c r="M950" s="1"/>
    </row>
    <row r="951" spans="1:13" ht="15.75" customHeight="1" x14ac:dyDescent="0.25">
      <c r="A951" s="1"/>
      <c r="B951" s="2"/>
      <c r="C951" s="2"/>
      <c r="D951" s="2"/>
      <c r="E951" s="2"/>
      <c r="F951" s="1"/>
      <c r="G951" s="1"/>
      <c r="H951" s="1"/>
      <c r="I951" s="1"/>
      <c r="J951" s="1"/>
      <c r="K951" s="1"/>
      <c r="L951" s="1"/>
      <c r="M951" s="1"/>
    </row>
    <row r="952" spans="1:13" ht="15.75" customHeight="1" x14ac:dyDescent="0.25">
      <c r="A952" s="1"/>
      <c r="B952" s="2"/>
      <c r="C952" s="2"/>
      <c r="D952" s="2"/>
      <c r="E952" s="2"/>
      <c r="F952" s="1"/>
      <c r="G952" s="1"/>
      <c r="H952" s="1"/>
      <c r="I952" s="1"/>
      <c r="J952" s="1"/>
      <c r="K952" s="1"/>
      <c r="L952" s="1"/>
      <c r="M952" s="1"/>
    </row>
    <row r="953" spans="1:13" ht="15.75" customHeight="1" x14ac:dyDescent="0.25">
      <c r="A953" s="1"/>
      <c r="B953" s="2"/>
      <c r="C953" s="2"/>
      <c r="D953" s="2"/>
      <c r="E953" s="2"/>
      <c r="F953" s="1"/>
      <c r="G953" s="1"/>
      <c r="H953" s="1"/>
      <c r="I953" s="1"/>
      <c r="J953" s="1"/>
      <c r="K953" s="1"/>
      <c r="L953" s="1"/>
      <c r="M953" s="1"/>
    </row>
    <row r="954" spans="1:13" ht="15.75" customHeight="1" x14ac:dyDescent="0.25">
      <c r="A954" s="1"/>
      <c r="B954" s="2"/>
      <c r="C954" s="2"/>
      <c r="D954" s="2"/>
      <c r="E954" s="2"/>
      <c r="F954" s="1"/>
      <c r="G954" s="1"/>
      <c r="H954" s="1"/>
      <c r="I954" s="1"/>
      <c r="J954" s="1"/>
      <c r="K954" s="1"/>
      <c r="L954" s="1"/>
      <c r="M954" s="1"/>
    </row>
    <row r="955" spans="1:13" ht="15.75" customHeight="1" x14ac:dyDescent="0.25">
      <c r="A955" s="1"/>
      <c r="B955" s="2"/>
      <c r="C955" s="2"/>
      <c r="D955" s="2"/>
      <c r="E955" s="2"/>
      <c r="F955" s="1"/>
      <c r="G955" s="1"/>
      <c r="H955" s="1"/>
      <c r="I955" s="1"/>
      <c r="J955" s="1"/>
      <c r="K955" s="1"/>
      <c r="L955" s="1"/>
      <c r="M955" s="1"/>
    </row>
    <row r="956" spans="1:13" ht="15.75" customHeight="1" x14ac:dyDescent="0.25">
      <c r="A956" s="1"/>
      <c r="B956" s="2"/>
      <c r="C956" s="2"/>
      <c r="D956" s="2"/>
      <c r="E956" s="2"/>
      <c r="F956" s="1"/>
      <c r="G956" s="1"/>
      <c r="H956" s="1"/>
      <c r="I956" s="1"/>
      <c r="J956" s="1"/>
      <c r="K956" s="1"/>
      <c r="L956" s="1"/>
      <c r="M956" s="1"/>
    </row>
    <row r="957" spans="1:13" ht="15.75" customHeight="1" x14ac:dyDescent="0.25">
      <c r="A957" s="1"/>
      <c r="B957" s="2"/>
      <c r="C957" s="2"/>
      <c r="D957" s="2"/>
      <c r="E957" s="2"/>
      <c r="F957" s="1"/>
      <c r="G957" s="1"/>
      <c r="H957" s="1"/>
      <c r="I957" s="1"/>
      <c r="J957" s="1"/>
      <c r="K957" s="1"/>
      <c r="L957" s="1"/>
      <c r="M957" s="1"/>
    </row>
    <row r="958" spans="1:13" ht="15.75" customHeight="1" x14ac:dyDescent="0.25">
      <c r="A958" s="1"/>
      <c r="B958" s="2"/>
      <c r="C958" s="2"/>
      <c r="D958" s="2"/>
      <c r="E958" s="2"/>
      <c r="F958" s="1"/>
      <c r="G958" s="1"/>
      <c r="H958" s="1"/>
      <c r="I958" s="1"/>
      <c r="J958" s="1"/>
      <c r="K958" s="1"/>
      <c r="L958" s="1"/>
      <c r="M958" s="1"/>
    </row>
    <row r="959" spans="1:13" ht="15.75" customHeight="1" x14ac:dyDescent="0.25">
      <c r="A959" s="1"/>
      <c r="B959" s="2"/>
      <c r="C959" s="2"/>
      <c r="D959" s="2"/>
      <c r="E959" s="2"/>
      <c r="F959" s="1"/>
      <c r="G959" s="1"/>
      <c r="H959" s="1"/>
      <c r="I959" s="1"/>
      <c r="J959" s="1"/>
      <c r="K959" s="1"/>
      <c r="L959" s="1"/>
      <c r="M959" s="1"/>
    </row>
    <row r="960" spans="1:13" ht="15.75" customHeight="1" x14ac:dyDescent="0.25">
      <c r="A960" s="1"/>
      <c r="B960" s="2"/>
      <c r="C960" s="2"/>
      <c r="D960" s="2"/>
      <c r="E960" s="2"/>
      <c r="F960" s="1"/>
      <c r="G960" s="1"/>
      <c r="H960" s="1"/>
      <c r="I960" s="1"/>
      <c r="J960" s="1"/>
      <c r="K960" s="1"/>
      <c r="L960" s="1"/>
      <c r="M960" s="1"/>
    </row>
    <row r="961" spans="1:13" ht="15.75" customHeight="1" x14ac:dyDescent="0.25">
      <c r="A961" s="1"/>
      <c r="B961" s="2"/>
      <c r="C961" s="2"/>
      <c r="D961" s="2"/>
      <c r="E961" s="2"/>
      <c r="F961" s="1"/>
      <c r="G961" s="1"/>
      <c r="H961" s="1"/>
      <c r="I961" s="1"/>
      <c r="J961" s="1"/>
      <c r="K961" s="1"/>
      <c r="L961" s="1"/>
      <c r="M961" s="1"/>
    </row>
    <row r="962" spans="1:13" ht="15.75" customHeight="1" x14ac:dyDescent="0.25">
      <c r="A962" s="1"/>
      <c r="B962" s="2"/>
      <c r="C962" s="2"/>
      <c r="D962" s="2"/>
      <c r="E962" s="2"/>
      <c r="F962" s="1"/>
      <c r="G962" s="1"/>
      <c r="H962" s="1"/>
      <c r="I962" s="1"/>
      <c r="J962" s="1"/>
      <c r="K962" s="1"/>
      <c r="L962" s="1"/>
      <c r="M962" s="1"/>
    </row>
    <row r="963" spans="1:13" ht="15.75" customHeight="1" x14ac:dyDescent="0.25">
      <c r="A963" s="1"/>
      <c r="B963" s="2"/>
      <c r="C963" s="2"/>
      <c r="D963" s="2"/>
      <c r="E963" s="2"/>
      <c r="F963" s="1"/>
      <c r="G963" s="1"/>
      <c r="H963" s="1"/>
      <c r="I963" s="1"/>
      <c r="J963" s="1"/>
      <c r="K963" s="1"/>
      <c r="L963" s="1"/>
      <c r="M963" s="1"/>
    </row>
    <row r="964" spans="1:13" ht="15.75" customHeight="1" x14ac:dyDescent="0.25">
      <c r="A964" s="1"/>
      <c r="B964" s="2"/>
      <c r="C964" s="2"/>
      <c r="D964" s="2"/>
      <c r="E964" s="2"/>
      <c r="F964" s="1"/>
      <c r="G964" s="1"/>
      <c r="H964" s="1"/>
      <c r="I964" s="1"/>
      <c r="J964" s="1"/>
      <c r="K964" s="1"/>
      <c r="L964" s="1"/>
      <c r="M964" s="1"/>
    </row>
    <row r="965" spans="1:13" ht="15.75" customHeight="1" x14ac:dyDescent="0.25">
      <c r="A965" s="1"/>
      <c r="B965" s="2"/>
      <c r="C965" s="2"/>
      <c r="D965" s="2"/>
      <c r="E965" s="2"/>
      <c r="F965" s="1"/>
      <c r="G965" s="1"/>
      <c r="H965" s="1"/>
      <c r="I965" s="1"/>
      <c r="J965" s="1"/>
      <c r="K965" s="1"/>
      <c r="L965" s="1"/>
      <c r="M965" s="1"/>
    </row>
    <row r="966" spans="1:13" ht="15.75" customHeight="1" x14ac:dyDescent="0.25">
      <c r="A966" s="1"/>
      <c r="B966" s="2"/>
      <c r="C966" s="2"/>
      <c r="D966" s="2"/>
      <c r="E966" s="2"/>
      <c r="F966" s="1"/>
      <c r="G966" s="1"/>
      <c r="H966" s="1"/>
      <c r="I966" s="1"/>
      <c r="J966" s="1"/>
      <c r="K966" s="1"/>
      <c r="L966" s="1"/>
      <c r="M966" s="1"/>
    </row>
    <row r="967" spans="1:13" ht="15.75" customHeight="1" x14ac:dyDescent="0.25">
      <c r="A967" s="1"/>
      <c r="B967" s="2"/>
      <c r="C967" s="2"/>
      <c r="D967" s="2"/>
      <c r="E967" s="2"/>
      <c r="F967" s="1"/>
      <c r="G967" s="1"/>
      <c r="H967" s="1"/>
      <c r="I967" s="1"/>
      <c r="J967" s="1"/>
      <c r="K967" s="1"/>
      <c r="L967" s="1"/>
      <c r="M967" s="1"/>
    </row>
    <row r="968" spans="1:13" ht="15.75" customHeight="1" x14ac:dyDescent="0.25">
      <c r="A968" s="1"/>
      <c r="B968" s="2"/>
      <c r="C968" s="2"/>
      <c r="D968" s="2"/>
      <c r="E968" s="2"/>
      <c r="F968" s="1"/>
      <c r="G968" s="1"/>
      <c r="H968" s="1"/>
      <c r="I968" s="1"/>
      <c r="J968" s="1"/>
      <c r="K968" s="1"/>
      <c r="L968" s="1"/>
      <c r="M968" s="1"/>
    </row>
    <row r="969" spans="1:13" ht="15.75" customHeight="1" x14ac:dyDescent="0.25">
      <c r="A969" s="1"/>
      <c r="B969" s="2"/>
      <c r="C969" s="2"/>
      <c r="D969" s="2"/>
      <c r="E969" s="2"/>
      <c r="F969" s="1"/>
      <c r="G969" s="1"/>
      <c r="H969" s="1"/>
      <c r="I969" s="1"/>
      <c r="J969" s="1"/>
      <c r="K969" s="1"/>
      <c r="L969" s="1"/>
      <c r="M969" s="1"/>
    </row>
    <row r="970" spans="1:13" ht="15.75" customHeight="1" x14ac:dyDescent="0.25">
      <c r="A970" s="1"/>
      <c r="B970" s="2"/>
      <c r="C970" s="2"/>
      <c r="D970" s="2"/>
      <c r="E970" s="2"/>
      <c r="F970" s="1"/>
      <c r="G970" s="1"/>
      <c r="H970" s="1"/>
      <c r="I970" s="1"/>
      <c r="J970" s="1"/>
      <c r="K970" s="1"/>
      <c r="L970" s="1"/>
      <c r="M970" s="1"/>
    </row>
    <row r="971" spans="1:13" ht="15.75" customHeight="1" x14ac:dyDescent="0.25">
      <c r="A971" s="1"/>
      <c r="B971" s="2"/>
      <c r="C971" s="2"/>
      <c r="D971" s="2"/>
      <c r="E971" s="2"/>
      <c r="F971" s="1"/>
      <c r="G971" s="1"/>
      <c r="H971" s="1"/>
      <c r="I971" s="1"/>
      <c r="J971" s="1"/>
      <c r="K971" s="1"/>
      <c r="L971" s="1"/>
      <c r="M971" s="1"/>
    </row>
    <row r="972" spans="1:13" ht="15.75" customHeight="1" x14ac:dyDescent="0.25">
      <c r="A972" s="1"/>
      <c r="B972" s="2"/>
      <c r="C972" s="2"/>
      <c r="D972" s="2"/>
      <c r="E972" s="2"/>
      <c r="F972" s="1"/>
      <c r="G972" s="1"/>
      <c r="H972" s="1"/>
      <c r="I972" s="1"/>
      <c r="J972" s="1"/>
      <c r="K972" s="1"/>
      <c r="L972" s="1"/>
      <c r="M972" s="1"/>
    </row>
    <row r="973" spans="1:13" ht="15.75" customHeight="1" x14ac:dyDescent="0.25">
      <c r="A973" s="1"/>
      <c r="B973" s="2"/>
      <c r="C973" s="2"/>
      <c r="D973" s="2"/>
      <c r="E973" s="2"/>
      <c r="F973" s="1"/>
      <c r="G973" s="1"/>
      <c r="H973" s="1"/>
      <c r="I973" s="1"/>
      <c r="J973" s="1"/>
      <c r="K973" s="1"/>
      <c r="L973" s="1"/>
      <c r="M973" s="1"/>
    </row>
    <row r="974" spans="1:13" ht="15.75" customHeight="1" x14ac:dyDescent="0.25">
      <c r="A974" s="1"/>
      <c r="B974" s="2"/>
      <c r="C974" s="2"/>
      <c r="D974" s="2"/>
      <c r="E974" s="2"/>
      <c r="F974" s="1"/>
      <c r="G974" s="1"/>
      <c r="H974" s="1"/>
      <c r="I974" s="1"/>
      <c r="J974" s="1"/>
      <c r="K974" s="1"/>
      <c r="L974" s="1"/>
      <c r="M974" s="1"/>
    </row>
    <row r="975" spans="1:13" ht="15.75" customHeight="1" x14ac:dyDescent="0.25">
      <c r="A975" s="1"/>
      <c r="B975" s="2"/>
      <c r="C975" s="2"/>
      <c r="D975" s="2"/>
      <c r="E975" s="2"/>
      <c r="F975" s="1"/>
      <c r="G975" s="1"/>
      <c r="H975" s="1"/>
      <c r="I975" s="1"/>
      <c r="J975" s="1"/>
      <c r="K975" s="1"/>
      <c r="L975" s="1"/>
      <c r="M975" s="1"/>
    </row>
    <row r="976" spans="1:13" ht="15.75" customHeight="1" x14ac:dyDescent="0.25">
      <c r="A976" s="1"/>
      <c r="B976" s="2"/>
      <c r="C976" s="2"/>
      <c r="D976" s="2"/>
      <c r="E976" s="2"/>
      <c r="F976" s="1"/>
      <c r="G976" s="1"/>
      <c r="H976" s="1"/>
      <c r="I976" s="1"/>
      <c r="J976" s="1"/>
      <c r="K976" s="1"/>
      <c r="L976" s="1"/>
      <c r="M976" s="1"/>
    </row>
    <row r="977" spans="1:13" ht="15.75" customHeight="1" x14ac:dyDescent="0.25">
      <c r="A977" s="1"/>
      <c r="B977" s="2"/>
      <c r="C977" s="2"/>
      <c r="D977" s="2"/>
      <c r="E977" s="2"/>
      <c r="F977" s="1"/>
      <c r="G977" s="1"/>
      <c r="H977" s="1"/>
      <c r="I977" s="1"/>
      <c r="J977" s="1"/>
      <c r="K977" s="1"/>
      <c r="L977" s="1"/>
      <c r="M977" s="1"/>
    </row>
    <row r="978" spans="1:13" ht="15.75" customHeight="1" x14ac:dyDescent="0.25">
      <c r="A978" s="1"/>
      <c r="B978" s="2"/>
      <c r="C978" s="2"/>
      <c r="D978" s="2"/>
      <c r="E978" s="2"/>
      <c r="F978" s="1"/>
      <c r="G978" s="1"/>
      <c r="H978" s="1"/>
      <c r="I978" s="1"/>
      <c r="J978" s="1"/>
      <c r="K978" s="1"/>
      <c r="L978" s="1"/>
      <c r="M978" s="1"/>
    </row>
    <row r="979" spans="1:13" ht="15.75" customHeight="1" x14ac:dyDescent="0.25">
      <c r="A979" s="1"/>
      <c r="B979" s="2"/>
      <c r="C979" s="2"/>
      <c r="D979" s="2"/>
      <c r="E979" s="2"/>
      <c r="F979" s="1"/>
      <c r="G979" s="1"/>
      <c r="H979" s="1"/>
      <c r="I979" s="1"/>
      <c r="J979" s="1"/>
      <c r="K979" s="1"/>
      <c r="L979" s="1"/>
      <c r="M979" s="1"/>
    </row>
    <row r="980" spans="1:13" ht="15.75" customHeight="1" x14ac:dyDescent="0.25">
      <c r="A980" s="1"/>
      <c r="B980" s="2"/>
      <c r="C980" s="2"/>
      <c r="D980" s="2"/>
      <c r="E980" s="2"/>
      <c r="F980" s="1"/>
      <c r="G980" s="1"/>
      <c r="H980" s="1"/>
      <c r="I980" s="1"/>
      <c r="J980" s="1"/>
      <c r="K980" s="1"/>
      <c r="L980" s="1"/>
      <c r="M980" s="1"/>
    </row>
    <row r="981" spans="1:13" ht="15.75" customHeight="1" x14ac:dyDescent="0.25">
      <c r="A981" s="1"/>
      <c r="B981" s="2"/>
      <c r="C981" s="2"/>
      <c r="D981" s="2"/>
      <c r="E981" s="2"/>
      <c r="F981" s="1"/>
      <c r="G981" s="1"/>
      <c r="H981" s="1"/>
      <c r="I981" s="1"/>
      <c r="J981" s="1"/>
      <c r="K981" s="1"/>
      <c r="L981" s="1"/>
      <c r="M981" s="1"/>
    </row>
    <row r="982" spans="1:13" ht="15.75" customHeight="1" x14ac:dyDescent="0.25">
      <c r="A982" s="1"/>
      <c r="B982" s="2"/>
      <c r="C982" s="2"/>
      <c r="D982" s="2"/>
      <c r="E982" s="2"/>
      <c r="F982" s="1"/>
      <c r="G982" s="1"/>
      <c r="H982" s="1"/>
      <c r="I982" s="1"/>
      <c r="J982" s="1"/>
      <c r="K982" s="1"/>
      <c r="L982" s="1"/>
      <c r="M982" s="1"/>
    </row>
    <row r="983" spans="1:13" ht="15.75" customHeight="1" x14ac:dyDescent="0.25">
      <c r="A983" s="1"/>
      <c r="B983" s="2"/>
      <c r="C983" s="2"/>
      <c r="D983" s="2"/>
      <c r="E983" s="2"/>
      <c r="F983" s="1"/>
      <c r="G983" s="1"/>
      <c r="H983" s="1"/>
      <c r="I983" s="1"/>
      <c r="J983" s="1"/>
      <c r="K983" s="1"/>
      <c r="L983" s="1"/>
      <c r="M983" s="1"/>
    </row>
    <row r="984" spans="1:13" ht="15.75" customHeight="1" x14ac:dyDescent="0.25">
      <c r="A984" s="1"/>
      <c r="B984" s="2"/>
      <c r="C984" s="2"/>
      <c r="D984" s="2"/>
      <c r="E984" s="2"/>
      <c r="F984" s="1"/>
      <c r="G984" s="1"/>
      <c r="H984" s="1"/>
      <c r="I984" s="1"/>
      <c r="J984" s="1"/>
      <c r="K984" s="1"/>
      <c r="L984" s="1"/>
      <c r="M984" s="1"/>
    </row>
    <row r="985" spans="1:13" ht="15.75" customHeight="1" x14ac:dyDescent="0.25">
      <c r="A985" s="1"/>
      <c r="B985" s="2"/>
      <c r="C985" s="2"/>
      <c r="D985" s="2"/>
      <c r="E985" s="2"/>
      <c r="F985" s="1"/>
      <c r="G985" s="1"/>
      <c r="H985" s="1"/>
      <c r="I985" s="1"/>
      <c r="J985" s="1"/>
      <c r="K985" s="1"/>
      <c r="L985" s="1"/>
      <c r="M985" s="1"/>
    </row>
    <row r="986" spans="1:13" ht="15.75" customHeight="1" x14ac:dyDescent="0.25">
      <c r="A986" s="1"/>
      <c r="B986" s="2"/>
      <c r="C986" s="2"/>
      <c r="D986" s="2"/>
      <c r="E986" s="2"/>
      <c r="F986" s="1"/>
      <c r="G986" s="1"/>
      <c r="H986" s="1"/>
      <c r="I986" s="1"/>
      <c r="J986" s="1"/>
      <c r="K986" s="1"/>
      <c r="L986" s="1"/>
      <c r="M986" s="1"/>
    </row>
    <row r="987" spans="1:13" ht="15.75" customHeight="1" x14ac:dyDescent="0.25">
      <c r="A987" s="1"/>
      <c r="B987" s="2"/>
      <c r="C987" s="2"/>
      <c r="D987" s="2"/>
      <c r="E987" s="2"/>
      <c r="F987" s="1"/>
      <c r="G987" s="1"/>
      <c r="H987" s="1"/>
      <c r="I987" s="1"/>
      <c r="J987" s="1"/>
      <c r="K987" s="1"/>
      <c r="L987" s="1"/>
      <c r="M987" s="1"/>
    </row>
    <row r="988" spans="1:13" ht="15.75" customHeight="1" x14ac:dyDescent="0.25">
      <c r="A988" s="1"/>
      <c r="B988" s="2"/>
      <c r="C988" s="2"/>
      <c r="D988" s="2"/>
      <c r="E988" s="2"/>
      <c r="F988" s="1"/>
      <c r="G988" s="1"/>
      <c r="H988" s="1"/>
      <c r="I988" s="1"/>
      <c r="J988" s="1"/>
      <c r="K988" s="1"/>
      <c r="L988" s="1"/>
      <c r="M988" s="1"/>
    </row>
    <row r="989" spans="1:13" ht="15.75" customHeight="1" x14ac:dyDescent="0.25">
      <c r="A989" s="1"/>
      <c r="B989" s="2"/>
      <c r="C989" s="2"/>
      <c r="D989" s="2"/>
      <c r="E989" s="2"/>
      <c r="F989" s="1"/>
      <c r="G989" s="1"/>
      <c r="H989" s="1"/>
      <c r="I989" s="1"/>
      <c r="J989" s="1"/>
      <c r="K989" s="1"/>
      <c r="L989" s="1"/>
      <c r="M989" s="1"/>
    </row>
    <row r="990" spans="1:13" ht="15.75" customHeight="1" x14ac:dyDescent="0.25">
      <c r="A990" s="1"/>
      <c r="B990" s="2"/>
      <c r="C990" s="2"/>
      <c r="D990" s="2"/>
      <c r="E990" s="2"/>
      <c r="F990" s="1"/>
      <c r="G990" s="1"/>
      <c r="H990" s="1"/>
      <c r="I990" s="1"/>
      <c r="J990" s="1"/>
      <c r="K990" s="1"/>
      <c r="L990" s="1"/>
      <c r="M990" s="1"/>
    </row>
    <row r="991" spans="1:13" ht="15.75" customHeight="1" x14ac:dyDescent="0.25">
      <c r="A991" s="1"/>
      <c r="B991" s="2"/>
      <c r="C991" s="2"/>
      <c r="D991" s="2"/>
      <c r="E991" s="2"/>
      <c r="F991" s="1"/>
      <c r="G991" s="1"/>
      <c r="H991" s="1"/>
      <c r="I991" s="1"/>
      <c r="J991" s="1"/>
      <c r="K991" s="1"/>
      <c r="L991" s="1"/>
      <c r="M991" s="1"/>
    </row>
    <row r="992" spans="1:13" ht="15.75" customHeight="1" x14ac:dyDescent="0.25">
      <c r="A992" s="1"/>
      <c r="B992" s="2"/>
      <c r="C992" s="2"/>
      <c r="D992" s="2"/>
      <c r="E992" s="2"/>
      <c r="F992" s="1"/>
      <c r="G992" s="1"/>
      <c r="H992" s="1"/>
      <c r="I992" s="1"/>
      <c r="J992" s="1"/>
      <c r="K992" s="1"/>
      <c r="L992" s="1"/>
      <c r="M992" s="1"/>
    </row>
    <row r="993" spans="1:13" ht="15.75" customHeight="1" x14ac:dyDescent="0.25">
      <c r="A993" s="1"/>
      <c r="B993" s="2"/>
      <c r="C993" s="2"/>
      <c r="D993" s="2"/>
      <c r="E993" s="2"/>
      <c r="F993" s="1"/>
      <c r="G993" s="1"/>
      <c r="H993" s="1"/>
      <c r="I993" s="1"/>
      <c r="J993" s="1"/>
      <c r="K993" s="1"/>
      <c r="L993" s="1"/>
      <c r="M993" s="1"/>
    </row>
    <row r="994" spans="1:13" ht="15.75" customHeight="1" x14ac:dyDescent="0.25">
      <c r="A994" s="1"/>
      <c r="B994" s="2"/>
      <c r="C994" s="2"/>
      <c r="D994" s="2"/>
      <c r="E994" s="2"/>
      <c r="F994" s="1"/>
      <c r="G994" s="1"/>
      <c r="H994" s="1"/>
      <c r="I994" s="1"/>
      <c r="J994" s="1"/>
      <c r="K994" s="1"/>
      <c r="L994" s="1"/>
      <c r="M994" s="1"/>
    </row>
    <row r="995" spans="1:13" ht="15.75" customHeight="1" x14ac:dyDescent="0.25">
      <c r="A995" s="1"/>
      <c r="B995" s="2"/>
      <c r="C995" s="2"/>
      <c r="D995" s="2"/>
      <c r="E995" s="2"/>
      <c r="F995" s="1"/>
      <c r="G995" s="1"/>
      <c r="H995" s="1"/>
      <c r="I995" s="1"/>
      <c r="J995" s="1"/>
      <c r="K995" s="1"/>
      <c r="L995" s="1"/>
      <c r="M995" s="1"/>
    </row>
    <row r="996" spans="1:13" ht="15.75" customHeight="1" x14ac:dyDescent="0.25">
      <c r="A996" s="1"/>
      <c r="B996" s="2"/>
      <c r="C996" s="2"/>
      <c r="D996" s="2"/>
      <c r="E996" s="2"/>
      <c r="F996" s="1"/>
      <c r="G996" s="1"/>
      <c r="H996" s="1"/>
      <c r="I996" s="1"/>
      <c r="J996" s="1"/>
      <c r="K996" s="1"/>
      <c r="L996" s="1"/>
      <c r="M996" s="1"/>
    </row>
    <row r="997" spans="1:13" ht="15.75" customHeight="1" x14ac:dyDescent="0.25">
      <c r="A997" s="1"/>
      <c r="B997" s="2"/>
      <c r="C997" s="2"/>
      <c r="D997" s="2"/>
      <c r="E997" s="2"/>
      <c r="F997" s="1"/>
      <c r="G997" s="1"/>
      <c r="H997" s="1"/>
      <c r="I997" s="1"/>
      <c r="J997" s="1"/>
      <c r="K997" s="1"/>
      <c r="L997" s="1"/>
      <c r="M997" s="1"/>
    </row>
    <row r="998" spans="1:13" ht="15.75" customHeight="1" x14ac:dyDescent="0.25">
      <c r="A998" s="1"/>
      <c r="B998" s="2"/>
      <c r="C998" s="2"/>
      <c r="D998" s="2"/>
      <c r="E998" s="2"/>
      <c r="F998" s="1"/>
      <c r="G998" s="1"/>
      <c r="H998" s="1"/>
      <c r="I998" s="1"/>
      <c r="J998" s="1"/>
      <c r="K998" s="1"/>
      <c r="L998" s="1"/>
      <c r="M998" s="1"/>
    </row>
    <row r="999" spans="1:13" ht="15.75" customHeight="1" x14ac:dyDescent="0.25">
      <c r="A999" s="1"/>
      <c r="B999" s="2"/>
      <c r="C999" s="2"/>
      <c r="D999" s="2"/>
      <c r="E999" s="2"/>
      <c r="F999" s="1"/>
      <c r="G999" s="1"/>
      <c r="H999" s="1"/>
      <c r="I999" s="1"/>
      <c r="J999" s="1"/>
      <c r="K999" s="1"/>
      <c r="L999" s="1"/>
      <c r="M999" s="1"/>
    </row>
    <row r="1000" spans="1:13" ht="15.75" customHeight="1" x14ac:dyDescent="0.25">
      <c r="A1000" s="1"/>
      <c r="B1000" s="2"/>
      <c r="C1000" s="2"/>
      <c r="D1000" s="2"/>
      <c r="E1000" s="2"/>
      <c r="F1000" s="1"/>
      <c r="G1000" s="1"/>
      <c r="H1000" s="1"/>
      <c r="I1000" s="1"/>
      <c r="J1000" s="1"/>
      <c r="K1000" s="1"/>
      <c r="L1000" s="1"/>
      <c r="M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8.42578125" customWidth="1"/>
    <col min="2" max="2" width="42.5703125" customWidth="1"/>
    <col min="3" max="3" width="9.140625" customWidth="1"/>
    <col min="4" max="4" width="31.42578125" customWidth="1"/>
    <col min="5" max="5" width="15.140625" customWidth="1"/>
    <col min="6" max="6" width="14.140625" customWidth="1"/>
    <col min="7" max="7" width="20" customWidth="1"/>
    <col min="8" max="8" width="9.140625" customWidth="1"/>
    <col min="9" max="9" width="25.140625" customWidth="1"/>
    <col min="10" max="10" width="22.7109375" customWidth="1"/>
    <col min="11" max="11" width="22.85546875" customWidth="1"/>
    <col min="12" max="12" width="53.28515625" customWidth="1"/>
    <col min="13" max="13" width="11.5703125" customWidth="1"/>
    <col min="14" max="26" width="8" customWidth="1"/>
  </cols>
  <sheetData>
    <row r="1" spans="1:26" ht="30" customHeight="1" x14ac:dyDescent="0.25">
      <c r="A1" s="25" t="s">
        <v>357</v>
      </c>
      <c r="B1" s="26" t="s">
        <v>5</v>
      </c>
      <c r="C1" s="26" t="s">
        <v>358</v>
      </c>
      <c r="D1" s="25" t="s">
        <v>359</v>
      </c>
      <c r="E1" s="25" t="s">
        <v>360</v>
      </c>
      <c r="F1" s="27" t="s">
        <v>361</v>
      </c>
      <c r="G1" s="25" t="s">
        <v>7</v>
      </c>
      <c r="H1" s="28" t="s">
        <v>362</v>
      </c>
      <c r="I1" s="28" t="s">
        <v>362</v>
      </c>
      <c r="J1" s="25" t="s">
        <v>363</v>
      </c>
      <c r="K1" s="29" t="s">
        <v>8</v>
      </c>
      <c r="L1" s="26" t="s">
        <v>12</v>
      </c>
      <c r="M1" s="26" t="s">
        <v>364</v>
      </c>
    </row>
    <row r="2" spans="1:26" ht="27" customHeight="1" x14ac:dyDescent="0.25">
      <c r="A2" s="10">
        <v>1</v>
      </c>
      <c r="B2" s="9" t="s">
        <v>365</v>
      </c>
      <c r="C2" s="10" t="s">
        <v>18</v>
      </c>
      <c r="D2" s="9" t="s">
        <v>366</v>
      </c>
      <c r="E2" s="30">
        <v>31993</v>
      </c>
      <c r="F2" s="31">
        <v>53206</v>
      </c>
      <c r="G2" s="32" t="s">
        <v>367</v>
      </c>
      <c r="H2" s="10" t="s">
        <v>368</v>
      </c>
      <c r="I2" s="9" t="s">
        <v>369</v>
      </c>
      <c r="J2" s="33" t="s">
        <v>370</v>
      </c>
      <c r="K2" s="34" t="s">
        <v>371</v>
      </c>
      <c r="L2" s="9" t="s">
        <v>372</v>
      </c>
      <c r="M2" s="35">
        <v>40910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27" customHeight="1" x14ac:dyDescent="0.25">
      <c r="A3" s="10">
        <v>2</v>
      </c>
      <c r="B3" s="11" t="s">
        <v>373</v>
      </c>
      <c r="C3" s="5" t="s">
        <v>46</v>
      </c>
      <c r="D3" s="11" t="s">
        <v>374</v>
      </c>
      <c r="E3" s="30">
        <v>33822</v>
      </c>
      <c r="F3" s="31">
        <v>55032</v>
      </c>
      <c r="G3" s="32" t="s">
        <v>375</v>
      </c>
      <c r="H3" s="5" t="s">
        <v>376</v>
      </c>
      <c r="I3" s="11" t="s">
        <v>377</v>
      </c>
      <c r="J3" s="9" t="s">
        <v>51</v>
      </c>
      <c r="K3" s="34" t="s">
        <v>378</v>
      </c>
      <c r="L3" s="11" t="s">
        <v>379</v>
      </c>
      <c r="M3" s="36">
        <v>44562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27" customHeight="1" x14ac:dyDescent="0.25">
      <c r="A4" s="10">
        <v>3</v>
      </c>
      <c r="B4" s="9" t="s">
        <v>380</v>
      </c>
      <c r="C4" s="10" t="s">
        <v>46</v>
      </c>
      <c r="D4" s="9" t="s">
        <v>381</v>
      </c>
      <c r="E4" s="30">
        <v>34806</v>
      </c>
      <c r="F4" s="31">
        <v>56005</v>
      </c>
      <c r="G4" s="32" t="s">
        <v>382</v>
      </c>
      <c r="H4" s="10" t="s">
        <v>376</v>
      </c>
      <c r="I4" s="9" t="s">
        <v>383</v>
      </c>
      <c r="J4" s="37" t="s">
        <v>384</v>
      </c>
      <c r="K4" s="34" t="s">
        <v>385</v>
      </c>
      <c r="L4" s="11" t="s">
        <v>200</v>
      </c>
      <c r="M4" s="36">
        <v>45170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27" customHeight="1" x14ac:dyDescent="0.25">
      <c r="A5" s="10">
        <v>4</v>
      </c>
      <c r="B5" s="9" t="s">
        <v>386</v>
      </c>
      <c r="C5" s="10" t="s">
        <v>46</v>
      </c>
      <c r="D5" s="9" t="s">
        <v>387</v>
      </c>
      <c r="E5" s="30">
        <v>33898</v>
      </c>
      <c r="F5" s="31">
        <v>55093</v>
      </c>
      <c r="G5" s="32" t="s">
        <v>388</v>
      </c>
      <c r="H5" s="10" t="s">
        <v>389</v>
      </c>
      <c r="I5" s="9" t="s">
        <v>390</v>
      </c>
      <c r="J5" s="33" t="s">
        <v>391</v>
      </c>
      <c r="K5" s="34" t="s">
        <v>392</v>
      </c>
      <c r="L5" s="9" t="s">
        <v>393</v>
      </c>
      <c r="M5" s="30">
        <v>42006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7" customHeight="1" x14ac:dyDescent="0.25">
      <c r="A6" s="10">
        <v>5</v>
      </c>
      <c r="B6" s="11" t="s">
        <v>394</v>
      </c>
      <c r="C6" s="5" t="s">
        <v>18</v>
      </c>
      <c r="D6" s="11" t="s">
        <v>395</v>
      </c>
      <c r="E6" s="30">
        <v>34436</v>
      </c>
      <c r="F6" s="31">
        <v>55640</v>
      </c>
      <c r="G6" s="32" t="s">
        <v>396</v>
      </c>
      <c r="H6" s="5" t="s">
        <v>376</v>
      </c>
      <c r="I6" s="11" t="s">
        <v>397</v>
      </c>
      <c r="J6" s="9" t="s">
        <v>391</v>
      </c>
      <c r="K6" s="34" t="s">
        <v>398</v>
      </c>
      <c r="L6" s="9" t="s">
        <v>393</v>
      </c>
      <c r="M6" s="36">
        <v>43770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27" customHeight="1" x14ac:dyDescent="0.25">
      <c r="A7" s="10">
        <v>6</v>
      </c>
      <c r="B7" s="11" t="s">
        <v>399</v>
      </c>
      <c r="C7" s="5" t="s">
        <v>46</v>
      </c>
      <c r="D7" s="11" t="s">
        <v>400</v>
      </c>
      <c r="E7" s="30">
        <v>34828</v>
      </c>
      <c r="F7" s="31">
        <v>56036</v>
      </c>
      <c r="G7" s="32" t="s">
        <v>401</v>
      </c>
      <c r="H7" s="5" t="s">
        <v>376</v>
      </c>
      <c r="I7" s="11" t="s">
        <v>402</v>
      </c>
      <c r="J7" s="9" t="s">
        <v>391</v>
      </c>
      <c r="K7" s="34" t="s">
        <v>403</v>
      </c>
      <c r="L7" s="9" t="s">
        <v>393</v>
      </c>
      <c r="M7" s="36">
        <v>44287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27" customHeight="1" x14ac:dyDescent="0.25">
      <c r="A8" s="10">
        <v>7</v>
      </c>
      <c r="B8" s="9" t="s">
        <v>404</v>
      </c>
      <c r="C8" s="10" t="s">
        <v>46</v>
      </c>
      <c r="D8" s="9" t="s">
        <v>405</v>
      </c>
      <c r="E8" s="30">
        <v>33315</v>
      </c>
      <c r="F8" s="31">
        <v>54514</v>
      </c>
      <c r="G8" s="32" t="s">
        <v>406</v>
      </c>
      <c r="H8" s="10" t="s">
        <v>376</v>
      </c>
      <c r="I8" s="9" t="s">
        <v>407</v>
      </c>
      <c r="J8" s="33" t="s">
        <v>391</v>
      </c>
      <c r="K8" s="34" t="s">
        <v>408</v>
      </c>
      <c r="L8" s="9" t="s">
        <v>393</v>
      </c>
      <c r="M8" s="30">
        <v>42006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7" customHeight="1" x14ac:dyDescent="0.25">
      <c r="A9" s="10">
        <v>8</v>
      </c>
      <c r="B9" s="9" t="s">
        <v>409</v>
      </c>
      <c r="C9" s="10" t="s">
        <v>46</v>
      </c>
      <c r="D9" s="9" t="s">
        <v>410</v>
      </c>
      <c r="E9" s="30">
        <v>29512</v>
      </c>
      <c r="F9" s="31">
        <v>50710</v>
      </c>
      <c r="G9" s="32" t="s">
        <v>411</v>
      </c>
      <c r="H9" s="10" t="s">
        <v>376</v>
      </c>
      <c r="I9" s="9" t="s">
        <v>412</v>
      </c>
      <c r="J9" s="33" t="s">
        <v>391</v>
      </c>
      <c r="K9" s="34" t="s">
        <v>413</v>
      </c>
      <c r="L9" s="9" t="s">
        <v>414</v>
      </c>
      <c r="M9" s="38">
        <v>45293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27" customHeight="1" x14ac:dyDescent="0.25">
      <c r="A10" s="10">
        <v>9</v>
      </c>
      <c r="B10" s="9" t="s">
        <v>415</v>
      </c>
      <c r="C10" s="10" t="s">
        <v>18</v>
      </c>
      <c r="D10" s="9" t="s">
        <v>416</v>
      </c>
      <c r="E10" s="30">
        <v>28980</v>
      </c>
      <c r="F10" s="31">
        <v>50192</v>
      </c>
      <c r="G10" s="32" t="s">
        <v>417</v>
      </c>
      <c r="H10" s="39" t="s">
        <v>418</v>
      </c>
      <c r="I10" s="40" t="s">
        <v>419</v>
      </c>
      <c r="J10" s="37" t="s">
        <v>23</v>
      </c>
      <c r="K10" s="34" t="s">
        <v>420</v>
      </c>
      <c r="L10" s="22" t="s">
        <v>421</v>
      </c>
      <c r="M10" s="30">
        <v>39814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27" customHeight="1" x14ac:dyDescent="0.25">
      <c r="A11" s="10">
        <v>10</v>
      </c>
      <c r="B11" s="40" t="s">
        <v>422</v>
      </c>
      <c r="C11" s="39" t="s">
        <v>18</v>
      </c>
      <c r="D11" s="40" t="s">
        <v>423</v>
      </c>
      <c r="E11" s="35">
        <v>26999</v>
      </c>
      <c r="F11" s="31">
        <v>48214</v>
      </c>
      <c r="G11" s="32" t="s">
        <v>424</v>
      </c>
      <c r="H11" s="39" t="s">
        <v>418</v>
      </c>
      <c r="I11" s="40" t="s">
        <v>425</v>
      </c>
      <c r="J11" s="41" t="s">
        <v>23</v>
      </c>
      <c r="K11" s="34" t="s">
        <v>426</v>
      </c>
      <c r="L11" s="22" t="s">
        <v>421</v>
      </c>
      <c r="M11" s="38">
        <v>44378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27" customHeight="1" x14ac:dyDescent="0.25">
      <c r="A12" s="10">
        <v>11</v>
      </c>
      <c r="B12" s="9" t="s">
        <v>427</v>
      </c>
      <c r="C12" s="10" t="s">
        <v>18</v>
      </c>
      <c r="D12" s="9" t="s">
        <v>428</v>
      </c>
      <c r="E12" s="30">
        <v>31562</v>
      </c>
      <c r="F12" s="31">
        <v>52749</v>
      </c>
      <c r="G12" s="32" t="s">
        <v>429</v>
      </c>
      <c r="H12" s="10" t="s">
        <v>430</v>
      </c>
      <c r="I12" s="9" t="s">
        <v>431</v>
      </c>
      <c r="J12" s="33" t="s">
        <v>432</v>
      </c>
      <c r="K12" s="34" t="s">
        <v>433</v>
      </c>
      <c r="L12" s="22" t="s">
        <v>421</v>
      </c>
      <c r="M12" s="35">
        <v>39814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27" customHeight="1" x14ac:dyDescent="0.25">
      <c r="A13" s="10">
        <v>12</v>
      </c>
      <c r="B13" s="9" t="s">
        <v>434</v>
      </c>
      <c r="C13" s="10" t="s">
        <v>18</v>
      </c>
      <c r="D13" s="9" t="s">
        <v>435</v>
      </c>
      <c r="E13" s="30">
        <v>31808</v>
      </c>
      <c r="F13" s="31">
        <v>52994</v>
      </c>
      <c r="G13" s="32" t="s">
        <v>436</v>
      </c>
      <c r="H13" s="10" t="s">
        <v>437</v>
      </c>
      <c r="I13" s="9" t="s">
        <v>438</v>
      </c>
      <c r="J13" s="33" t="s">
        <v>80</v>
      </c>
      <c r="K13" s="34" t="s">
        <v>439</v>
      </c>
      <c r="L13" s="24" t="s">
        <v>440</v>
      </c>
      <c r="M13" s="38">
        <v>44562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27" customHeight="1" x14ac:dyDescent="0.25">
      <c r="A14" s="10">
        <v>13</v>
      </c>
      <c r="B14" s="9" t="s">
        <v>441</v>
      </c>
      <c r="C14" s="10" t="s">
        <v>18</v>
      </c>
      <c r="D14" s="9" t="s">
        <v>442</v>
      </c>
      <c r="E14" s="30">
        <v>30321</v>
      </c>
      <c r="F14" s="31">
        <v>51533</v>
      </c>
      <c r="G14" s="32" t="s">
        <v>443</v>
      </c>
      <c r="H14" s="10" t="s">
        <v>437</v>
      </c>
      <c r="I14" s="9" t="s">
        <v>444</v>
      </c>
      <c r="J14" s="33" t="s">
        <v>80</v>
      </c>
      <c r="K14" s="34" t="s">
        <v>445</v>
      </c>
      <c r="L14" s="24" t="s">
        <v>440</v>
      </c>
      <c r="M14" s="38">
        <v>44562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27" customHeight="1" x14ac:dyDescent="0.25">
      <c r="A15" s="10">
        <v>14</v>
      </c>
      <c r="B15" s="9" t="s">
        <v>446</v>
      </c>
      <c r="C15" s="10" t="s">
        <v>18</v>
      </c>
      <c r="D15" s="9" t="s">
        <v>447</v>
      </c>
      <c r="E15" s="30">
        <v>30648</v>
      </c>
      <c r="F15" s="31">
        <v>51836</v>
      </c>
      <c r="G15" s="32" t="s">
        <v>448</v>
      </c>
      <c r="H15" s="10" t="s">
        <v>449</v>
      </c>
      <c r="I15" s="9" t="s">
        <v>450</v>
      </c>
      <c r="J15" s="33" t="s">
        <v>288</v>
      </c>
      <c r="K15" s="34" t="s">
        <v>451</v>
      </c>
      <c r="L15" s="24" t="s">
        <v>440</v>
      </c>
      <c r="M15" s="35">
        <v>40940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27" customHeight="1" x14ac:dyDescent="0.25">
      <c r="A16" s="10">
        <v>15</v>
      </c>
      <c r="B16" s="9" t="s">
        <v>452</v>
      </c>
      <c r="C16" s="10" t="s">
        <v>18</v>
      </c>
      <c r="D16" s="9" t="s">
        <v>453</v>
      </c>
      <c r="E16" s="30">
        <v>27795</v>
      </c>
      <c r="F16" s="31">
        <v>49004</v>
      </c>
      <c r="G16" s="32" t="s">
        <v>454</v>
      </c>
      <c r="H16" s="10" t="s">
        <v>418</v>
      </c>
      <c r="I16" s="9" t="s">
        <v>455</v>
      </c>
      <c r="J16" s="33" t="s">
        <v>288</v>
      </c>
      <c r="K16" s="34" t="s">
        <v>456</v>
      </c>
      <c r="L16" s="24" t="s">
        <v>440</v>
      </c>
      <c r="M16" s="35">
        <v>39814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27" customHeight="1" x14ac:dyDescent="0.25">
      <c r="A17" s="10">
        <v>16</v>
      </c>
      <c r="B17" s="9" t="s">
        <v>457</v>
      </c>
      <c r="C17" s="10" t="s">
        <v>18</v>
      </c>
      <c r="D17" s="9" t="s">
        <v>458</v>
      </c>
      <c r="E17" s="30">
        <v>30609</v>
      </c>
      <c r="F17" s="31">
        <v>51806</v>
      </c>
      <c r="G17" s="32" t="s">
        <v>459</v>
      </c>
      <c r="H17" s="10" t="s">
        <v>460</v>
      </c>
      <c r="I17" s="9" t="s">
        <v>461</v>
      </c>
      <c r="J17" s="33" t="s">
        <v>288</v>
      </c>
      <c r="K17" s="34" t="s">
        <v>462</v>
      </c>
      <c r="L17" s="24" t="s">
        <v>440</v>
      </c>
      <c r="M17" s="35">
        <v>39814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27" customHeight="1" x14ac:dyDescent="0.25">
      <c r="A18" s="10">
        <v>17</v>
      </c>
      <c r="B18" s="9" t="s">
        <v>463</v>
      </c>
      <c r="C18" s="10" t="s">
        <v>18</v>
      </c>
      <c r="D18" s="9" t="s">
        <v>464</v>
      </c>
      <c r="E18" s="30">
        <v>27510</v>
      </c>
      <c r="F18" s="31">
        <v>48700</v>
      </c>
      <c r="G18" s="32" t="s">
        <v>465</v>
      </c>
      <c r="H18" s="10" t="s">
        <v>460</v>
      </c>
      <c r="I18" s="9" t="s">
        <v>466</v>
      </c>
      <c r="J18" s="33" t="s">
        <v>288</v>
      </c>
      <c r="K18" s="34" t="s">
        <v>467</v>
      </c>
      <c r="L18" s="24" t="s">
        <v>440</v>
      </c>
      <c r="M18" s="35">
        <v>39814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27" customHeight="1" x14ac:dyDescent="0.25">
      <c r="A19" s="10">
        <v>18</v>
      </c>
      <c r="B19" s="9" t="s">
        <v>468</v>
      </c>
      <c r="C19" s="10" t="s">
        <v>18</v>
      </c>
      <c r="D19" s="9" t="s">
        <v>469</v>
      </c>
      <c r="E19" s="30">
        <v>27063</v>
      </c>
      <c r="F19" s="31">
        <v>48274</v>
      </c>
      <c r="G19" s="32" t="s">
        <v>470</v>
      </c>
      <c r="H19" s="10" t="s">
        <v>460</v>
      </c>
      <c r="I19" s="9" t="s">
        <v>471</v>
      </c>
      <c r="J19" s="33" t="s">
        <v>288</v>
      </c>
      <c r="K19" s="34" t="s">
        <v>472</v>
      </c>
      <c r="L19" s="24" t="s">
        <v>440</v>
      </c>
      <c r="M19" s="35">
        <v>39814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27" customHeight="1" x14ac:dyDescent="0.25">
      <c r="A20" s="10">
        <v>19</v>
      </c>
      <c r="B20" s="9" t="s">
        <v>473</v>
      </c>
      <c r="C20" s="10" t="s">
        <v>18</v>
      </c>
      <c r="D20" s="9" t="s">
        <v>474</v>
      </c>
      <c r="E20" s="30">
        <v>26364</v>
      </c>
      <c r="F20" s="31">
        <v>47574</v>
      </c>
      <c r="G20" s="32" t="s">
        <v>475</v>
      </c>
      <c r="H20" s="10" t="s">
        <v>460</v>
      </c>
      <c r="I20" s="9" t="s">
        <v>476</v>
      </c>
      <c r="J20" s="33" t="s">
        <v>274</v>
      </c>
      <c r="K20" s="34" t="s">
        <v>477</v>
      </c>
      <c r="L20" s="24" t="s">
        <v>478</v>
      </c>
      <c r="M20" s="38">
        <v>45383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27" customHeight="1" x14ac:dyDescent="0.25">
      <c r="A21" s="10">
        <v>20</v>
      </c>
      <c r="B21" s="9" t="s">
        <v>479</v>
      </c>
      <c r="C21" s="10" t="s">
        <v>18</v>
      </c>
      <c r="D21" s="9" t="s">
        <v>480</v>
      </c>
      <c r="E21" s="30">
        <v>32338</v>
      </c>
      <c r="F21" s="31">
        <v>53540</v>
      </c>
      <c r="G21" s="32" t="s">
        <v>481</v>
      </c>
      <c r="H21" s="10" t="s">
        <v>437</v>
      </c>
      <c r="I21" s="9" t="s">
        <v>482</v>
      </c>
      <c r="J21" s="33" t="s">
        <v>80</v>
      </c>
      <c r="K21" s="34" t="s">
        <v>483</v>
      </c>
      <c r="L21" s="9" t="s">
        <v>281</v>
      </c>
      <c r="M21" s="35">
        <v>45446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27" customHeight="1" x14ac:dyDescent="0.25">
      <c r="A22" s="10">
        <v>21</v>
      </c>
      <c r="B22" s="9" t="s">
        <v>484</v>
      </c>
      <c r="C22" s="10" t="s">
        <v>18</v>
      </c>
      <c r="D22" s="9" t="s">
        <v>485</v>
      </c>
      <c r="E22" s="30">
        <v>31463</v>
      </c>
      <c r="F22" s="31">
        <v>52657</v>
      </c>
      <c r="G22" s="32" t="s">
        <v>486</v>
      </c>
      <c r="H22" s="10" t="s">
        <v>437</v>
      </c>
      <c r="I22" s="9" t="s">
        <v>487</v>
      </c>
      <c r="J22" s="33" t="s">
        <v>288</v>
      </c>
      <c r="K22" s="34" t="s">
        <v>488</v>
      </c>
      <c r="L22" s="24" t="s">
        <v>440</v>
      </c>
      <c r="M22" s="35">
        <v>39814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27" customHeight="1" x14ac:dyDescent="0.25">
      <c r="A23" s="10">
        <v>22</v>
      </c>
      <c r="B23" s="9" t="s">
        <v>489</v>
      </c>
      <c r="C23" s="10" t="s">
        <v>18</v>
      </c>
      <c r="D23" s="9" t="s">
        <v>490</v>
      </c>
      <c r="E23" s="30">
        <v>28106</v>
      </c>
      <c r="F23" s="31">
        <v>49310</v>
      </c>
      <c r="G23" s="32" t="s">
        <v>491</v>
      </c>
      <c r="H23" s="10" t="s">
        <v>437</v>
      </c>
      <c r="I23" s="9" t="s">
        <v>492</v>
      </c>
      <c r="J23" s="33" t="s">
        <v>288</v>
      </c>
      <c r="K23" s="34" t="s">
        <v>493</v>
      </c>
      <c r="L23" s="24" t="s">
        <v>440</v>
      </c>
      <c r="M23" s="35">
        <v>39814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27" customHeight="1" x14ac:dyDescent="0.25">
      <c r="A24" s="10">
        <v>23</v>
      </c>
      <c r="B24" s="9" t="s">
        <v>494</v>
      </c>
      <c r="C24" s="10" t="s">
        <v>18</v>
      </c>
      <c r="D24" s="9" t="s">
        <v>495</v>
      </c>
      <c r="E24" s="30">
        <v>27134</v>
      </c>
      <c r="F24" s="31">
        <v>48335</v>
      </c>
      <c r="G24" s="32" t="s">
        <v>496</v>
      </c>
      <c r="H24" s="10" t="s">
        <v>437</v>
      </c>
      <c r="I24" s="9" t="s">
        <v>497</v>
      </c>
      <c r="J24" s="33" t="s">
        <v>288</v>
      </c>
      <c r="K24" s="34" t="s">
        <v>498</v>
      </c>
      <c r="L24" s="24" t="s">
        <v>440</v>
      </c>
      <c r="M24" s="35">
        <v>39814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27" customHeight="1" x14ac:dyDescent="0.25">
      <c r="A25" s="10">
        <v>24</v>
      </c>
      <c r="B25" s="9" t="s">
        <v>499</v>
      </c>
      <c r="C25" s="10" t="s">
        <v>18</v>
      </c>
      <c r="D25" s="9" t="s">
        <v>500</v>
      </c>
      <c r="E25" s="30">
        <v>27157</v>
      </c>
      <c r="F25" s="31">
        <v>48366</v>
      </c>
      <c r="G25" s="32" t="s">
        <v>501</v>
      </c>
      <c r="H25" s="10" t="s">
        <v>437</v>
      </c>
      <c r="I25" s="9" t="s">
        <v>502</v>
      </c>
      <c r="J25" s="42" t="s">
        <v>288</v>
      </c>
      <c r="K25" s="34" t="s">
        <v>503</v>
      </c>
      <c r="L25" s="24" t="s">
        <v>440</v>
      </c>
      <c r="M25" s="35">
        <v>39814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27" customHeight="1" x14ac:dyDescent="0.25">
      <c r="A26" s="10">
        <v>25</v>
      </c>
      <c r="B26" s="9" t="s">
        <v>504</v>
      </c>
      <c r="C26" s="10" t="s">
        <v>18</v>
      </c>
      <c r="D26" s="9" t="s">
        <v>505</v>
      </c>
      <c r="E26" s="30">
        <v>27917</v>
      </c>
      <c r="F26" s="31">
        <v>49126</v>
      </c>
      <c r="G26" s="32" t="s">
        <v>506</v>
      </c>
      <c r="H26" s="10" t="s">
        <v>430</v>
      </c>
      <c r="I26" s="9" t="s">
        <v>507</v>
      </c>
      <c r="J26" s="42" t="s">
        <v>288</v>
      </c>
      <c r="K26" s="34" t="s">
        <v>508</v>
      </c>
      <c r="L26" s="24" t="s">
        <v>440</v>
      </c>
      <c r="M26" s="35">
        <v>39814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27" customHeight="1" x14ac:dyDescent="0.25">
      <c r="A27" s="10">
        <v>26</v>
      </c>
      <c r="B27" s="9" t="s">
        <v>509</v>
      </c>
      <c r="C27" s="10" t="s">
        <v>18</v>
      </c>
      <c r="D27" s="9" t="s">
        <v>510</v>
      </c>
      <c r="E27" s="30">
        <v>29031</v>
      </c>
      <c r="F27" s="31">
        <v>50222</v>
      </c>
      <c r="G27" s="32" t="s">
        <v>511</v>
      </c>
      <c r="H27" s="10" t="s">
        <v>418</v>
      </c>
      <c r="I27" s="9" t="s">
        <v>512</v>
      </c>
      <c r="J27" s="42" t="s">
        <v>157</v>
      </c>
      <c r="K27" s="34" t="s">
        <v>513</v>
      </c>
      <c r="L27" s="24" t="s">
        <v>440</v>
      </c>
      <c r="M27" s="35">
        <v>39814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27" customHeight="1" x14ac:dyDescent="0.25">
      <c r="A28" s="10">
        <v>27</v>
      </c>
      <c r="B28" s="9" t="s">
        <v>514</v>
      </c>
      <c r="C28" s="10" t="s">
        <v>18</v>
      </c>
      <c r="D28" s="9" t="s">
        <v>515</v>
      </c>
      <c r="E28" s="30">
        <v>31044</v>
      </c>
      <c r="F28" s="31">
        <v>52232</v>
      </c>
      <c r="G28" s="32" t="s">
        <v>516</v>
      </c>
      <c r="H28" s="10" t="s">
        <v>437</v>
      </c>
      <c r="I28" s="9" t="s">
        <v>517</v>
      </c>
      <c r="J28" s="42" t="s">
        <v>157</v>
      </c>
      <c r="K28" s="34" t="s">
        <v>518</v>
      </c>
      <c r="L28" s="24" t="s">
        <v>440</v>
      </c>
      <c r="M28" s="35">
        <v>39814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27" customHeight="1" x14ac:dyDescent="0.25">
      <c r="A29" s="10">
        <v>28</v>
      </c>
      <c r="B29" s="9" t="s">
        <v>519</v>
      </c>
      <c r="C29" s="10" t="s">
        <v>18</v>
      </c>
      <c r="D29" s="9" t="s">
        <v>520</v>
      </c>
      <c r="E29" s="30">
        <v>30073</v>
      </c>
      <c r="F29" s="31">
        <v>51288</v>
      </c>
      <c r="G29" s="32" t="s">
        <v>521</v>
      </c>
      <c r="H29" s="10" t="s">
        <v>437</v>
      </c>
      <c r="I29" s="9" t="s">
        <v>522</v>
      </c>
      <c r="J29" s="33" t="s">
        <v>157</v>
      </c>
      <c r="K29" s="34" t="s">
        <v>523</v>
      </c>
      <c r="L29" s="24" t="s">
        <v>440</v>
      </c>
      <c r="M29" s="35">
        <v>39814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27" customHeight="1" x14ac:dyDescent="0.25">
      <c r="A30" s="10">
        <v>29</v>
      </c>
      <c r="B30" s="9" t="s">
        <v>524</v>
      </c>
      <c r="C30" s="10" t="s">
        <v>18</v>
      </c>
      <c r="D30" s="9" t="s">
        <v>525</v>
      </c>
      <c r="E30" s="30">
        <v>26838</v>
      </c>
      <c r="F30" s="31">
        <v>48030</v>
      </c>
      <c r="G30" s="32" t="s">
        <v>526</v>
      </c>
      <c r="H30" s="10" t="s">
        <v>430</v>
      </c>
      <c r="I30" s="9" t="s">
        <v>527</v>
      </c>
      <c r="J30" s="33" t="s">
        <v>157</v>
      </c>
      <c r="K30" s="34" t="s">
        <v>528</v>
      </c>
      <c r="L30" s="24" t="s">
        <v>440</v>
      </c>
      <c r="M30" s="35">
        <v>39814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27" customHeight="1" x14ac:dyDescent="0.25">
      <c r="A31" s="10">
        <v>30</v>
      </c>
      <c r="B31" s="9" t="s">
        <v>529</v>
      </c>
      <c r="C31" s="10" t="s">
        <v>18</v>
      </c>
      <c r="D31" s="9" t="s">
        <v>530</v>
      </c>
      <c r="E31" s="30">
        <v>33019</v>
      </c>
      <c r="F31" s="31">
        <v>54210</v>
      </c>
      <c r="G31" s="32" t="s">
        <v>531</v>
      </c>
      <c r="H31" s="10" t="s">
        <v>389</v>
      </c>
      <c r="I31" s="9" t="s">
        <v>532</v>
      </c>
      <c r="J31" s="33" t="s">
        <v>533</v>
      </c>
      <c r="K31" s="34" t="s">
        <v>534</v>
      </c>
      <c r="L31" s="24" t="s">
        <v>440</v>
      </c>
      <c r="M31" s="35">
        <v>43102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27" customHeight="1" x14ac:dyDescent="0.25">
      <c r="A32" s="10">
        <v>31</v>
      </c>
      <c r="B32" s="9" t="s">
        <v>535</v>
      </c>
      <c r="C32" s="10" t="s">
        <v>18</v>
      </c>
      <c r="D32" s="9" t="s">
        <v>536</v>
      </c>
      <c r="E32" s="30">
        <v>32495</v>
      </c>
      <c r="F32" s="31">
        <v>53693</v>
      </c>
      <c r="G32" s="32" t="s">
        <v>537</v>
      </c>
      <c r="H32" s="10" t="s">
        <v>389</v>
      </c>
      <c r="I32" s="9" t="s">
        <v>532</v>
      </c>
      <c r="J32" s="33" t="s">
        <v>533</v>
      </c>
      <c r="K32" s="34" t="s">
        <v>538</v>
      </c>
      <c r="L32" s="24" t="s">
        <v>440</v>
      </c>
      <c r="M32" s="35">
        <v>43102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27" customHeight="1" x14ac:dyDescent="0.25">
      <c r="A33" s="10">
        <v>32</v>
      </c>
      <c r="B33" s="11" t="s">
        <v>539</v>
      </c>
      <c r="C33" s="5" t="s">
        <v>46</v>
      </c>
      <c r="D33" s="11" t="s">
        <v>540</v>
      </c>
      <c r="E33" s="30">
        <v>33850</v>
      </c>
      <c r="F33" s="31">
        <v>55062</v>
      </c>
      <c r="G33" s="32" t="s">
        <v>541</v>
      </c>
      <c r="H33" s="5" t="s">
        <v>376</v>
      </c>
      <c r="I33" s="11" t="s">
        <v>542</v>
      </c>
      <c r="J33" s="9" t="s">
        <v>274</v>
      </c>
      <c r="K33" s="34" t="s">
        <v>543</v>
      </c>
      <c r="L33" s="24" t="s">
        <v>440</v>
      </c>
      <c r="M33" s="38">
        <v>44256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27" customHeight="1" x14ac:dyDescent="0.25">
      <c r="A34" s="10">
        <v>33</v>
      </c>
      <c r="B34" s="9" t="s">
        <v>544</v>
      </c>
      <c r="C34" s="10" t="s">
        <v>18</v>
      </c>
      <c r="D34" s="9" t="s">
        <v>545</v>
      </c>
      <c r="E34" s="30">
        <v>31968</v>
      </c>
      <c r="F34" s="31">
        <v>53175</v>
      </c>
      <c r="G34" s="32" t="s">
        <v>546</v>
      </c>
      <c r="H34" s="10" t="s">
        <v>389</v>
      </c>
      <c r="I34" s="9" t="s">
        <v>547</v>
      </c>
      <c r="J34" s="33" t="s">
        <v>80</v>
      </c>
      <c r="K34" s="34" t="s">
        <v>548</v>
      </c>
      <c r="L34" s="24" t="s">
        <v>440</v>
      </c>
      <c r="M34" s="38">
        <v>44562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27" customHeight="1" x14ac:dyDescent="0.25">
      <c r="A35" s="10">
        <v>34</v>
      </c>
      <c r="B35" s="9" t="s">
        <v>549</v>
      </c>
      <c r="C35" s="10" t="s">
        <v>18</v>
      </c>
      <c r="D35" s="9" t="s">
        <v>550</v>
      </c>
      <c r="E35" s="30">
        <v>28343</v>
      </c>
      <c r="F35" s="31">
        <v>49553</v>
      </c>
      <c r="G35" s="32" t="s">
        <v>551</v>
      </c>
      <c r="H35" s="10" t="s">
        <v>552</v>
      </c>
      <c r="I35" s="9" t="s">
        <v>553</v>
      </c>
      <c r="J35" s="37" t="s">
        <v>23</v>
      </c>
      <c r="K35" s="34" t="s">
        <v>554</v>
      </c>
      <c r="L35" s="9" t="s">
        <v>555</v>
      </c>
      <c r="M35" s="35">
        <v>40603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27" customHeight="1" x14ac:dyDescent="0.25">
      <c r="A36" s="10">
        <v>35</v>
      </c>
      <c r="B36" s="9" t="s">
        <v>556</v>
      </c>
      <c r="C36" s="10" t="s">
        <v>18</v>
      </c>
      <c r="D36" s="9" t="s">
        <v>557</v>
      </c>
      <c r="E36" s="30">
        <v>30123</v>
      </c>
      <c r="F36" s="31">
        <v>51318</v>
      </c>
      <c r="G36" s="32" t="s">
        <v>558</v>
      </c>
      <c r="H36" s="10" t="s">
        <v>376</v>
      </c>
      <c r="I36" s="9" t="s">
        <v>559</v>
      </c>
      <c r="J36" s="33" t="s">
        <v>391</v>
      </c>
      <c r="K36" s="34" t="s">
        <v>560</v>
      </c>
      <c r="L36" s="9" t="s">
        <v>281</v>
      </c>
      <c r="M36" s="35">
        <v>39846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27" customHeight="1" x14ac:dyDescent="0.25">
      <c r="A37" s="10">
        <v>36</v>
      </c>
      <c r="B37" s="9" t="s">
        <v>561</v>
      </c>
      <c r="C37" s="10" t="s">
        <v>18</v>
      </c>
      <c r="D37" s="9" t="s">
        <v>562</v>
      </c>
      <c r="E37" s="30">
        <v>31025</v>
      </c>
      <c r="F37" s="31">
        <v>52232</v>
      </c>
      <c r="G37" s="32" t="s">
        <v>563</v>
      </c>
      <c r="H37" s="10" t="s">
        <v>552</v>
      </c>
      <c r="I37" s="9" t="s">
        <v>564</v>
      </c>
      <c r="J37" s="33" t="s">
        <v>157</v>
      </c>
      <c r="K37" s="34" t="s">
        <v>565</v>
      </c>
      <c r="L37" s="9" t="s">
        <v>281</v>
      </c>
      <c r="M37" s="43">
        <v>40969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27" customHeight="1" x14ac:dyDescent="0.25">
      <c r="A38" s="10">
        <v>37</v>
      </c>
      <c r="B38" s="9" t="s">
        <v>566</v>
      </c>
      <c r="C38" s="10" t="s">
        <v>46</v>
      </c>
      <c r="D38" s="9" t="s">
        <v>567</v>
      </c>
      <c r="E38" s="30">
        <v>31491</v>
      </c>
      <c r="F38" s="31">
        <v>52688</v>
      </c>
      <c r="G38" s="32" t="s">
        <v>568</v>
      </c>
      <c r="H38" s="10" t="s">
        <v>376</v>
      </c>
      <c r="I38" s="9" t="s">
        <v>569</v>
      </c>
      <c r="J38" s="33" t="s">
        <v>570</v>
      </c>
      <c r="K38" s="34" t="s">
        <v>571</v>
      </c>
      <c r="L38" s="9" t="s">
        <v>372</v>
      </c>
      <c r="M38" s="35">
        <v>45446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27" customHeight="1" x14ac:dyDescent="0.25">
      <c r="A39" s="10">
        <v>38</v>
      </c>
      <c r="B39" s="9" t="s">
        <v>572</v>
      </c>
      <c r="C39" s="10" t="s">
        <v>18</v>
      </c>
      <c r="D39" s="9" t="s">
        <v>573</v>
      </c>
      <c r="E39" s="30">
        <v>28538</v>
      </c>
      <c r="F39" s="31">
        <v>49735</v>
      </c>
      <c r="G39" s="32" t="s">
        <v>574</v>
      </c>
      <c r="H39" s="10" t="s">
        <v>460</v>
      </c>
      <c r="I39" s="9" t="s">
        <v>575</v>
      </c>
      <c r="J39" s="33" t="s">
        <v>157</v>
      </c>
      <c r="K39" s="34" t="s">
        <v>576</v>
      </c>
      <c r="L39" s="9" t="s">
        <v>281</v>
      </c>
      <c r="M39" s="35">
        <v>39814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27" customHeight="1" x14ac:dyDescent="0.25">
      <c r="A40" s="10">
        <v>39</v>
      </c>
      <c r="B40" s="9" t="s">
        <v>577</v>
      </c>
      <c r="C40" s="10" t="s">
        <v>18</v>
      </c>
      <c r="D40" s="9" t="s">
        <v>578</v>
      </c>
      <c r="E40" s="30">
        <v>30010</v>
      </c>
      <c r="F40" s="31">
        <v>51196</v>
      </c>
      <c r="G40" s="32" t="s">
        <v>579</v>
      </c>
      <c r="H40" s="10" t="s">
        <v>437</v>
      </c>
      <c r="I40" s="9" t="s">
        <v>580</v>
      </c>
      <c r="J40" s="33" t="s">
        <v>391</v>
      </c>
      <c r="K40" s="34" t="s">
        <v>581</v>
      </c>
      <c r="L40" s="9" t="s">
        <v>281</v>
      </c>
      <c r="M40" s="35">
        <v>39814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27" customHeight="1" x14ac:dyDescent="0.25">
      <c r="A41" s="10">
        <v>40</v>
      </c>
      <c r="B41" s="9" t="s">
        <v>582</v>
      </c>
      <c r="C41" s="10" t="s">
        <v>18</v>
      </c>
      <c r="D41" s="9" t="s">
        <v>583</v>
      </c>
      <c r="E41" s="30">
        <v>28816</v>
      </c>
      <c r="F41" s="31">
        <v>50010</v>
      </c>
      <c r="G41" s="32" t="s">
        <v>584</v>
      </c>
      <c r="H41" s="10" t="s">
        <v>437</v>
      </c>
      <c r="I41" s="9" t="s">
        <v>585</v>
      </c>
      <c r="J41" s="33" t="s">
        <v>65</v>
      </c>
      <c r="K41" s="34" t="s">
        <v>586</v>
      </c>
      <c r="L41" s="9" t="s">
        <v>281</v>
      </c>
      <c r="M41" s="30">
        <v>41640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27" customHeight="1" x14ac:dyDescent="0.25">
      <c r="A42" s="10">
        <v>41</v>
      </c>
      <c r="B42" s="9" t="s">
        <v>587</v>
      </c>
      <c r="C42" s="10" t="s">
        <v>18</v>
      </c>
      <c r="D42" s="9" t="s">
        <v>588</v>
      </c>
      <c r="E42" s="30">
        <v>31825</v>
      </c>
      <c r="F42" s="31">
        <v>53022</v>
      </c>
      <c r="G42" s="32" t="s">
        <v>589</v>
      </c>
      <c r="H42" s="10" t="s">
        <v>376</v>
      </c>
      <c r="I42" s="9" t="s">
        <v>590</v>
      </c>
      <c r="J42" s="33" t="s">
        <v>115</v>
      </c>
      <c r="K42" s="34" t="s">
        <v>591</v>
      </c>
      <c r="L42" s="9" t="s">
        <v>58</v>
      </c>
      <c r="M42" s="38">
        <v>44136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27" customHeight="1" x14ac:dyDescent="0.25">
      <c r="A43" s="10">
        <v>42</v>
      </c>
      <c r="B43" s="9" t="s">
        <v>592</v>
      </c>
      <c r="C43" s="10" t="s">
        <v>18</v>
      </c>
      <c r="D43" s="9" t="s">
        <v>593</v>
      </c>
      <c r="E43" s="30">
        <v>33544</v>
      </c>
      <c r="F43" s="31">
        <v>54758</v>
      </c>
      <c r="G43" s="32" t="s">
        <v>594</v>
      </c>
      <c r="H43" s="10" t="s">
        <v>437</v>
      </c>
      <c r="I43" s="9" t="s">
        <v>595</v>
      </c>
      <c r="J43" s="33" t="s">
        <v>533</v>
      </c>
      <c r="K43" s="34" t="s">
        <v>596</v>
      </c>
      <c r="L43" s="9" t="s">
        <v>58</v>
      </c>
      <c r="M43" s="38">
        <v>44562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27" customHeight="1" x14ac:dyDescent="0.25">
      <c r="A44" s="10">
        <v>43</v>
      </c>
      <c r="B44" s="9" t="s">
        <v>597</v>
      </c>
      <c r="C44" s="10" t="s">
        <v>18</v>
      </c>
      <c r="D44" s="9" t="s">
        <v>598</v>
      </c>
      <c r="E44" s="30">
        <v>31065</v>
      </c>
      <c r="F44" s="31">
        <v>52263</v>
      </c>
      <c r="G44" s="32" t="s">
        <v>599</v>
      </c>
      <c r="H44" s="10" t="s">
        <v>418</v>
      </c>
      <c r="I44" s="9" t="s">
        <v>419</v>
      </c>
      <c r="J44" s="33" t="s">
        <v>23</v>
      </c>
      <c r="K44" s="34" t="s">
        <v>600</v>
      </c>
      <c r="L44" s="9" t="s">
        <v>58</v>
      </c>
      <c r="M44" s="35">
        <v>40910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27" customHeight="1" x14ac:dyDescent="0.25">
      <c r="A45" s="10">
        <v>44</v>
      </c>
      <c r="B45" s="9" t="s">
        <v>601</v>
      </c>
      <c r="C45" s="10" t="s">
        <v>18</v>
      </c>
      <c r="D45" s="9" t="s">
        <v>602</v>
      </c>
      <c r="E45" s="30">
        <v>31354</v>
      </c>
      <c r="F45" s="31">
        <v>52566</v>
      </c>
      <c r="G45" s="32" t="s">
        <v>603</v>
      </c>
      <c r="H45" s="10" t="s">
        <v>376</v>
      </c>
      <c r="I45" s="9" t="s">
        <v>604</v>
      </c>
      <c r="J45" s="37" t="s">
        <v>115</v>
      </c>
      <c r="K45" s="34" t="s">
        <v>605</v>
      </c>
      <c r="L45" s="9" t="s">
        <v>58</v>
      </c>
      <c r="M45" s="44">
        <v>45017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27" customHeight="1" x14ac:dyDescent="0.25">
      <c r="A46" s="10">
        <v>45</v>
      </c>
      <c r="B46" s="11" t="s">
        <v>606</v>
      </c>
      <c r="C46" s="5" t="s">
        <v>18</v>
      </c>
      <c r="D46" s="11" t="s">
        <v>607</v>
      </c>
      <c r="E46" s="30">
        <v>33489</v>
      </c>
      <c r="F46" s="31">
        <v>54697</v>
      </c>
      <c r="G46" s="32" t="s">
        <v>608</v>
      </c>
      <c r="H46" s="5" t="s">
        <v>376</v>
      </c>
      <c r="I46" s="11" t="s">
        <v>609</v>
      </c>
      <c r="J46" s="11" t="s">
        <v>80</v>
      </c>
      <c r="K46" s="34" t="s">
        <v>610</v>
      </c>
      <c r="L46" s="9" t="s">
        <v>143</v>
      </c>
      <c r="M46" s="38">
        <v>43831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27" customHeight="1" x14ac:dyDescent="0.25">
      <c r="A47" s="10">
        <v>46</v>
      </c>
      <c r="B47" s="9" t="s">
        <v>611</v>
      </c>
      <c r="C47" s="10" t="s">
        <v>18</v>
      </c>
      <c r="D47" s="9" t="s">
        <v>612</v>
      </c>
      <c r="E47" s="30">
        <v>31211</v>
      </c>
      <c r="F47" s="31">
        <v>52413</v>
      </c>
      <c r="G47" s="32" t="s">
        <v>613</v>
      </c>
      <c r="H47" s="10" t="s">
        <v>376</v>
      </c>
      <c r="I47" s="9" t="s">
        <v>614</v>
      </c>
      <c r="J47" s="33" t="s">
        <v>391</v>
      </c>
      <c r="K47" s="34" t="s">
        <v>615</v>
      </c>
      <c r="L47" s="9" t="s">
        <v>143</v>
      </c>
      <c r="M47" s="35">
        <v>40969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27" customHeight="1" x14ac:dyDescent="0.25">
      <c r="A48" s="10">
        <v>47</v>
      </c>
      <c r="B48" s="11" t="s">
        <v>616</v>
      </c>
      <c r="C48" s="5" t="s">
        <v>46</v>
      </c>
      <c r="D48" s="11" t="s">
        <v>617</v>
      </c>
      <c r="E48" s="30">
        <v>34694</v>
      </c>
      <c r="F48" s="31">
        <v>55885</v>
      </c>
      <c r="G48" s="32" t="s">
        <v>618</v>
      </c>
      <c r="H48" s="5" t="s">
        <v>376</v>
      </c>
      <c r="I48" s="11" t="s">
        <v>114</v>
      </c>
      <c r="J48" s="33" t="s">
        <v>570</v>
      </c>
      <c r="K48" s="34" t="s">
        <v>619</v>
      </c>
      <c r="L48" s="9" t="s">
        <v>143</v>
      </c>
      <c r="M48" s="35">
        <v>43313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27" customHeight="1" x14ac:dyDescent="0.25">
      <c r="A49" s="10">
        <v>48</v>
      </c>
      <c r="B49" s="9" t="s">
        <v>620</v>
      </c>
      <c r="C49" s="10" t="s">
        <v>46</v>
      </c>
      <c r="D49" s="9" t="s">
        <v>621</v>
      </c>
      <c r="E49" s="30">
        <v>34358</v>
      </c>
      <c r="F49" s="31">
        <v>55550</v>
      </c>
      <c r="G49" s="32" t="s">
        <v>622</v>
      </c>
      <c r="H49" s="10" t="s">
        <v>376</v>
      </c>
      <c r="I49" s="9" t="s">
        <v>623</v>
      </c>
      <c r="J49" s="33" t="s">
        <v>80</v>
      </c>
      <c r="K49" s="34" t="s">
        <v>624</v>
      </c>
      <c r="L49" s="9" t="s">
        <v>143</v>
      </c>
      <c r="M49" s="35">
        <v>42795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27" customHeight="1" x14ac:dyDescent="0.25">
      <c r="A50" s="10">
        <v>49</v>
      </c>
      <c r="B50" s="9" t="s">
        <v>625</v>
      </c>
      <c r="C50" s="10" t="s">
        <v>46</v>
      </c>
      <c r="D50" s="9" t="s">
        <v>626</v>
      </c>
      <c r="E50" s="30">
        <v>32607</v>
      </c>
      <c r="F50" s="31">
        <v>53813</v>
      </c>
      <c r="G50" s="32" t="s">
        <v>627</v>
      </c>
      <c r="H50" s="10" t="s">
        <v>376</v>
      </c>
      <c r="I50" s="9" t="s">
        <v>628</v>
      </c>
      <c r="J50" s="33" t="s">
        <v>570</v>
      </c>
      <c r="K50" s="34" t="s">
        <v>629</v>
      </c>
      <c r="L50" s="9" t="s">
        <v>281</v>
      </c>
      <c r="M50" s="38">
        <v>45446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27" customHeight="1" x14ac:dyDescent="0.25">
      <c r="A51" s="10">
        <v>50</v>
      </c>
      <c r="B51" s="9" t="s">
        <v>630</v>
      </c>
      <c r="C51" s="10" t="s">
        <v>18</v>
      </c>
      <c r="D51" s="9" t="s">
        <v>631</v>
      </c>
      <c r="E51" s="30">
        <v>32679</v>
      </c>
      <c r="F51" s="31">
        <v>53874</v>
      </c>
      <c r="G51" s="32" t="s">
        <v>632</v>
      </c>
      <c r="H51" s="10" t="s">
        <v>460</v>
      </c>
      <c r="I51" s="9" t="s">
        <v>633</v>
      </c>
      <c r="J51" s="33" t="s">
        <v>157</v>
      </c>
      <c r="K51" s="34" t="s">
        <v>634</v>
      </c>
      <c r="L51" s="9" t="s">
        <v>143</v>
      </c>
      <c r="M51" s="30">
        <v>41640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27" customHeight="1" x14ac:dyDescent="0.25">
      <c r="A52" s="10">
        <v>51</v>
      </c>
      <c r="B52" s="9" t="s">
        <v>635</v>
      </c>
      <c r="C52" s="10" t="s">
        <v>18</v>
      </c>
      <c r="D52" s="9" t="s">
        <v>636</v>
      </c>
      <c r="E52" s="30">
        <v>28686</v>
      </c>
      <c r="F52" s="31">
        <v>49888</v>
      </c>
      <c r="G52" s="32" t="s">
        <v>637</v>
      </c>
      <c r="H52" s="10" t="s">
        <v>368</v>
      </c>
      <c r="I52" s="9" t="s">
        <v>638</v>
      </c>
      <c r="J52" s="33" t="s">
        <v>157</v>
      </c>
      <c r="K52" s="34" t="s">
        <v>639</v>
      </c>
      <c r="L52" s="9" t="s">
        <v>176</v>
      </c>
      <c r="M52" s="38">
        <v>43831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27" customHeight="1" x14ac:dyDescent="0.25">
      <c r="A53" s="10">
        <v>52</v>
      </c>
      <c r="B53" s="9" t="s">
        <v>640</v>
      </c>
      <c r="C53" s="10" t="s">
        <v>18</v>
      </c>
      <c r="D53" s="9" t="s">
        <v>641</v>
      </c>
      <c r="E53" s="30">
        <v>29333</v>
      </c>
      <c r="F53" s="31">
        <v>50526</v>
      </c>
      <c r="G53" s="32" t="s">
        <v>642</v>
      </c>
      <c r="H53" s="10" t="s">
        <v>376</v>
      </c>
      <c r="I53" s="9" t="s">
        <v>643</v>
      </c>
      <c r="J53" s="33" t="s">
        <v>23</v>
      </c>
      <c r="K53" s="34" t="s">
        <v>644</v>
      </c>
      <c r="L53" s="9" t="s">
        <v>176</v>
      </c>
      <c r="M53" s="35">
        <v>40791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27" customHeight="1" x14ac:dyDescent="0.25">
      <c r="A54" s="10">
        <v>53</v>
      </c>
      <c r="B54" s="9" t="s">
        <v>645</v>
      </c>
      <c r="C54" s="10" t="s">
        <v>18</v>
      </c>
      <c r="D54" s="9" t="s">
        <v>646</v>
      </c>
      <c r="E54" s="30">
        <v>27968</v>
      </c>
      <c r="F54" s="31">
        <v>49157</v>
      </c>
      <c r="G54" s="32" t="s">
        <v>647</v>
      </c>
      <c r="H54" s="10" t="s">
        <v>376</v>
      </c>
      <c r="I54" s="9" t="s">
        <v>648</v>
      </c>
      <c r="J54" s="33" t="s">
        <v>570</v>
      </c>
      <c r="K54" s="34" t="s">
        <v>649</v>
      </c>
      <c r="L54" s="9" t="s">
        <v>176</v>
      </c>
      <c r="M54" s="35">
        <v>39814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27" customHeight="1" x14ac:dyDescent="0.25">
      <c r="A55" s="10">
        <v>54</v>
      </c>
      <c r="B55" s="11" t="s">
        <v>650</v>
      </c>
      <c r="C55" s="5" t="s">
        <v>46</v>
      </c>
      <c r="D55" s="11" t="s">
        <v>651</v>
      </c>
      <c r="E55" s="30">
        <v>31922</v>
      </c>
      <c r="F55" s="31">
        <v>53114</v>
      </c>
      <c r="G55" s="32" t="s">
        <v>652</v>
      </c>
      <c r="H55" s="10" t="s">
        <v>376</v>
      </c>
      <c r="I55" s="11" t="s">
        <v>653</v>
      </c>
      <c r="J55" s="33" t="s">
        <v>654</v>
      </c>
      <c r="K55" s="34" t="s">
        <v>655</v>
      </c>
      <c r="L55" s="9" t="s">
        <v>176</v>
      </c>
      <c r="M55" s="35">
        <v>43252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27" customHeight="1" x14ac:dyDescent="0.25">
      <c r="A56" s="10">
        <v>55</v>
      </c>
      <c r="B56" s="9" t="s">
        <v>656</v>
      </c>
      <c r="C56" s="10" t="s">
        <v>18</v>
      </c>
      <c r="D56" s="9" t="s">
        <v>657</v>
      </c>
      <c r="E56" s="30">
        <v>33726</v>
      </c>
      <c r="F56" s="31">
        <v>54940</v>
      </c>
      <c r="G56" s="32" t="s">
        <v>658</v>
      </c>
      <c r="H56" s="10" t="s">
        <v>460</v>
      </c>
      <c r="I56" s="9" t="s">
        <v>659</v>
      </c>
      <c r="J56" s="33" t="s">
        <v>274</v>
      </c>
      <c r="K56" s="34" t="s">
        <v>660</v>
      </c>
      <c r="L56" s="9" t="s">
        <v>176</v>
      </c>
      <c r="M56" s="35">
        <v>41153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27" customHeight="1" x14ac:dyDescent="0.25">
      <c r="A57" s="10">
        <v>56</v>
      </c>
      <c r="B57" s="9" t="s">
        <v>661</v>
      </c>
      <c r="C57" s="10" t="s">
        <v>18</v>
      </c>
      <c r="D57" s="9" t="s">
        <v>662</v>
      </c>
      <c r="E57" s="30">
        <v>33409</v>
      </c>
      <c r="F57" s="31">
        <v>54605</v>
      </c>
      <c r="G57" s="32" t="s">
        <v>663</v>
      </c>
      <c r="H57" s="10" t="s">
        <v>460</v>
      </c>
      <c r="I57" s="9" t="s">
        <v>664</v>
      </c>
      <c r="J57" s="33" t="s">
        <v>391</v>
      </c>
      <c r="K57" s="34" t="s">
        <v>665</v>
      </c>
      <c r="L57" s="9" t="s">
        <v>176</v>
      </c>
      <c r="M57" s="35">
        <v>40791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27" customHeight="1" x14ac:dyDescent="0.25">
      <c r="A58" s="10">
        <v>57</v>
      </c>
      <c r="B58" s="9" t="s">
        <v>666</v>
      </c>
      <c r="C58" s="10" t="s">
        <v>18</v>
      </c>
      <c r="D58" s="9" t="s">
        <v>667</v>
      </c>
      <c r="E58" s="30">
        <v>30379</v>
      </c>
      <c r="F58" s="31">
        <v>51592</v>
      </c>
      <c r="G58" s="32" t="s">
        <v>668</v>
      </c>
      <c r="H58" s="10" t="s">
        <v>460</v>
      </c>
      <c r="I58" s="9" t="s">
        <v>669</v>
      </c>
      <c r="J58" s="33" t="s">
        <v>670</v>
      </c>
      <c r="K58" s="34" t="s">
        <v>671</v>
      </c>
      <c r="L58" s="9" t="s">
        <v>176</v>
      </c>
      <c r="M58" s="35">
        <v>39814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27" customHeight="1" x14ac:dyDescent="0.25">
      <c r="A59" s="10">
        <v>58</v>
      </c>
      <c r="B59" s="9" t="s">
        <v>672</v>
      </c>
      <c r="C59" s="10" t="s">
        <v>18</v>
      </c>
      <c r="D59" s="9" t="s">
        <v>673</v>
      </c>
      <c r="E59" s="30">
        <v>31029</v>
      </c>
      <c r="F59" s="31">
        <v>52232</v>
      </c>
      <c r="G59" s="32" t="s">
        <v>674</v>
      </c>
      <c r="H59" s="10" t="s">
        <v>376</v>
      </c>
      <c r="I59" s="9" t="s">
        <v>675</v>
      </c>
      <c r="J59" s="33" t="s">
        <v>391</v>
      </c>
      <c r="K59" s="34" t="s">
        <v>676</v>
      </c>
      <c r="L59" s="9" t="s">
        <v>150</v>
      </c>
      <c r="M59" s="35">
        <v>41365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27" customHeight="1" x14ac:dyDescent="0.25">
      <c r="A60" s="10">
        <v>59</v>
      </c>
      <c r="B60" s="9" t="s">
        <v>677</v>
      </c>
      <c r="C60" s="10" t="s">
        <v>18</v>
      </c>
      <c r="D60" s="9" t="s">
        <v>678</v>
      </c>
      <c r="E60" s="30">
        <v>28554</v>
      </c>
      <c r="F60" s="31">
        <v>49766</v>
      </c>
      <c r="G60" s="32" t="s">
        <v>679</v>
      </c>
      <c r="H60" s="10" t="s">
        <v>449</v>
      </c>
      <c r="I60" s="9" t="s">
        <v>680</v>
      </c>
      <c r="J60" s="37" t="s">
        <v>681</v>
      </c>
      <c r="K60" s="34" t="s">
        <v>682</v>
      </c>
      <c r="L60" s="9" t="s">
        <v>150</v>
      </c>
      <c r="M60" s="35">
        <v>43832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27" customHeight="1" x14ac:dyDescent="0.25">
      <c r="A61" s="10">
        <v>60</v>
      </c>
      <c r="B61" s="9" t="s">
        <v>683</v>
      </c>
      <c r="C61" s="10" t="s">
        <v>18</v>
      </c>
      <c r="D61" s="9" t="s">
        <v>684</v>
      </c>
      <c r="E61" s="30">
        <v>32356</v>
      </c>
      <c r="F61" s="31">
        <v>53571</v>
      </c>
      <c r="G61" s="32" t="s">
        <v>685</v>
      </c>
      <c r="H61" s="10" t="s">
        <v>376</v>
      </c>
      <c r="I61" s="9" t="s">
        <v>686</v>
      </c>
      <c r="J61" s="24" t="s">
        <v>570</v>
      </c>
      <c r="K61" s="34" t="s">
        <v>687</v>
      </c>
      <c r="L61" s="9" t="s">
        <v>150</v>
      </c>
      <c r="M61" s="35">
        <v>40791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27" customHeight="1" x14ac:dyDescent="0.25">
      <c r="A62" s="10">
        <v>61</v>
      </c>
      <c r="B62" s="9" t="s">
        <v>688</v>
      </c>
      <c r="C62" s="10" t="s">
        <v>18</v>
      </c>
      <c r="D62" s="9" t="s">
        <v>689</v>
      </c>
      <c r="E62" s="30">
        <v>32234</v>
      </c>
      <c r="F62" s="31">
        <v>53448</v>
      </c>
      <c r="G62" s="32" t="s">
        <v>690</v>
      </c>
      <c r="H62" s="10" t="s">
        <v>376</v>
      </c>
      <c r="I62" s="9" t="s">
        <v>691</v>
      </c>
      <c r="J62" s="45" t="s">
        <v>391</v>
      </c>
      <c r="K62" s="34" t="s">
        <v>692</v>
      </c>
      <c r="L62" s="9" t="s">
        <v>150</v>
      </c>
      <c r="M62" s="35">
        <v>41365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27" customHeight="1" x14ac:dyDescent="0.25">
      <c r="A63" s="10">
        <v>62</v>
      </c>
      <c r="B63" s="9" t="s">
        <v>693</v>
      </c>
      <c r="C63" s="10" t="s">
        <v>46</v>
      </c>
      <c r="D63" s="9" t="s">
        <v>694</v>
      </c>
      <c r="E63" s="30">
        <v>31203</v>
      </c>
      <c r="F63" s="31">
        <v>52413</v>
      </c>
      <c r="G63" s="32" t="s">
        <v>695</v>
      </c>
      <c r="H63" s="10" t="s">
        <v>376</v>
      </c>
      <c r="I63" s="9" t="s">
        <v>696</v>
      </c>
      <c r="J63" s="33" t="s">
        <v>697</v>
      </c>
      <c r="K63" s="34" t="s">
        <v>698</v>
      </c>
      <c r="L63" s="9" t="s">
        <v>150</v>
      </c>
      <c r="M63" s="35">
        <v>40910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27" customHeight="1" x14ac:dyDescent="0.25">
      <c r="A64" s="10">
        <v>63</v>
      </c>
      <c r="B64" s="9" t="s">
        <v>699</v>
      </c>
      <c r="C64" s="10" t="s">
        <v>18</v>
      </c>
      <c r="D64" s="9" t="s">
        <v>700</v>
      </c>
      <c r="E64" s="30">
        <v>30666</v>
      </c>
      <c r="F64" s="31">
        <v>51867</v>
      </c>
      <c r="G64" s="32" t="s">
        <v>701</v>
      </c>
      <c r="H64" s="10" t="s">
        <v>460</v>
      </c>
      <c r="I64" s="9" t="s">
        <v>702</v>
      </c>
      <c r="J64" s="33" t="s">
        <v>157</v>
      </c>
      <c r="K64" s="34" t="s">
        <v>703</v>
      </c>
      <c r="L64" s="9" t="s">
        <v>150</v>
      </c>
      <c r="M64" s="35">
        <v>39814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27" customHeight="1" x14ac:dyDescent="0.25">
      <c r="A65" s="10">
        <v>64</v>
      </c>
      <c r="B65" s="9" t="s">
        <v>704</v>
      </c>
      <c r="C65" s="10" t="s">
        <v>18</v>
      </c>
      <c r="D65" s="9" t="s">
        <v>705</v>
      </c>
      <c r="E65" s="30">
        <v>33176</v>
      </c>
      <c r="F65" s="31">
        <v>54363</v>
      </c>
      <c r="G65" s="32" t="s">
        <v>706</v>
      </c>
      <c r="H65" s="10" t="s">
        <v>437</v>
      </c>
      <c r="I65" s="9" t="s">
        <v>707</v>
      </c>
      <c r="J65" s="33" t="s">
        <v>708</v>
      </c>
      <c r="K65" s="34" t="s">
        <v>709</v>
      </c>
      <c r="L65" s="9" t="s">
        <v>150</v>
      </c>
      <c r="M65" s="35">
        <v>40910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27" customHeight="1" x14ac:dyDescent="0.25">
      <c r="A66" s="10">
        <v>65</v>
      </c>
      <c r="B66" s="9" t="s">
        <v>710</v>
      </c>
      <c r="C66" s="10" t="s">
        <v>18</v>
      </c>
      <c r="D66" s="9" t="s">
        <v>711</v>
      </c>
      <c r="E66" s="30">
        <v>33322</v>
      </c>
      <c r="F66" s="31">
        <v>54514</v>
      </c>
      <c r="G66" s="32" t="s">
        <v>712</v>
      </c>
      <c r="H66" s="10" t="s">
        <v>437</v>
      </c>
      <c r="I66" s="9" t="s">
        <v>713</v>
      </c>
      <c r="J66" s="33" t="s">
        <v>80</v>
      </c>
      <c r="K66" s="34" t="s">
        <v>714</v>
      </c>
      <c r="L66" s="9" t="s">
        <v>150</v>
      </c>
      <c r="M66" s="35">
        <v>40910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27" customHeight="1" x14ac:dyDescent="0.25">
      <c r="A67" s="10">
        <v>66</v>
      </c>
      <c r="B67" s="9" t="s">
        <v>715</v>
      </c>
      <c r="C67" s="10" t="s">
        <v>46</v>
      </c>
      <c r="D67" s="9" t="s">
        <v>716</v>
      </c>
      <c r="E67" s="30">
        <v>31873</v>
      </c>
      <c r="F67" s="31">
        <v>53083</v>
      </c>
      <c r="G67" s="32" t="s">
        <v>717</v>
      </c>
      <c r="H67" s="10" t="s">
        <v>437</v>
      </c>
      <c r="I67" s="9" t="s">
        <v>718</v>
      </c>
      <c r="J67" s="33" t="s">
        <v>80</v>
      </c>
      <c r="K67" s="34" t="s">
        <v>719</v>
      </c>
      <c r="L67" s="9" t="s">
        <v>150</v>
      </c>
      <c r="M67" s="35">
        <v>41365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27" customHeight="1" x14ac:dyDescent="0.25">
      <c r="A68" s="10">
        <v>67</v>
      </c>
      <c r="B68" s="9" t="s">
        <v>720</v>
      </c>
      <c r="C68" s="10" t="s">
        <v>18</v>
      </c>
      <c r="D68" s="9" t="s">
        <v>721</v>
      </c>
      <c r="E68" s="30">
        <v>31048</v>
      </c>
      <c r="F68" s="31">
        <v>52263</v>
      </c>
      <c r="G68" s="32" t="s">
        <v>722</v>
      </c>
      <c r="H68" s="10" t="s">
        <v>449</v>
      </c>
      <c r="I68" s="9" t="s">
        <v>723</v>
      </c>
      <c r="J68" s="33" t="s">
        <v>65</v>
      </c>
      <c r="K68" s="34" t="s">
        <v>724</v>
      </c>
      <c r="L68" s="9" t="s">
        <v>725</v>
      </c>
      <c r="M68" s="35">
        <v>40695</v>
      </c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27" customHeight="1" x14ac:dyDescent="0.25">
      <c r="A69" s="10">
        <v>68</v>
      </c>
      <c r="B69" s="9" t="s">
        <v>726</v>
      </c>
      <c r="C69" s="10" t="s">
        <v>18</v>
      </c>
      <c r="D69" s="9" t="s">
        <v>727</v>
      </c>
      <c r="E69" s="30">
        <v>28289</v>
      </c>
      <c r="F69" s="31">
        <v>49491</v>
      </c>
      <c r="G69" s="32" t="s">
        <v>728</v>
      </c>
      <c r="H69" s="10" t="s">
        <v>449</v>
      </c>
      <c r="I69" s="9" t="s">
        <v>729</v>
      </c>
      <c r="J69" s="33" t="s">
        <v>670</v>
      </c>
      <c r="K69" s="34" t="s">
        <v>730</v>
      </c>
      <c r="L69" s="9" t="s">
        <v>725</v>
      </c>
      <c r="M69" s="35">
        <v>39814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27" customHeight="1" x14ac:dyDescent="0.25">
      <c r="A70" s="10">
        <v>69</v>
      </c>
      <c r="B70" s="11" t="s">
        <v>731</v>
      </c>
      <c r="C70" s="5" t="s">
        <v>46</v>
      </c>
      <c r="D70" s="11" t="s">
        <v>732</v>
      </c>
      <c r="E70" s="30">
        <v>34426</v>
      </c>
      <c r="F70" s="31">
        <v>55640</v>
      </c>
      <c r="G70" s="32" t="s">
        <v>733</v>
      </c>
      <c r="H70" s="5" t="s">
        <v>376</v>
      </c>
      <c r="I70" s="11" t="s">
        <v>734</v>
      </c>
      <c r="J70" s="9" t="s">
        <v>391</v>
      </c>
      <c r="K70" s="34" t="s">
        <v>735</v>
      </c>
      <c r="L70" s="9" t="s">
        <v>725</v>
      </c>
      <c r="M70" s="38">
        <v>44136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27" customHeight="1" x14ac:dyDescent="0.25">
      <c r="A71" s="10">
        <v>70</v>
      </c>
      <c r="B71" s="9" t="s">
        <v>736</v>
      </c>
      <c r="C71" s="10" t="s">
        <v>46</v>
      </c>
      <c r="D71" s="9" t="s">
        <v>737</v>
      </c>
      <c r="E71" s="30">
        <v>30766</v>
      </c>
      <c r="F71" s="31">
        <v>51957</v>
      </c>
      <c r="G71" s="32" t="s">
        <v>738</v>
      </c>
      <c r="H71" s="10" t="s">
        <v>376</v>
      </c>
      <c r="I71" s="9" t="s">
        <v>739</v>
      </c>
      <c r="J71" s="24" t="s">
        <v>740</v>
      </c>
      <c r="K71" s="34" t="s">
        <v>741</v>
      </c>
      <c r="L71" s="9" t="s">
        <v>725</v>
      </c>
      <c r="M71" s="35">
        <v>39814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27" customHeight="1" x14ac:dyDescent="0.25">
      <c r="A72" s="10">
        <v>71</v>
      </c>
      <c r="B72" s="9" t="s">
        <v>742</v>
      </c>
      <c r="C72" s="10" t="s">
        <v>18</v>
      </c>
      <c r="D72" s="9" t="s">
        <v>743</v>
      </c>
      <c r="E72" s="30">
        <v>30390</v>
      </c>
      <c r="F72" s="31">
        <v>51592</v>
      </c>
      <c r="G72" s="32" t="s">
        <v>744</v>
      </c>
      <c r="H72" s="10" t="s">
        <v>460</v>
      </c>
      <c r="I72" s="9" t="s">
        <v>745</v>
      </c>
      <c r="J72" s="33" t="s">
        <v>288</v>
      </c>
      <c r="K72" s="34" t="s">
        <v>746</v>
      </c>
      <c r="L72" s="9" t="s">
        <v>725</v>
      </c>
      <c r="M72" s="35">
        <v>40695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27" customHeight="1" x14ac:dyDescent="0.25">
      <c r="A73" s="10">
        <v>72</v>
      </c>
      <c r="B73" s="9" t="s">
        <v>747</v>
      </c>
      <c r="C73" s="10" t="s">
        <v>18</v>
      </c>
      <c r="D73" s="9" t="s">
        <v>748</v>
      </c>
      <c r="E73" s="30">
        <v>26379</v>
      </c>
      <c r="F73" s="31">
        <v>47574</v>
      </c>
      <c r="G73" s="32" t="s">
        <v>749</v>
      </c>
      <c r="H73" s="10" t="s">
        <v>750</v>
      </c>
      <c r="I73" s="11" t="s">
        <v>750</v>
      </c>
      <c r="J73" s="37" t="s">
        <v>681</v>
      </c>
      <c r="K73" s="34" t="s">
        <v>751</v>
      </c>
      <c r="L73" s="9" t="s">
        <v>725</v>
      </c>
      <c r="M73" s="38">
        <v>44378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27" customHeight="1" x14ac:dyDescent="0.25">
      <c r="A74" s="10">
        <v>73</v>
      </c>
      <c r="B74" s="9" t="s">
        <v>752</v>
      </c>
      <c r="C74" s="10" t="s">
        <v>18</v>
      </c>
      <c r="D74" s="9" t="s">
        <v>753</v>
      </c>
      <c r="E74" s="30">
        <v>31138</v>
      </c>
      <c r="F74" s="31">
        <v>52352</v>
      </c>
      <c r="G74" s="32" t="s">
        <v>754</v>
      </c>
      <c r="H74" s="10" t="s">
        <v>437</v>
      </c>
      <c r="I74" s="9" t="s">
        <v>755</v>
      </c>
      <c r="J74" s="33" t="s">
        <v>391</v>
      </c>
      <c r="K74" s="34" t="s">
        <v>756</v>
      </c>
      <c r="L74" s="9" t="s">
        <v>725</v>
      </c>
      <c r="M74" s="35">
        <v>40546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27" customHeight="1" x14ac:dyDescent="0.25">
      <c r="A75" s="10">
        <v>74</v>
      </c>
      <c r="B75" s="9" t="s">
        <v>757</v>
      </c>
      <c r="C75" s="10" t="s">
        <v>18</v>
      </c>
      <c r="D75" s="9" t="s">
        <v>758</v>
      </c>
      <c r="E75" s="30">
        <v>30705</v>
      </c>
      <c r="F75" s="31">
        <v>51898</v>
      </c>
      <c r="G75" s="32" t="s">
        <v>759</v>
      </c>
      <c r="H75" s="10" t="s">
        <v>437</v>
      </c>
      <c r="I75" s="9" t="s">
        <v>760</v>
      </c>
      <c r="J75" s="33" t="s">
        <v>288</v>
      </c>
      <c r="K75" s="34" t="s">
        <v>761</v>
      </c>
      <c r="L75" s="9" t="s">
        <v>725</v>
      </c>
      <c r="M75" s="35">
        <v>40695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27" customHeight="1" x14ac:dyDescent="0.25">
      <c r="A76" s="10">
        <v>75</v>
      </c>
      <c r="B76" s="9" t="s">
        <v>762</v>
      </c>
      <c r="C76" s="10" t="s">
        <v>18</v>
      </c>
      <c r="D76" s="9" t="s">
        <v>763</v>
      </c>
      <c r="E76" s="30">
        <v>26437</v>
      </c>
      <c r="F76" s="31">
        <v>47635</v>
      </c>
      <c r="G76" s="32" t="s">
        <v>764</v>
      </c>
      <c r="H76" s="10" t="s">
        <v>418</v>
      </c>
      <c r="I76" s="9" t="s">
        <v>419</v>
      </c>
      <c r="J76" s="33" t="s">
        <v>80</v>
      </c>
      <c r="K76" s="34" t="s">
        <v>765</v>
      </c>
      <c r="L76" s="9" t="s">
        <v>725</v>
      </c>
      <c r="M76" s="35">
        <v>39934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27" customHeight="1" x14ac:dyDescent="0.25">
      <c r="A77" s="10">
        <v>76</v>
      </c>
      <c r="B77" s="9" t="s">
        <v>766</v>
      </c>
      <c r="C77" s="10" t="s">
        <v>46</v>
      </c>
      <c r="D77" s="9" t="s">
        <v>767</v>
      </c>
      <c r="E77" s="30">
        <v>30785</v>
      </c>
      <c r="F77" s="31">
        <v>51987</v>
      </c>
      <c r="G77" s="32" t="s">
        <v>768</v>
      </c>
      <c r="H77" s="10" t="s">
        <v>376</v>
      </c>
      <c r="I77" s="9" t="s">
        <v>769</v>
      </c>
      <c r="J77" s="33" t="s">
        <v>391</v>
      </c>
      <c r="K77" s="34" t="s">
        <v>770</v>
      </c>
      <c r="L77" s="9" t="s">
        <v>66</v>
      </c>
      <c r="M77" s="38">
        <v>44562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27" customHeight="1" x14ac:dyDescent="0.25">
      <c r="A78" s="10">
        <v>77</v>
      </c>
      <c r="B78" s="9" t="s">
        <v>771</v>
      </c>
      <c r="C78" s="10" t="s">
        <v>46</v>
      </c>
      <c r="D78" s="9" t="s">
        <v>772</v>
      </c>
      <c r="E78" s="30">
        <v>33128</v>
      </c>
      <c r="F78" s="31">
        <v>54332</v>
      </c>
      <c r="G78" s="32" t="s">
        <v>773</v>
      </c>
      <c r="H78" s="10" t="s">
        <v>376</v>
      </c>
      <c r="I78" s="9" t="s">
        <v>774</v>
      </c>
      <c r="J78" s="33" t="s">
        <v>570</v>
      </c>
      <c r="K78" s="34" t="s">
        <v>775</v>
      </c>
      <c r="L78" s="9" t="s">
        <v>176</v>
      </c>
      <c r="M78" s="46">
        <v>45231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27" customHeight="1" x14ac:dyDescent="0.25">
      <c r="A79" s="10">
        <v>78</v>
      </c>
      <c r="B79" s="9" t="s">
        <v>776</v>
      </c>
      <c r="C79" s="10" t="s">
        <v>46</v>
      </c>
      <c r="D79" s="9" t="s">
        <v>777</v>
      </c>
      <c r="E79" s="30">
        <v>32219</v>
      </c>
      <c r="F79" s="31">
        <v>53418</v>
      </c>
      <c r="G79" s="32" t="s">
        <v>778</v>
      </c>
      <c r="H79" s="10" t="s">
        <v>376</v>
      </c>
      <c r="I79" s="9" t="s">
        <v>779</v>
      </c>
      <c r="J79" s="33" t="s">
        <v>391</v>
      </c>
      <c r="K79" s="34" t="s">
        <v>780</v>
      </c>
      <c r="L79" s="9" t="s">
        <v>66</v>
      </c>
      <c r="M79" s="35">
        <v>41641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27" customHeight="1" x14ac:dyDescent="0.25">
      <c r="A80" s="10">
        <v>79</v>
      </c>
      <c r="B80" s="9" t="s">
        <v>781</v>
      </c>
      <c r="C80" s="10" t="s">
        <v>46</v>
      </c>
      <c r="D80" s="9" t="s">
        <v>782</v>
      </c>
      <c r="E80" s="30">
        <v>31696</v>
      </c>
      <c r="F80" s="31">
        <v>52902</v>
      </c>
      <c r="G80" s="32" t="s">
        <v>783</v>
      </c>
      <c r="H80" s="10" t="s">
        <v>376</v>
      </c>
      <c r="I80" s="9" t="s">
        <v>784</v>
      </c>
      <c r="J80" s="33" t="s">
        <v>570</v>
      </c>
      <c r="K80" s="34" t="s">
        <v>785</v>
      </c>
      <c r="L80" s="9" t="s">
        <v>66</v>
      </c>
      <c r="M80" s="35">
        <v>42736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27" customHeight="1" x14ac:dyDescent="0.25">
      <c r="A81" s="10">
        <v>80</v>
      </c>
      <c r="B81" s="9" t="s">
        <v>786</v>
      </c>
      <c r="C81" s="10" t="s">
        <v>18</v>
      </c>
      <c r="D81" s="9" t="s">
        <v>787</v>
      </c>
      <c r="E81" s="30">
        <v>28827</v>
      </c>
      <c r="F81" s="31">
        <v>50041</v>
      </c>
      <c r="G81" s="32" t="s">
        <v>788</v>
      </c>
      <c r="H81" s="10" t="s">
        <v>789</v>
      </c>
      <c r="I81" s="9" t="s">
        <v>790</v>
      </c>
      <c r="J81" s="33" t="s">
        <v>670</v>
      </c>
      <c r="K81" s="34" t="s">
        <v>791</v>
      </c>
      <c r="L81" s="9" t="s">
        <v>66</v>
      </c>
      <c r="M81" s="35">
        <v>40910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27" customHeight="1" x14ac:dyDescent="0.25">
      <c r="A82" s="10">
        <v>81</v>
      </c>
      <c r="B82" s="9" t="s">
        <v>792</v>
      </c>
      <c r="C82" s="10" t="s">
        <v>18</v>
      </c>
      <c r="D82" s="9" t="s">
        <v>793</v>
      </c>
      <c r="E82" s="30">
        <v>33053</v>
      </c>
      <c r="F82" s="31">
        <v>54240</v>
      </c>
      <c r="G82" s="32" t="s">
        <v>794</v>
      </c>
      <c r="H82" s="10" t="s">
        <v>460</v>
      </c>
      <c r="I82" s="9" t="s">
        <v>795</v>
      </c>
      <c r="J82" s="33" t="s">
        <v>94</v>
      </c>
      <c r="K82" s="34" t="s">
        <v>796</v>
      </c>
      <c r="L82" s="9" t="s">
        <v>66</v>
      </c>
      <c r="M82" s="35">
        <v>40910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27" customHeight="1" x14ac:dyDescent="0.25">
      <c r="A83" s="10">
        <v>82</v>
      </c>
      <c r="B83" s="9" t="s">
        <v>797</v>
      </c>
      <c r="C83" s="10" t="s">
        <v>18</v>
      </c>
      <c r="D83" s="9" t="s">
        <v>798</v>
      </c>
      <c r="E83" s="30">
        <v>32137</v>
      </c>
      <c r="F83" s="31">
        <v>53328</v>
      </c>
      <c r="G83" s="32" t="s">
        <v>799</v>
      </c>
      <c r="H83" s="10" t="s">
        <v>437</v>
      </c>
      <c r="I83" s="9" t="s">
        <v>800</v>
      </c>
      <c r="J83" s="33" t="s">
        <v>80</v>
      </c>
      <c r="K83" s="34" t="s">
        <v>801</v>
      </c>
      <c r="L83" s="9" t="s">
        <v>414</v>
      </c>
      <c r="M83" s="35">
        <v>45446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27" customHeight="1" x14ac:dyDescent="0.25">
      <c r="A84" s="10">
        <v>83</v>
      </c>
      <c r="B84" s="9" t="s">
        <v>802</v>
      </c>
      <c r="C84" s="10" t="s">
        <v>18</v>
      </c>
      <c r="D84" s="9" t="s">
        <v>803</v>
      </c>
      <c r="E84" s="30">
        <v>30748</v>
      </c>
      <c r="F84" s="31">
        <v>51957</v>
      </c>
      <c r="G84" s="32" t="s">
        <v>804</v>
      </c>
      <c r="H84" s="10" t="s">
        <v>437</v>
      </c>
      <c r="I84" s="9" t="s">
        <v>805</v>
      </c>
      <c r="J84" s="33" t="s">
        <v>670</v>
      </c>
      <c r="K84" s="34" t="s">
        <v>806</v>
      </c>
      <c r="L84" s="9" t="s">
        <v>66</v>
      </c>
      <c r="M84" s="35">
        <v>40910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27" customHeight="1" x14ac:dyDescent="0.25">
      <c r="A85" s="10">
        <v>84</v>
      </c>
      <c r="B85" s="11" t="s">
        <v>807</v>
      </c>
      <c r="C85" s="5" t="s">
        <v>18</v>
      </c>
      <c r="D85" s="11" t="s">
        <v>808</v>
      </c>
      <c r="E85" s="30">
        <v>33670</v>
      </c>
      <c r="F85" s="31">
        <v>54879</v>
      </c>
      <c r="G85" s="32" t="s">
        <v>809</v>
      </c>
      <c r="H85" s="5" t="s">
        <v>376</v>
      </c>
      <c r="I85" s="9" t="s">
        <v>114</v>
      </c>
      <c r="J85" s="33" t="s">
        <v>80</v>
      </c>
      <c r="K85" s="34" t="s">
        <v>810</v>
      </c>
      <c r="L85" s="9" t="s">
        <v>81</v>
      </c>
      <c r="M85" s="47" t="s">
        <v>811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27" customHeight="1" x14ac:dyDescent="0.25">
      <c r="A86" s="10">
        <v>85</v>
      </c>
      <c r="B86" s="9" t="s">
        <v>812</v>
      </c>
      <c r="C86" s="10" t="s">
        <v>46</v>
      </c>
      <c r="D86" s="9" t="s">
        <v>813</v>
      </c>
      <c r="E86" s="30">
        <v>29184</v>
      </c>
      <c r="F86" s="31">
        <v>50375</v>
      </c>
      <c r="G86" s="32" t="s">
        <v>814</v>
      </c>
      <c r="H86" s="10" t="s">
        <v>389</v>
      </c>
      <c r="I86" s="40" t="s">
        <v>815</v>
      </c>
      <c r="J86" s="37" t="s">
        <v>816</v>
      </c>
      <c r="K86" s="34" t="s">
        <v>817</v>
      </c>
      <c r="L86" s="48" t="s">
        <v>818</v>
      </c>
      <c r="M86" s="35">
        <v>41671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27" customHeight="1" x14ac:dyDescent="0.25">
      <c r="A87" s="10">
        <v>86</v>
      </c>
      <c r="B87" s="9" t="s">
        <v>819</v>
      </c>
      <c r="C87" s="10" t="s">
        <v>18</v>
      </c>
      <c r="D87" s="9" t="s">
        <v>820</v>
      </c>
      <c r="E87" s="30">
        <v>33077</v>
      </c>
      <c r="F87" s="31">
        <v>54271</v>
      </c>
      <c r="G87" s="32" t="s">
        <v>821</v>
      </c>
      <c r="H87" s="10" t="s">
        <v>376</v>
      </c>
      <c r="I87" s="9" t="s">
        <v>822</v>
      </c>
      <c r="J87" s="37" t="s">
        <v>823</v>
      </c>
      <c r="K87" s="34" t="s">
        <v>824</v>
      </c>
      <c r="L87" s="48" t="s">
        <v>818</v>
      </c>
      <c r="M87" s="35">
        <v>42795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27" customHeight="1" x14ac:dyDescent="0.25">
      <c r="A88" s="10">
        <v>87</v>
      </c>
      <c r="B88" s="9" t="s">
        <v>825</v>
      </c>
      <c r="C88" s="10" t="s">
        <v>46</v>
      </c>
      <c r="D88" s="9" t="s">
        <v>826</v>
      </c>
      <c r="E88" s="30">
        <v>29330</v>
      </c>
      <c r="F88" s="31">
        <v>50526</v>
      </c>
      <c r="G88" s="32" t="s">
        <v>827</v>
      </c>
      <c r="H88" s="10" t="s">
        <v>376</v>
      </c>
      <c r="I88" s="9" t="s">
        <v>828</v>
      </c>
      <c r="J88" s="37" t="s">
        <v>570</v>
      </c>
      <c r="K88" s="34" t="s">
        <v>829</v>
      </c>
      <c r="L88" s="48" t="s">
        <v>150</v>
      </c>
      <c r="M88" s="35">
        <v>45446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27" customHeight="1" x14ac:dyDescent="0.25">
      <c r="A89" s="10">
        <v>88</v>
      </c>
      <c r="B89" s="49" t="s">
        <v>830</v>
      </c>
      <c r="C89" s="10" t="s">
        <v>18</v>
      </c>
      <c r="D89" s="9" t="s">
        <v>831</v>
      </c>
      <c r="E89" s="30">
        <v>28592</v>
      </c>
      <c r="F89" s="31">
        <v>49796</v>
      </c>
      <c r="G89" s="32" t="s">
        <v>832</v>
      </c>
      <c r="H89" s="10" t="s">
        <v>376</v>
      </c>
      <c r="I89" s="9" t="s">
        <v>833</v>
      </c>
      <c r="J89" s="37" t="s">
        <v>834</v>
      </c>
      <c r="K89" s="34" t="s">
        <v>835</v>
      </c>
      <c r="L89" s="48" t="s">
        <v>836</v>
      </c>
      <c r="M89" s="38">
        <v>42736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27" customHeight="1" x14ac:dyDescent="0.25">
      <c r="A90" s="10">
        <v>89</v>
      </c>
      <c r="B90" s="9" t="s">
        <v>837</v>
      </c>
      <c r="C90" s="10" t="s">
        <v>46</v>
      </c>
      <c r="D90" s="9" t="s">
        <v>838</v>
      </c>
      <c r="E90" s="30">
        <v>32987</v>
      </c>
      <c r="F90" s="31">
        <v>54179</v>
      </c>
      <c r="G90" s="32" t="s">
        <v>839</v>
      </c>
      <c r="H90" s="10" t="s">
        <v>376</v>
      </c>
      <c r="I90" s="9" t="s">
        <v>840</v>
      </c>
      <c r="J90" s="37" t="s">
        <v>841</v>
      </c>
      <c r="K90" s="34" t="s">
        <v>842</v>
      </c>
      <c r="L90" s="48" t="s">
        <v>836</v>
      </c>
      <c r="M90" s="43">
        <v>42795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27" customHeight="1" x14ac:dyDescent="0.25">
      <c r="A91" s="10">
        <v>90</v>
      </c>
      <c r="B91" s="9" t="s">
        <v>843</v>
      </c>
      <c r="C91" s="10" t="s">
        <v>46</v>
      </c>
      <c r="D91" s="9" t="s">
        <v>844</v>
      </c>
      <c r="E91" s="30">
        <v>31222</v>
      </c>
      <c r="F91" s="31">
        <v>52413</v>
      </c>
      <c r="G91" s="32" t="s">
        <v>845</v>
      </c>
      <c r="H91" s="10" t="s">
        <v>376</v>
      </c>
      <c r="I91" s="9" t="s">
        <v>846</v>
      </c>
      <c r="J91" s="37" t="s">
        <v>391</v>
      </c>
      <c r="K91" s="34" t="s">
        <v>847</v>
      </c>
      <c r="L91" s="48" t="s">
        <v>836</v>
      </c>
      <c r="M91" s="50">
        <v>43101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27" customHeight="1" x14ac:dyDescent="0.25">
      <c r="A92" s="10">
        <v>91</v>
      </c>
      <c r="B92" s="40" t="s">
        <v>848</v>
      </c>
      <c r="C92" s="39" t="s">
        <v>18</v>
      </c>
      <c r="D92" s="9" t="s">
        <v>849</v>
      </c>
      <c r="E92" s="30">
        <v>29784</v>
      </c>
      <c r="F92" s="31">
        <v>50983</v>
      </c>
      <c r="G92" s="32" t="s">
        <v>850</v>
      </c>
      <c r="H92" s="10" t="s">
        <v>376</v>
      </c>
      <c r="I92" s="9" t="s">
        <v>851</v>
      </c>
      <c r="J92" s="37" t="s">
        <v>80</v>
      </c>
      <c r="K92" s="34" t="s">
        <v>852</v>
      </c>
      <c r="L92" s="9" t="s">
        <v>66</v>
      </c>
      <c r="M92" s="43">
        <v>45446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27" customHeight="1" x14ac:dyDescent="0.25">
      <c r="A93" s="10">
        <v>92</v>
      </c>
      <c r="B93" s="11" t="s">
        <v>853</v>
      </c>
      <c r="C93" s="5" t="s">
        <v>46</v>
      </c>
      <c r="D93" s="11" t="s">
        <v>854</v>
      </c>
      <c r="E93" s="30">
        <v>35096</v>
      </c>
      <c r="F93" s="31">
        <v>56309</v>
      </c>
      <c r="G93" s="32" t="s">
        <v>855</v>
      </c>
      <c r="H93" s="5" t="s">
        <v>376</v>
      </c>
      <c r="I93" s="11" t="s">
        <v>856</v>
      </c>
      <c r="J93" s="24" t="s">
        <v>570</v>
      </c>
      <c r="K93" s="34" t="s">
        <v>857</v>
      </c>
      <c r="L93" s="9" t="s">
        <v>414</v>
      </c>
      <c r="M93" s="43">
        <v>43313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27" customHeight="1" x14ac:dyDescent="0.25">
      <c r="A94" s="10">
        <v>93</v>
      </c>
      <c r="B94" s="40" t="s">
        <v>858</v>
      </c>
      <c r="C94" s="39" t="s">
        <v>18</v>
      </c>
      <c r="D94" s="9" t="s">
        <v>859</v>
      </c>
      <c r="E94" s="30">
        <v>29936</v>
      </c>
      <c r="F94" s="31">
        <v>51136</v>
      </c>
      <c r="G94" s="32" t="s">
        <v>860</v>
      </c>
      <c r="H94" s="10" t="s">
        <v>460</v>
      </c>
      <c r="I94" s="9" t="s">
        <v>861</v>
      </c>
      <c r="J94" s="37" t="s">
        <v>157</v>
      </c>
      <c r="K94" s="34" t="s">
        <v>862</v>
      </c>
      <c r="L94" s="9" t="s">
        <v>414</v>
      </c>
      <c r="M94" s="43">
        <v>39449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27" customHeight="1" x14ac:dyDescent="0.25">
      <c r="A95" s="10">
        <v>94</v>
      </c>
      <c r="B95" s="40" t="s">
        <v>863</v>
      </c>
      <c r="C95" s="39" t="s">
        <v>18</v>
      </c>
      <c r="D95" s="9" t="s">
        <v>864</v>
      </c>
      <c r="E95" s="30">
        <v>27649</v>
      </c>
      <c r="F95" s="31">
        <v>48853</v>
      </c>
      <c r="G95" s="32" t="s">
        <v>865</v>
      </c>
      <c r="H95" s="10" t="s">
        <v>460</v>
      </c>
      <c r="I95" s="9" t="s">
        <v>866</v>
      </c>
      <c r="J95" s="37" t="s">
        <v>157</v>
      </c>
      <c r="K95" s="34" t="s">
        <v>867</v>
      </c>
      <c r="L95" s="9" t="s">
        <v>414</v>
      </c>
      <c r="M95" s="43">
        <v>39449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27" customHeight="1" x14ac:dyDescent="0.25">
      <c r="A96" s="10">
        <v>95</v>
      </c>
      <c r="B96" s="12" t="s">
        <v>868</v>
      </c>
      <c r="C96" s="5" t="s">
        <v>18</v>
      </c>
      <c r="D96" s="12" t="s">
        <v>869</v>
      </c>
      <c r="E96" s="51">
        <v>32351</v>
      </c>
      <c r="F96" s="31">
        <v>53540</v>
      </c>
      <c r="G96" s="32" t="s">
        <v>870</v>
      </c>
      <c r="H96" s="5" t="s">
        <v>437</v>
      </c>
      <c r="I96" s="14" t="s">
        <v>871</v>
      </c>
      <c r="J96" s="12" t="s">
        <v>681</v>
      </c>
      <c r="K96" s="34" t="s">
        <v>872</v>
      </c>
      <c r="L96" s="9" t="s">
        <v>414</v>
      </c>
      <c r="M96" s="43">
        <v>43832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27" customHeight="1" x14ac:dyDescent="0.25">
      <c r="A97" s="10">
        <v>96</v>
      </c>
      <c r="B97" s="40" t="s">
        <v>873</v>
      </c>
      <c r="C97" s="39" t="s">
        <v>18</v>
      </c>
      <c r="D97" s="9" t="s">
        <v>874</v>
      </c>
      <c r="E97" s="30">
        <v>27798</v>
      </c>
      <c r="F97" s="31">
        <v>49004</v>
      </c>
      <c r="G97" s="32" t="s">
        <v>875</v>
      </c>
      <c r="H97" s="10" t="s">
        <v>437</v>
      </c>
      <c r="I97" s="9" t="s">
        <v>876</v>
      </c>
      <c r="J97" s="37" t="s">
        <v>157</v>
      </c>
      <c r="K97" s="34" t="s">
        <v>877</v>
      </c>
      <c r="L97" s="9" t="s">
        <v>176</v>
      </c>
      <c r="M97" s="43">
        <v>45446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27" customHeight="1" x14ac:dyDescent="0.25">
      <c r="A98" s="10">
        <v>97</v>
      </c>
      <c r="B98" s="40" t="s">
        <v>878</v>
      </c>
      <c r="C98" s="39" t="s">
        <v>18</v>
      </c>
      <c r="D98" s="9" t="s">
        <v>879</v>
      </c>
      <c r="E98" s="30">
        <v>26077</v>
      </c>
      <c r="F98" s="31">
        <v>47270</v>
      </c>
      <c r="G98" s="32" t="s">
        <v>880</v>
      </c>
      <c r="H98" s="10" t="s">
        <v>430</v>
      </c>
      <c r="I98" s="9" t="s">
        <v>881</v>
      </c>
      <c r="J98" s="37" t="s">
        <v>157</v>
      </c>
      <c r="K98" s="34" t="s">
        <v>882</v>
      </c>
      <c r="L98" s="9" t="s">
        <v>414</v>
      </c>
      <c r="M98" s="43">
        <v>39449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27" customHeight="1" x14ac:dyDescent="0.25">
      <c r="A99" s="10">
        <v>98</v>
      </c>
      <c r="B99" s="11" t="s">
        <v>883</v>
      </c>
      <c r="C99" s="5" t="s">
        <v>18</v>
      </c>
      <c r="D99" s="11" t="s">
        <v>884</v>
      </c>
      <c r="E99" s="30">
        <v>34154</v>
      </c>
      <c r="F99" s="31">
        <v>55366</v>
      </c>
      <c r="G99" s="32" t="s">
        <v>885</v>
      </c>
      <c r="H99" s="5" t="s">
        <v>376</v>
      </c>
      <c r="I99" s="11" t="s">
        <v>886</v>
      </c>
      <c r="J99" s="33" t="s">
        <v>887</v>
      </c>
      <c r="K99" s="34" t="s">
        <v>888</v>
      </c>
      <c r="L99" s="48" t="s">
        <v>889</v>
      </c>
      <c r="M99" s="43">
        <v>43313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27" customHeight="1" x14ac:dyDescent="0.25">
      <c r="A100" s="10">
        <v>99</v>
      </c>
      <c r="B100" s="9" t="s">
        <v>890</v>
      </c>
      <c r="C100" s="10" t="s">
        <v>18</v>
      </c>
      <c r="D100" s="9" t="s">
        <v>891</v>
      </c>
      <c r="E100" s="30">
        <v>31013</v>
      </c>
      <c r="F100" s="31">
        <v>52201</v>
      </c>
      <c r="G100" s="32" t="s">
        <v>892</v>
      </c>
      <c r="H100" s="10" t="s">
        <v>376</v>
      </c>
      <c r="I100" s="9" t="s">
        <v>893</v>
      </c>
      <c r="J100" s="33" t="s">
        <v>887</v>
      </c>
      <c r="K100" s="34" t="s">
        <v>894</v>
      </c>
      <c r="L100" s="48" t="s">
        <v>889</v>
      </c>
      <c r="M100" s="43">
        <v>41365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27" customHeight="1" x14ac:dyDescent="0.25">
      <c r="A101" s="10">
        <v>100</v>
      </c>
      <c r="B101" s="9" t="s">
        <v>895</v>
      </c>
      <c r="C101" s="10" t="s">
        <v>46</v>
      </c>
      <c r="D101" s="9" t="s">
        <v>896</v>
      </c>
      <c r="E101" s="30">
        <v>33089</v>
      </c>
      <c r="F101" s="31">
        <v>54302</v>
      </c>
      <c r="G101" s="32" t="s">
        <v>897</v>
      </c>
      <c r="H101" s="10" t="s">
        <v>376</v>
      </c>
      <c r="I101" s="9" t="s">
        <v>898</v>
      </c>
      <c r="J101" s="37" t="s">
        <v>391</v>
      </c>
      <c r="K101" s="34" t="s">
        <v>899</v>
      </c>
      <c r="L101" s="48" t="s">
        <v>900</v>
      </c>
      <c r="M101" s="52">
        <v>43831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27" customHeight="1" x14ac:dyDescent="0.25">
      <c r="A102" s="10">
        <v>101</v>
      </c>
      <c r="B102" s="12" t="s">
        <v>901</v>
      </c>
      <c r="C102" s="5" t="s">
        <v>18</v>
      </c>
      <c r="D102" s="9" t="s">
        <v>902</v>
      </c>
      <c r="E102" s="30">
        <v>34174</v>
      </c>
      <c r="F102" s="31">
        <v>55366</v>
      </c>
      <c r="G102" s="32" t="s">
        <v>903</v>
      </c>
      <c r="H102" s="10" t="s">
        <v>376</v>
      </c>
      <c r="I102" s="9" t="s">
        <v>886</v>
      </c>
      <c r="J102" s="11" t="s">
        <v>115</v>
      </c>
      <c r="K102" s="34" t="s">
        <v>904</v>
      </c>
      <c r="L102" s="24" t="s">
        <v>905</v>
      </c>
      <c r="M102" s="53">
        <v>43191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27" customHeight="1" x14ac:dyDescent="0.25">
      <c r="A103" s="10">
        <v>102</v>
      </c>
      <c r="B103" s="9" t="s">
        <v>906</v>
      </c>
      <c r="C103" s="10" t="s">
        <v>18</v>
      </c>
      <c r="D103" s="9" t="s">
        <v>907</v>
      </c>
      <c r="E103" s="30">
        <v>29984</v>
      </c>
      <c r="F103" s="31">
        <v>51196</v>
      </c>
      <c r="G103" s="32" t="s">
        <v>908</v>
      </c>
      <c r="H103" s="10" t="s">
        <v>376</v>
      </c>
      <c r="I103" s="9" t="s">
        <v>909</v>
      </c>
      <c r="J103" s="37" t="s">
        <v>910</v>
      </c>
      <c r="K103" s="34" t="s">
        <v>911</v>
      </c>
      <c r="L103" s="24" t="s">
        <v>912</v>
      </c>
      <c r="M103" s="53">
        <v>39814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27" customHeight="1" x14ac:dyDescent="0.25">
      <c r="A104" s="10">
        <v>103</v>
      </c>
      <c r="B104" s="9" t="s">
        <v>913</v>
      </c>
      <c r="C104" s="10" t="s">
        <v>46</v>
      </c>
      <c r="D104" s="9" t="s">
        <v>914</v>
      </c>
      <c r="E104" s="30">
        <v>30656</v>
      </c>
      <c r="F104" s="31">
        <v>51867</v>
      </c>
      <c r="G104" s="32" t="s">
        <v>915</v>
      </c>
      <c r="H104" s="10" t="s">
        <v>376</v>
      </c>
      <c r="I104" s="9" t="s">
        <v>916</v>
      </c>
      <c r="J104" s="37" t="s">
        <v>570</v>
      </c>
      <c r="K104" s="34" t="s">
        <v>917</v>
      </c>
      <c r="L104" s="24" t="s">
        <v>150</v>
      </c>
      <c r="M104" s="53">
        <v>45446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27" customHeight="1" x14ac:dyDescent="0.25">
      <c r="A105" s="10">
        <v>104</v>
      </c>
      <c r="B105" s="9" t="s">
        <v>918</v>
      </c>
      <c r="C105" s="10" t="s">
        <v>18</v>
      </c>
      <c r="D105" s="9" t="s">
        <v>919</v>
      </c>
      <c r="E105" s="30">
        <v>28527</v>
      </c>
      <c r="F105" s="31">
        <v>49735</v>
      </c>
      <c r="G105" s="32" t="s">
        <v>920</v>
      </c>
      <c r="H105" s="10" t="s">
        <v>460</v>
      </c>
      <c r="I105" s="9" t="s">
        <v>921</v>
      </c>
      <c r="J105" s="37" t="s">
        <v>80</v>
      </c>
      <c r="K105" s="34" t="s">
        <v>922</v>
      </c>
      <c r="L105" s="24" t="s">
        <v>912</v>
      </c>
      <c r="M105" s="30">
        <v>39449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27" customHeight="1" x14ac:dyDescent="0.25">
      <c r="A106" s="10">
        <v>105</v>
      </c>
      <c r="B106" s="9" t="s">
        <v>923</v>
      </c>
      <c r="C106" s="10" t="s">
        <v>18</v>
      </c>
      <c r="D106" s="9" t="s">
        <v>924</v>
      </c>
      <c r="E106" s="30">
        <v>25941</v>
      </c>
      <c r="F106" s="31">
        <v>47150</v>
      </c>
      <c r="G106" s="32" t="s">
        <v>925</v>
      </c>
      <c r="H106" s="10" t="s">
        <v>460</v>
      </c>
      <c r="I106" s="9" t="s">
        <v>926</v>
      </c>
      <c r="J106" s="37" t="s">
        <v>157</v>
      </c>
      <c r="K106" s="34" t="s">
        <v>927</v>
      </c>
      <c r="L106" s="24" t="s">
        <v>912</v>
      </c>
      <c r="M106" s="30">
        <v>39814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27" customHeight="1" x14ac:dyDescent="0.25">
      <c r="A107" s="10">
        <v>106</v>
      </c>
      <c r="B107" s="9" t="s">
        <v>928</v>
      </c>
      <c r="C107" s="10" t="s">
        <v>18</v>
      </c>
      <c r="D107" s="9" t="s">
        <v>929</v>
      </c>
      <c r="E107" s="30">
        <v>33390</v>
      </c>
      <c r="F107" s="31">
        <v>54605</v>
      </c>
      <c r="G107" s="32" t="s">
        <v>930</v>
      </c>
      <c r="H107" s="10" t="s">
        <v>389</v>
      </c>
      <c r="I107" s="9" t="s">
        <v>931</v>
      </c>
      <c r="J107" s="37" t="s">
        <v>157</v>
      </c>
      <c r="K107" s="34" t="s">
        <v>932</v>
      </c>
      <c r="L107" s="24" t="s">
        <v>933</v>
      </c>
      <c r="M107" s="43">
        <v>42736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27" customHeight="1" x14ac:dyDescent="0.25">
      <c r="A108" s="10">
        <v>107</v>
      </c>
      <c r="B108" s="9" t="s">
        <v>934</v>
      </c>
      <c r="C108" s="10" t="s">
        <v>46</v>
      </c>
      <c r="D108" s="9" t="s">
        <v>935</v>
      </c>
      <c r="E108" s="30">
        <v>30036</v>
      </c>
      <c r="F108" s="31">
        <v>51227</v>
      </c>
      <c r="G108" s="32" t="s">
        <v>936</v>
      </c>
      <c r="H108" s="10" t="s">
        <v>376</v>
      </c>
      <c r="I108" s="9" t="s">
        <v>937</v>
      </c>
      <c r="J108" s="37" t="s">
        <v>391</v>
      </c>
      <c r="K108" s="34" t="s">
        <v>938</v>
      </c>
      <c r="L108" s="24" t="s">
        <v>933</v>
      </c>
      <c r="M108" s="43">
        <v>40969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27" customHeight="1" x14ac:dyDescent="0.25">
      <c r="A109" s="10">
        <v>108</v>
      </c>
      <c r="B109" s="9" t="s">
        <v>939</v>
      </c>
      <c r="C109" s="10" t="s">
        <v>46</v>
      </c>
      <c r="D109" s="9" t="s">
        <v>940</v>
      </c>
      <c r="E109" s="30">
        <v>29714</v>
      </c>
      <c r="F109" s="31">
        <v>50922</v>
      </c>
      <c r="G109" s="32" t="s">
        <v>941</v>
      </c>
      <c r="H109" s="10" t="s">
        <v>376</v>
      </c>
      <c r="I109" s="9" t="s">
        <v>942</v>
      </c>
      <c r="J109" s="37" t="s">
        <v>943</v>
      </c>
      <c r="K109" s="34" t="s">
        <v>944</v>
      </c>
      <c r="L109" s="24" t="s">
        <v>933</v>
      </c>
      <c r="M109" s="53">
        <v>41640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27" customHeight="1" x14ac:dyDescent="0.25">
      <c r="A110" s="10">
        <v>109</v>
      </c>
      <c r="B110" s="9" t="s">
        <v>945</v>
      </c>
      <c r="C110" s="10" t="s">
        <v>18</v>
      </c>
      <c r="D110" s="9" t="s">
        <v>946</v>
      </c>
      <c r="E110" s="30">
        <v>30067</v>
      </c>
      <c r="F110" s="31">
        <v>51257</v>
      </c>
      <c r="G110" s="32" t="s">
        <v>947</v>
      </c>
      <c r="H110" s="10" t="s">
        <v>460</v>
      </c>
      <c r="I110" s="9" t="s">
        <v>745</v>
      </c>
      <c r="J110" s="37" t="s">
        <v>157</v>
      </c>
      <c r="K110" s="34" t="s">
        <v>948</v>
      </c>
      <c r="L110" s="24" t="s">
        <v>933</v>
      </c>
      <c r="M110" s="43">
        <v>40940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27" customHeight="1" x14ac:dyDescent="0.25">
      <c r="A111" s="10">
        <v>110</v>
      </c>
      <c r="B111" s="9" t="s">
        <v>949</v>
      </c>
      <c r="C111" s="10" t="s">
        <v>18</v>
      </c>
      <c r="D111" s="9" t="s">
        <v>950</v>
      </c>
      <c r="E111" s="30">
        <v>32005</v>
      </c>
      <c r="F111" s="31">
        <v>53206</v>
      </c>
      <c r="G111" s="32" t="s">
        <v>951</v>
      </c>
      <c r="H111" s="10" t="s">
        <v>437</v>
      </c>
      <c r="I111" s="9" t="s">
        <v>952</v>
      </c>
      <c r="J111" s="37" t="s">
        <v>288</v>
      </c>
      <c r="K111" s="34" t="s">
        <v>953</v>
      </c>
      <c r="L111" s="24" t="s">
        <v>933</v>
      </c>
      <c r="M111" s="53">
        <v>41640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27" customHeight="1" x14ac:dyDescent="0.25">
      <c r="A112" s="10">
        <v>111</v>
      </c>
      <c r="B112" s="9" t="s">
        <v>954</v>
      </c>
      <c r="C112" s="10" t="s">
        <v>18</v>
      </c>
      <c r="D112" s="9" t="s">
        <v>955</v>
      </c>
      <c r="E112" s="30">
        <v>32343</v>
      </c>
      <c r="F112" s="31">
        <v>53540</v>
      </c>
      <c r="G112" s="32" t="s">
        <v>956</v>
      </c>
      <c r="H112" s="10" t="s">
        <v>376</v>
      </c>
      <c r="I112" s="9" t="s">
        <v>957</v>
      </c>
      <c r="J112" s="37" t="s">
        <v>958</v>
      </c>
      <c r="K112" s="34" t="s">
        <v>959</v>
      </c>
      <c r="L112" s="24" t="s">
        <v>478</v>
      </c>
      <c r="M112" s="53">
        <v>41640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27.75" customHeight="1" x14ac:dyDescent="0.25">
      <c r="A113" s="10">
        <v>112</v>
      </c>
      <c r="B113" s="9" t="s">
        <v>960</v>
      </c>
      <c r="C113" s="10" t="s">
        <v>18</v>
      </c>
      <c r="D113" s="9" t="s">
        <v>961</v>
      </c>
      <c r="E113" s="30">
        <v>28991</v>
      </c>
      <c r="F113" s="31">
        <v>50192</v>
      </c>
      <c r="G113" s="54" t="s">
        <v>962</v>
      </c>
      <c r="H113" s="10" t="s">
        <v>437</v>
      </c>
      <c r="I113" s="9" t="s">
        <v>963</v>
      </c>
      <c r="J113" s="37" t="s">
        <v>80</v>
      </c>
      <c r="K113" s="34" t="s">
        <v>964</v>
      </c>
      <c r="L113" s="24" t="s">
        <v>478</v>
      </c>
      <c r="M113" s="35">
        <v>40910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 x14ac:dyDescent="0.25">
      <c r="F114" s="55"/>
    </row>
    <row r="115" spans="1:26" ht="15.75" customHeight="1" x14ac:dyDescent="0.25">
      <c r="F115" s="55"/>
    </row>
    <row r="116" spans="1:26" ht="15.75" customHeight="1" x14ac:dyDescent="0.25">
      <c r="F116" s="55"/>
    </row>
    <row r="117" spans="1:26" ht="15.75" customHeight="1" x14ac:dyDescent="0.25">
      <c r="F117" s="55"/>
    </row>
    <row r="118" spans="1:26" ht="15.75" customHeight="1" x14ac:dyDescent="0.25">
      <c r="F118" s="55"/>
    </row>
    <row r="119" spans="1:26" ht="15.75" customHeight="1" x14ac:dyDescent="0.25">
      <c r="F119" s="55"/>
    </row>
    <row r="120" spans="1:26" ht="15.75" customHeight="1" x14ac:dyDescent="0.25">
      <c r="F120" s="55"/>
    </row>
    <row r="121" spans="1:26" ht="15.75" customHeight="1" x14ac:dyDescent="0.25">
      <c r="F121" s="55"/>
    </row>
    <row r="122" spans="1:26" ht="15.75" customHeight="1" x14ac:dyDescent="0.25">
      <c r="F122" s="55"/>
    </row>
    <row r="123" spans="1:26" ht="15.75" customHeight="1" x14ac:dyDescent="0.25">
      <c r="F123" s="55"/>
    </row>
    <row r="124" spans="1:26" ht="15.75" customHeight="1" x14ac:dyDescent="0.25">
      <c r="F124" s="55"/>
    </row>
    <row r="125" spans="1:26" ht="15.75" customHeight="1" x14ac:dyDescent="0.25">
      <c r="F125" s="55"/>
    </row>
    <row r="126" spans="1:26" ht="15.75" customHeight="1" x14ac:dyDescent="0.25">
      <c r="F126" s="55"/>
    </row>
    <row r="127" spans="1:26" ht="15.75" customHeight="1" x14ac:dyDescent="0.25">
      <c r="F127" s="55"/>
    </row>
    <row r="128" spans="1:26" ht="15.75" customHeight="1" x14ac:dyDescent="0.25">
      <c r="F128" s="55"/>
    </row>
    <row r="129" spans="6:6" ht="15.75" customHeight="1" x14ac:dyDescent="0.25">
      <c r="F129" s="55"/>
    </row>
    <row r="130" spans="6:6" ht="15.75" customHeight="1" x14ac:dyDescent="0.25">
      <c r="F130" s="55"/>
    </row>
    <row r="131" spans="6:6" ht="15.75" customHeight="1" x14ac:dyDescent="0.25">
      <c r="F131" s="55"/>
    </row>
    <row r="132" spans="6:6" ht="15.75" customHeight="1" x14ac:dyDescent="0.25">
      <c r="F132" s="55"/>
    </row>
    <row r="133" spans="6:6" ht="15.75" customHeight="1" x14ac:dyDescent="0.25">
      <c r="F133" s="55"/>
    </row>
    <row r="134" spans="6:6" ht="15.75" customHeight="1" x14ac:dyDescent="0.25">
      <c r="F134" s="55"/>
    </row>
    <row r="135" spans="6:6" ht="15.75" customHeight="1" x14ac:dyDescent="0.25">
      <c r="F135" s="55"/>
    </row>
    <row r="136" spans="6:6" ht="15.75" customHeight="1" x14ac:dyDescent="0.25">
      <c r="F136" s="55"/>
    </row>
    <row r="137" spans="6:6" ht="15.75" customHeight="1" x14ac:dyDescent="0.25">
      <c r="F137" s="55"/>
    </row>
    <row r="138" spans="6:6" ht="15.75" customHeight="1" x14ac:dyDescent="0.25">
      <c r="F138" s="55"/>
    </row>
    <row r="139" spans="6:6" ht="15.75" customHeight="1" x14ac:dyDescent="0.25">
      <c r="F139" s="55"/>
    </row>
    <row r="140" spans="6:6" ht="15.75" customHeight="1" x14ac:dyDescent="0.25">
      <c r="F140" s="55"/>
    </row>
    <row r="141" spans="6:6" ht="15.75" customHeight="1" x14ac:dyDescent="0.25">
      <c r="F141" s="55"/>
    </row>
    <row r="142" spans="6:6" ht="15.75" customHeight="1" x14ac:dyDescent="0.25">
      <c r="F142" s="55"/>
    </row>
    <row r="143" spans="6:6" ht="15.75" customHeight="1" x14ac:dyDescent="0.25">
      <c r="F143" s="55"/>
    </row>
    <row r="144" spans="6:6" ht="15.75" customHeight="1" x14ac:dyDescent="0.25">
      <c r="F144" s="55"/>
    </row>
    <row r="145" spans="6:6" ht="15.75" customHeight="1" x14ac:dyDescent="0.25">
      <c r="F145" s="55"/>
    </row>
    <row r="146" spans="6:6" ht="15.75" customHeight="1" x14ac:dyDescent="0.25">
      <c r="F146" s="55"/>
    </row>
    <row r="147" spans="6:6" ht="15.75" customHeight="1" x14ac:dyDescent="0.25">
      <c r="F147" s="55"/>
    </row>
    <row r="148" spans="6:6" ht="15.75" customHeight="1" x14ac:dyDescent="0.25">
      <c r="F148" s="55"/>
    </row>
    <row r="149" spans="6:6" ht="15.75" customHeight="1" x14ac:dyDescent="0.25">
      <c r="F149" s="55"/>
    </row>
    <row r="150" spans="6:6" ht="15.75" customHeight="1" x14ac:dyDescent="0.25">
      <c r="F150" s="55"/>
    </row>
    <row r="151" spans="6:6" ht="15.75" customHeight="1" x14ac:dyDescent="0.25">
      <c r="F151" s="55"/>
    </row>
    <row r="152" spans="6:6" ht="15.75" customHeight="1" x14ac:dyDescent="0.25">
      <c r="F152" s="55"/>
    </row>
    <row r="153" spans="6:6" ht="15.75" customHeight="1" x14ac:dyDescent="0.25">
      <c r="F153" s="55"/>
    </row>
    <row r="154" spans="6:6" ht="15.75" customHeight="1" x14ac:dyDescent="0.25">
      <c r="F154" s="55"/>
    </row>
    <row r="155" spans="6:6" ht="15.75" customHeight="1" x14ac:dyDescent="0.25">
      <c r="F155" s="55"/>
    </row>
    <row r="156" spans="6:6" ht="15.75" customHeight="1" x14ac:dyDescent="0.25">
      <c r="F156" s="55"/>
    </row>
    <row r="157" spans="6:6" ht="15.75" customHeight="1" x14ac:dyDescent="0.25">
      <c r="F157" s="55"/>
    </row>
    <row r="158" spans="6:6" ht="15.75" customHeight="1" x14ac:dyDescent="0.25">
      <c r="F158" s="55"/>
    </row>
    <row r="159" spans="6:6" ht="15.75" customHeight="1" x14ac:dyDescent="0.25">
      <c r="F159" s="55"/>
    </row>
    <row r="160" spans="6:6" ht="15.75" customHeight="1" x14ac:dyDescent="0.25">
      <c r="F160" s="55"/>
    </row>
    <row r="161" spans="6:6" ht="15.75" customHeight="1" x14ac:dyDescent="0.25">
      <c r="F161" s="55"/>
    </row>
    <row r="162" spans="6:6" ht="15.75" customHeight="1" x14ac:dyDescent="0.25">
      <c r="F162" s="55"/>
    </row>
    <row r="163" spans="6:6" ht="15.75" customHeight="1" x14ac:dyDescent="0.25">
      <c r="F163" s="55"/>
    </row>
    <row r="164" spans="6:6" ht="15.75" customHeight="1" x14ac:dyDescent="0.25">
      <c r="F164" s="55"/>
    </row>
    <row r="165" spans="6:6" ht="15.75" customHeight="1" x14ac:dyDescent="0.25">
      <c r="F165" s="55"/>
    </row>
    <row r="166" spans="6:6" ht="15.75" customHeight="1" x14ac:dyDescent="0.25">
      <c r="F166" s="55"/>
    </row>
    <row r="167" spans="6:6" ht="15.75" customHeight="1" x14ac:dyDescent="0.25">
      <c r="F167" s="55"/>
    </row>
    <row r="168" spans="6:6" ht="15.75" customHeight="1" x14ac:dyDescent="0.25">
      <c r="F168" s="55"/>
    </row>
    <row r="169" spans="6:6" ht="15.75" customHeight="1" x14ac:dyDescent="0.25">
      <c r="F169" s="55"/>
    </row>
    <row r="170" spans="6:6" ht="15.75" customHeight="1" x14ac:dyDescent="0.25">
      <c r="F170" s="55"/>
    </row>
    <row r="171" spans="6:6" ht="15.75" customHeight="1" x14ac:dyDescent="0.25">
      <c r="F171" s="55"/>
    </row>
    <row r="172" spans="6:6" ht="15.75" customHeight="1" x14ac:dyDescent="0.25">
      <c r="F172" s="55"/>
    </row>
    <row r="173" spans="6:6" ht="15.75" customHeight="1" x14ac:dyDescent="0.25">
      <c r="F173" s="55"/>
    </row>
    <row r="174" spans="6:6" ht="15.75" customHeight="1" x14ac:dyDescent="0.25">
      <c r="F174" s="55"/>
    </row>
    <row r="175" spans="6:6" ht="15.75" customHeight="1" x14ac:dyDescent="0.25">
      <c r="F175" s="55"/>
    </row>
    <row r="176" spans="6:6" ht="15.75" customHeight="1" x14ac:dyDescent="0.25">
      <c r="F176" s="55"/>
    </row>
    <row r="177" spans="6:6" ht="15.75" customHeight="1" x14ac:dyDescent="0.25">
      <c r="F177" s="55"/>
    </row>
    <row r="178" spans="6:6" ht="15.75" customHeight="1" x14ac:dyDescent="0.25">
      <c r="F178" s="55"/>
    </row>
    <row r="179" spans="6:6" ht="15.75" customHeight="1" x14ac:dyDescent="0.25">
      <c r="F179" s="55"/>
    </row>
    <row r="180" spans="6:6" ht="15.75" customHeight="1" x14ac:dyDescent="0.25">
      <c r="F180" s="55"/>
    </row>
    <row r="181" spans="6:6" ht="15.75" customHeight="1" x14ac:dyDescent="0.25">
      <c r="F181" s="55"/>
    </row>
    <row r="182" spans="6:6" ht="15.75" customHeight="1" x14ac:dyDescent="0.25">
      <c r="F182" s="55"/>
    </row>
    <row r="183" spans="6:6" ht="15.75" customHeight="1" x14ac:dyDescent="0.25">
      <c r="F183" s="55"/>
    </row>
    <row r="184" spans="6:6" ht="15.75" customHeight="1" x14ac:dyDescent="0.25">
      <c r="F184" s="55"/>
    </row>
    <row r="185" spans="6:6" ht="15.75" customHeight="1" x14ac:dyDescent="0.25">
      <c r="F185" s="55"/>
    </row>
    <row r="186" spans="6:6" ht="15.75" customHeight="1" x14ac:dyDescent="0.25">
      <c r="F186" s="55"/>
    </row>
    <row r="187" spans="6:6" ht="15.75" customHeight="1" x14ac:dyDescent="0.25">
      <c r="F187" s="55"/>
    </row>
    <row r="188" spans="6:6" ht="15.75" customHeight="1" x14ac:dyDescent="0.25">
      <c r="F188" s="55"/>
    </row>
    <row r="189" spans="6:6" ht="15.75" customHeight="1" x14ac:dyDescent="0.25">
      <c r="F189" s="55"/>
    </row>
    <row r="190" spans="6:6" ht="15.75" customHeight="1" x14ac:dyDescent="0.25">
      <c r="F190" s="55"/>
    </row>
    <row r="191" spans="6:6" ht="15.75" customHeight="1" x14ac:dyDescent="0.25">
      <c r="F191" s="55"/>
    </row>
    <row r="192" spans="6:6" ht="15.75" customHeight="1" x14ac:dyDescent="0.25">
      <c r="F192" s="55"/>
    </row>
    <row r="193" spans="6:6" ht="15.75" customHeight="1" x14ac:dyDescent="0.25">
      <c r="F193" s="55"/>
    </row>
    <row r="194" spans="6:6" ht="15.75" customHeight="1" x14ac:dyDescent="0.25">
      <c r="F194" s="55"/>
    </row>
    <row r="195" spans="6:6" ht="15.75" customHeight="1" x14ac:dyDescent="0.25">
      <c r="F195" s="55"/>
    </row>
    <row r="196" spans="6:6" ht="15.75" customHeight="1" x14ac:dyDescent="0.25">
      <c r="F196" s="55"/>
    </row>
    <row r="197" spans="6:6" ht="15.75" customHeight="1" x14ac:dyDescent="0.25">
      <c r="F197" s="55"/>
    </row>
    <row r="198" spans="6:6" ht="15.75" customHeight="1" x14ac:dyDescent="0.25">
      <c r="F198" s="55"/>
    </row>
    <row r="199" spans="6:6" ht="15.75" customHeight="1" x14ac:dyDescent="0.25">
      <c r="F199" s="55"/>
    </row>
    <row r="200" spans="6:6" ht="15.75" customHeight="1" x14ac:dyDescent="0.25">
      <c r="F200" s="55"/>
    </row>
    <row r="201" spans="6:6" ht="15.75" customHeight="1" x14ac:dyDescent="0.25">
      <c r="F201" s="55"/>
    </row>
    <row r="202" spans="6:6" ht="15.75" customHeight="1" x14ac:dyDescent="0.25">
      <c r="F202" s="55"/>
    </row>
    <row r="203" spans="6:6" ht="15.75" customHeight="1" x14ac:dyDescent="0.25">
      <c r="F203" s="55"/>
    </row>
    <row r="204" spans="6:6" ht="15.75" customHeight="1" x14ac:dyDescent="0.25">
      <c r="F204" s="55"/>
    </row>
    <row r="205" spans="6:6" ht="15.75" customHeight="1" x14ac:dyDescent="0.25">
      <c r="F205" s="55"/>
    </row>
    <row r="206" spans="6:6" ht="15.75" customHeight="1" x14ac:dyDescent="0.25">
      <c r="F206" s="55"/>
    </row>
    <row r="207" spans="6:6" ht="15.75" customHeight="1" x14ac:dyDescent="0.25">
      <c r="F207" s="55"/>
    </row>
    <row r="208" spans="6:6" ht="15.75" customHeight="1" x14ac:dyDescent="0.25">
      <c r="F208" s="55"/>
    </row>
    <row r="209" spans="6:6" ht="15.75" customHeight="1" x14ac:dyDescent="0.25">
      <c r="F209" s="55"/>
    </row>
    <row r="210" spans="6:6" ht="15.75" customHeight="1" x14ac:dyDescent="0.25">
      <c r="F210" s="55"/>
    </row>
    <row r="211" spans="6:6" ht="15.75" customHeight="1" x14ac:dyDescent="0.25">
      <c r="F211" s="55"/>
    </row>
    <row r="212" spans="6:6" ht="15.75" customHeight="1" x14ac:dyDescent="0.25">
      <c r="F212" s="55"/>
    </row>
    <row r="213" spans="6:6" ht="15.75" customHeight="1" x14ac:dyDescent="0.25">
      <c r="F213" s="55"/>
    </row>
    <row r="214" spans="6:6" ht="15.75" customHeight="1" x14ac:dyDescent="0.25">
      <c r="F214" s="55"/>
    </row>
    <row r="215" spans="6:6" ht="15.75" customHeight="1" x14ac:dyDescent="0.25">
      <c r="F215" s="55"/>
    </row>
    <row r="216" spans="6:6" ht="15.75" customHeight="1" x14ac:dyDescent="0.25">
      <c r="F216" s="55"/>
    </row>
    <row r="217" spans="6:6" ht="15.75" customHeight="1" x14ac:dyDescent="0.25">
      <c r="F217" s="55"/>
    </row>
    <row r="218" spans="6:6" ht="15.75" customHeight="1" x14ac:dyDescent="0.25">
      <c r="F218" s="55"/>
    </row>
    <row r="219" spans="6:6" ht="15.75" customHeight="1" x14ac:dyDescent="0.25">
      <c r="F219" s="55"/>
    </row>
    <row r="220" spans="6:6" ht="15.75" customHeight="1" x14ac:dyDescent="0.25">
      <c r="F220" s="55"/>
    </row>
    <row r="221" spans="6:6" ht="15.75" customHeight="1" x14ac:dyDescent="0.25">
      <c r="F221" s="55"/>
    </row>
    <row r="222" spans="6:6" ht="15.75" customHeight="1" x14ac:dyDescent="0.25">
      <c r="F222" s="55"/>
    </row>
    <row r="223" spans="6:6" ht="15.75" customHeight="1" x14ac:dyDescent="0.25">
      <c r="F223" s="55"/>
    </row>
    <row r="224" spans="6:6" ht="15.75" customHeight="1" x14ac:dyDescent="0.25">
      <c r="F224" s="55"/>
    </row>
    <row r="225" spans="6:6" ht="15.75" customHeight="1" x14ac:dyDescent="0.25">
      <c r="F225" s="55"/>
    </row>
    <row r="226" spans="6:6" ht="15.75" customHeight="1" x14ac:dyDescent="0.25">
      <c r="F226" s="55"/>
    </row>
    <row r="227" spans="6:6" ht="15.75" customHeight="1" x14ac:dyDescent="0.25">
      <c r="F227" s="55"/>
    </row>
    <row r="228" spans="6:6" ht="15.75" customHeight="1" x14ac:dyDescent="0.25">
      <c r="F228" s="55"/>
    </row>
    <row r="229" spans="6:6" ht="15.75" customHeight="1" x14ac:dyDescent="0.25">
      <c r="F229" s="55"/>
    </row>
    <row r="230" spans="6:6" ht="15.75" customHeight="1" x14ac:dyDescent="0.25">
      <c r="F230" s="55"/>
    </row>
    <row r="231" spans="6:6" ht="15.75" customHeight="1" x14ac:dyDescent="0.25">
      <c r="F231" s="55"/>
    </row>
    <row r="232" spans="6:6" ht="15.75" customHeight="1" x14ac:dyDescent="0.25">
      <c r="F232" s="55"/>
    </row>
    <row r="233" spans="6:6" ht="15.75" customHeight="1" x14ac:dyDescent="0.25">
      <c r="F233" s="55"/>
    </row>
    <row r="234" spans="6:6" ht="15.75" customHeight="1" x14ac:dyDescent="0.25">
      <c r="F234" s="55"/>
    </row>
    <row r="235" spans="6:6" ht="15.75" customHeight="1" x14ac:dyDescent="0.25">
      <c r="F235" s="55"/>
    </row>
    <row r="236" spans="6:6" ht="15.75" customHeight="1" x14ac:dyDescent="0.25">
      <c r="F236" s="55"/>
    </row>
    <row r="237" spans="6:6" ht="15.75" customHeight="1" x14ac:dyDescent="0.25">
      <c r="F237" s="55"/>
    </row>
    <row r="238" spans="6:6" ht="15.75" customHeight="1" x14ac:dyDescent="0.25">
      <c r="F238" s="55"/>
    </row>
    <row r="239" spans="6:6" ht="15.75" customHeight="1" x14ac:dyDescent="0.25">
      <c r="F239" s="55"/>
    </row>
    <row r="240" spans="6:6" ht="15.75" customHeight="1" x14ac:dyDescent="0.25">
      <c r="F240" s="55"/>
    </row>
    <row r="241" spans="6:6" ht="15.75" customHeight="1" x14ac:dyDescent="0.25">
      <c r="F241" s="55"/>
    </row>
    <row r="242" spans="6:6" ht="15.75" customHeight="1" x14ac:dyDescent="0.25">
      <c r="F242" s="55"/>
    </row>
    <row r="243" spans="6:6" ht="15.75" customHeight="1" x14ac:dyDescent="0.25">
      <c r="F243" s="55"/>
    </row>
    <row r="244" spans="6:6" ht="15.75" customHeight="1" x14ac:dyDescent="0.25">
      <c r="F244" s="55"/>
    </row>
    <row r="245" spans="6:6" ht="15.75" customHeight="1" x14ac:dyDescent="0.25">
      <c r="F245" s="55"/>
    </row>
    <row r="246" spans="6:6" ht="15.75" customHeight="1" x14ac:dyDescent="0.25">
      <c r="F246" s="55"/>
    </row>
    <row r="247" spans="6:6" ht="15.75" customHeight="1" x14ac:dyDescent="0.25">
      <c r="F247" s="55"/>
    </row>
    <row r="248" spans="6:6" ht="15.75" customHeight="1" x14ac:dyDescent="0.25">
      <c r="F248" s="55"/>
    </row>
    <row r="249" spans="6:6" ht="15.75" customHeight="1" x14ac:dyDescent="0.25">
      <c r="F249" s="55"/>
    </row>
    <row r="250" spans="6:6" ht="15.75" customHeight="1" x14ac:dyDescent="0.25">
      <c r="F250" s="55"/>
    </row>
    <row r="251" spans="6:6" ht="15.75" customHeight="1" x14ac:dyDescent="0.25">
      <c r="F251" s="55"/>
    </row>
    <row r="252" spans="6:6" ht="15.75" customHeight="1" x14ac:dyDescent="0.25">
      <c r="F252" s="55"/>
    </row>
    <row r="253" spans="6:6" ht="15.75" customHeight="1" x14ac:dyDescent="0.25">
      <c r="F253" s="55"/>
    </row>
    <row r="254" spans="6:6" ht="15.75" customHeight="1" x14ac:dyDescent="0.25">
      <c r="F254" s="55"/>
    </row>
    <row r="255" spans="6:6" ht="15.75" customHeight="1" x14ac:dyDescent="0.25">
      <c r="F255" s="55"/>
    </row>
    <row r="256" spans="6:6" ht="15.75" customHeight="1" x14ac:dyDescent="0.25">
      <c r="F256" s="55"/>
    </row>
    <row r="257" spans="6:6" ht="15.75" customHeight="1" x14ac:dyDescent="0.25">
      <c r="F257" s="55"/>
    </row>
    <row r="258" spans="6:6" ht="15.75" customHeight="1" x14ac:dyDescent="0.25">
      <c r="F258" s="55"/>
    </row>
    <row r="259" spans="6:6" ht="15.75" customHeight="1" x14ac:dyDescent="0.25">
      <c r="F259" s="55"/>
    </row>
    <row r="260" spans="6:6" ht="15.75" customHeight="1" x14ac:dyDescent="0.25">
      <c r="F260" s="55"/>
    </row>
    <row r="261" spans="6:6" ht="15.75" customHeight="1" x14ac:dyDescent="0.25">
      <c r="F261" s="55"/>
    </row>
    <row r="262" spans="6:6" ht="15.75" customHeight="1" x14ac:dyDescent="0.25">
      <c r="F262" s="55"/>
    </row>
    <row r="263" spans="6:6" ht="15.75" customHeight="1" x14ac:dyDescent="0.25">
      <c r="F263" s="55"/>
    </row>
    <row r="264" spans="6:6" ht="15.75" customHeight="1" x14ac:dyDescent="0.25">
      <c r="F264" s="55"/>
    </row>
    <row r="265" spans="6:6" ht="15.75" customHeight="1" x14ac:dyDescent="0.25">
      <c r="F265" s="55"/>
    </row>
    <row r="266" spans="6:6" ht="15.75" customHeight="1" x14ac:dyDescent="0.25">
      <c r="F266" s="55"/>
    </row>
    <row r="267" spans="6:6" ht="15.75" customHeight="1" x14ac:dyDescent="0.25">
      <c r="F267" s="55"/>
    </row>
    <row r="268" spans="6:6" ht="15.75" customHeight="1" x14ac:dyDescent="0.25">
      <c r="F268" s="55"/>
    </row>
    <row r="269" spans="6:6" ht="15.75" customHeight="1" x14ac:dyDescent="0.25">
      <c r="F269" s="55"/>
    </row>
    <row r="270" spans="6:6" ht="15.75" customHeight="1" x14ac:dyDescent="0.25">
      <c r="F270" s="55"/>
    </row>
    <row r="271" spans="6:6" ht="15.75" customHeight="1" x14ac:dyDescent="0.25">
      <c r="F271" s="55"/>
    </row>
    <row r="272" spans="6:6" ht="15.75" customHeight="1" x14ac:dyDescent="0.25">
      <c r="F272" s="55"/>
    </row>
    <row r="273" spans="6:6" ht="15.75" customHeight="1" x14ac:dyDescent="0.25">
      <c r="F273" s="55"/>
    </row>
    <row r="274" spans="6:6" ht="15.75" customHeight="1" x14ac:dyDescent="0.25">
      <c r="F274" s="55"/>
    </row>
    <row r="275" spans="6:6" ht="15.75" customHeight="1" x14ac:dyDescent="0.25">
      <c r="F275" s="55"/>
    </row>
    <row r="276" spans="6:6" ht="15.75" customHeight="1" x14ac:dyDescent="0.25">
      <c r="F276" s="55"/>
    </row>
    <row r="277" spans="6:6" ht="15.75" customHeight="1" x14ac:dyDescent="0.25">
      <c r="F277" s="55"/>
    </row>
    <row r="278" spans="6:6" ht="15.75" customHeight="1" x14ac:dyDescent="0.25">
      <c r="F278" s="55"/>
    </row>
    <row r="279" spans="6:6" ht="15.75" customHeight="1" x14ac:dyDescent="0.25">
      <c r="F279" s="55"/>
    </row>
    <row r="280" spans="6:6" ht="15.75" customHeight="1" x14ac:dyDescent="0.25">
      <c r="F280" s="55"/>
    </row>
    <row r="281" spans="6:6" ht="15.75" customHeight="1" x14ac:dyDescent="0.25">
      <c r="F281" s="55"/>
    </row>
    <row r="282" spans="6:6" ht="15.75" customHeight="1" x14ac:dyDescent="0.25">
      <c r="F282" s="55"/>
    </row>
    <row r="283" spans="6:6" ht="15.75" customHeight="1" x14ac:dyDescent="0.25">
      <c r="F283" s="55"/>
    </row>
    <row r="284" spans="6:6" ht="15.75" customHeight="1" x14ac:dyDescent="0.25">
      <c r="F284" s="55"/>
    </row>
    <row r="285" spans="6:6" ht="15.75" customHeight="1" x14ac:dyDescent="0.25">
      <c r="F285" s="55"/>
    </row>
    <row r="286" spans="6:6" ht="15.75" customHeight="1" x14ac:dyDescent="0.25">
      <c r="F286" s="55"/>
    </row>
    <row r="287" spans="6:6" ht="15.75" customHeight="1" x14ac:dyDescent="0.25">
      <c r="F287" s="55"/>
    </row>
    <row r="288" spans="6:6" ht="15.75" customHeight="1" x14ac:dyDescent="0.25">
      <c r="F288" s="55"/>
    </row>
    <row r="289" spans="6:6" ht="15.75" customHeight="1" x14ac:dyDescent="0.25">
      <c r="F289" s="55"/>
    </row>
    <row r="290" spans="6:6" ht="15.75" customHeight="1" x14ac:dyDescent="0.25">
      <c r="F290" s="55"/>
    </row>
    <row r="291" spans="6:6" ht="15.75" customHeight="1" x14ac:dyDescent="0.25">
      <c r="F291" s="55"/>
    </row>
    <row r="292" spans="6:6" ht="15.75" customHeight="1" x14ac:dyDescent="0.25">
      <c r="F292" s="55"/>
    </row>
    <row r="293" spans="6:6" ht="15.75" customHeight="1" x14ac:dyDescent="0.25">
      <c r="F293" s="55"/>
    </row>
    <row r="294" spans="6:6" ht="15.75" customHeight="1" x14ac:dyDescent="0.25">
      <c r="F294" s="55"/>
    </row>
    <row r="295" spans="6:6" ht="15.75" customHeight="1" x14ac:dyDescent="0.25">
      <c r="F295" s="55"/>
    </row>
    <row r="296" spans="6:6" ht="15.75" customHeight="1" x14ac:dyDescent="0.25">
      <c r="F296" s="55"/>
    </row>
    <row r="297" spans="6:6" ht="15.75" customHeight="1" x14ac:dyDescent="0.25">
      <c r="F297" s="55"/>
    </row>
    <row r="298" spans="6:6" ht="15.75" customHeight="1" x14ac:dyDescent="0.25">
      <c r="F298" s="55"/>
    </row>
    <row r="299" spans="6:6" ht="15.75" customHeight="1" x14ac:dyDescent="0.25">
      <c r="F299" s="55"/>
    </row>
    <row r="300" spans="6:6" ht="15.75" customHeight="1" x14ac:dyDescent="0.25">
      <c r="F300" s="55"/>
    </row>
    <row r="301" spans="6:6" ht="15.75" customHeight="1" x14ac:dyDescent="0.25">
      <c r="F301" s="55"/>
    </row>
    <row r="302" spans="6:6" ht="15.75" customHeight="1" x14ac:dyDescent="0.25">
      <c r="F302" s="55"/>
    </row>
    <row r="303" spans="6:6" ht="15.75" customHeight="1" x14ac:dyDescent="0.25">
      <c r="F303" s="55"/>
    </row>
    <row r="304" spans="6:6" ht="15.75" customHeight="1" x14ac:dyDescent="0.25">
      <c r="F304" s="55"/>
    </row>
    <row r="305" spans="6:6" ht="15.75" customHeight="1" x14ac:dyDescent="0.25">
      <c r="F305" s="55"/>
    </row>
    <row r="306" spans="6:6" ht="15.75" customHeight="1" x14ac:dyDescent="0.25">
      <c r="F306" s="55"/>
    </row>
    <row r="307" spans="6:6" ht="15.75" customHeight="1" x14ac:dyDescent="0.25">
      <c r="F307" s="55"/>
    </row>
    <row r="308" spans="6:6" ht="15.75" customHeight="1" x14ac:dyDescent="0.25">
      <c r="F308" s="55"/>
    </row>
    <row r="309" spans="6:6" ht="15.75" customHeight="1" x14ac:dyDescent="0.25">
      <c r="F309" s="55"/>
    </row>
    <row r="310" spans="6:6" ht="15.75" customHeight="1" x14ac:dyDescent="0.25">
      <c r="F310" s="55"/>
    </row>
    <row r="311" spans="6:6" ht="15.75" customHeight="1" x14ac:dyDescent="0.25">
      <c r="F311" s="55"/>
    </row>
    <row r="312" spans="6:6" ht="15.75" customHeight="1" x14ac:dyDescent="0.25">
      <c r="F312" s="55"/>
    </row>
    <row r="313" spans="6:6" ht="15.75" customHeight="1" x14ac:dyDescent="0.25">
      <c r="F313" s="55"/>
    </row>
    <row r="314" spans="6:6" ht="15.75" customHeight="1" x14ac:dyDescent="0.25">
      <c r="F314" s="55"/>
    </row>
    <row r="315" spans="6:6" ht="15.75" customHeight="1" x14ac:dyDescent="0.25">
      <c r="F315" s="55"/>
    </row>
    <row r="316" spans="6:6" ht="15.75" customHeight="1" x14ac:dyDescent="0.25">
      <c r="F316" s="55"/>
    </row>
    <row r="317" spans="6:6" ht="15.75" customHeight="1" x14ac:dyDescent="0.25">
      <c r="F317" s="55"/>
    </row>
    <row r="318" spans="6:6" ht="15.75" customHeight="1" x14ac:dyDescent="0.25">
      <c r="F318" s="55"/>
    </row>
    <row r="319" spans="6:6" ht="15.75" customHeight="1" x14ac:dyDescent="0.25">
      <c r="F319" s="55"/>
    </row>
    <row r="320" spans="6:6" ht="15.75" customHeight="1" x14ac:dyDescent="0.25">
      <c r="F320" s="55"/>
    </row>
    <row r="321" spans="6:6" ht="15.75" customHeight="1" x14ac:dyDescent="0.25">
      <c r="F321" s="55"/>
    </row>
    <row r="322" spans="6:6" ht="15.75" customHeight="1" x14ac:dyDescent="0.25">
      <c r="F322" s="55"/>
    </row>
    <row r="323" spans="6:6" ht="15.75" customHeight="1" x14ac:dyDescent="0.25">
      <c r="F323" s="55"/>
    </row>
    <row r="324" spans="6:6" ht="15.75" customHeight="1" x14ac:dyDescent="0.25">
      <c r="F324" s="55"/>
    </row>
    <row r="325" spans="6:6" ht="15.75" customHeight="1" x14ac:dyDescent="0.25">
      <c r="F325" s="55"/>
    </row>
    <row r="326" spans="6:6" ht="15.75" customHeight="1" x14ac:dyDescent="0.25">
      <c r="F326" s="55"/>
    </row>
    <row r="327" spans="6:6" ht="15.75" customHeight="1" x14ac:dyDescent="0.25">
      <c r="F327" s="55"/>
    </row>
    <row r="328" spans="6:6" ht="15.75" customHeight="1" x14ac:dyDescent="0.25">
      <c r="F328" s="55"/>
    </row>
    <row r="329" spans="6:6" ht="15.75" customHeight="1" x14ac:dyDescent="0.25">
      <c r="F329" s="55"/>
    </row>
    <row r="330" spans="6:6" ht="15.75" customHeight="1" x14ac:dyDescent="0.25">
      <c r="F330" s="55"/>
    </row>
    <row r="331" spans="6:6" ht="15.75" customHeight="1" x14ac:dyDescent="0.25">
      <c r="F331" s="55"/>
    </row>
    <row r="332" spans="6:6" ht="15.75" customHeight="1" x14ac:dyDescent="0.25">
      <c r="F332" s="55"/>
    </row>
    <row r="333" spans="6:6" ht="15.75" customHeight="1" x14ac:dyDescent="0.25">
      <c r="F333" s="55"/>
    </row>
    <row r="334" spans="6:6" ht="15.75" customHeight="1" x14ac:dyDescent="0.25">
      <c r="F334" s="55"/>
    </row>
    <row r="335" spans="6:6" ht="15.75" customHeight="1" x14ac:dyDescent="0.25">
      <c r="F335" s="55"/>
    </row>
    <row r="336" spans="6:6" ht="15.75" customHeight="1" x14ac:dyDescent="0.25">
      <c r="F336" s="55"/>
    </row>
    <row r="337" spans="6:6" ht="15.75" customHeight="1" x14ac:dyDescent="0.25">
      <c r="F337" s="55"/>
    </row>
    <row r="338" spans="6:6" ht="15.75" customHeight="1" x14ac:dyDescent="0.25">
      <c r="F338" s="55"/>
    </row>
    <row r="339" spans="6:6" ht="15.75" customHeight="1" x14ac:dyDescent="0.25">
      <c r="F339" s="55"/>
    </row>
    <row r="340" spans="6:6" ht="15.75" customHeight="1" x14ac:dyDescent="0.25">
      <c r="F340" s="55"/>
    </row>
    <row r="341" spans="6:6" ht="15.75" customHeight="1" x14ac:dyDescent="0.25">
      <c r="F341" s="55"/>
    </row>
    <row r="342" spans="6:6" ht="15.75" customHeight="1" x14ac:dyDescent="0.25">
      <c r="F342" s="55"/>
    </row>
    <row r="343" spans="6:6" ht="15.75" customHeight="1" x14ac:dyDescent="0.25">
      <c r="F343" s="55"/>
    </row>
    <row r="344" spans="6:6" ht="15.75" customHeight="1" x14ac:dyDescent="0.25">
      <c r="F344" s="55"/>
    </row>
    <row r="345" spans="6:6" ht="15.75" customHeight="1" x14ac:dyDescent="0.25">
      <c r="F345" s="55"/>
    </row>
    <row r="346" spans="6:6" ht="15.75" customHeight="1" x14ac:dyDescent="0.25">
      <c r="F346" s="55"/>
    </row>
    <row r="347" spans="6:6" ht="15.75" customHeight="1" x14ac:dyDescent="0.25">
      <c r="F347" s="55"/>
    </row>
    <row r="348" spans="6:6" ht="15.75" customHeight="1" x14ac:dyDescent="0.25">
      <c r="F348" s="55"/>
    </row>
    <row r="349" spans="6:6" ht="15.75" customHeight="1" x14ac:dyDescent="0.25">
      <c r="F349" s="55"/>
    </row>
    <row r="350" spans="6:6" ht="15.75" customHeight="1" x14ac:dyDescent="0.25">
      <c r="F350" s="55"/>
    </row>
    <row r="351" spans="6:6" ht="15.75" customHeight="1" x14ac:dyDescent="0.25">
      <c r="F351" s="55"/>
    </row>
    <row r="352" spans="6:6" ht="15.75" customHeight="1" x14ac:dyDescent="0.25">
      <c r="F352" s="55"/>
    </row>
    <row r="353" spans="6:6" ht="15.75" customHeight="1" x14ac:dyDescent="0.25">
      <c r="F353" s="55"/>
    </row>
    <row r="354" spans="6:6" ht="15.75" customHeight="1" x14ac:dyDescent="0.25">
      <c r="F354" s="55"/>
    </row>
    <row r="355" spans="6:6" ht="15.75" customHeight="1" x14ac:dyDescent="0.25">
      <c r="F355" s="55"/>
    </row>
    <row r="356" spans="6:6" ht="15.75" customHeight="1" x14ac:dyDescent="0.25">
      <c r="F356" s="55"/>
    </row>
    <row r="357" spans="6:6" ht="15.75" customHeight="1" x14ac:dyDescent="0.25">
      <c r="F357" s="55"/>
    </row>
    <row r="358" spans="6:6" ht="15.75" customHeight="1" x14ac:dyDescent="0.25">
      <c r="F358" s="55"/>
    </row>
    <row r="359" spans="6:6" ht="15.75" customHeight="1" x14ac:dyDescent="0.25">
      <c r="F359" s="55"/>
    </row>
    <row r="360" spans="6:6" ht="15.75" customHeight="1" x14ac:dyDescent="0.25">
      <c r="F360" s="55"/>
    </row>
    <row r="361" spans="6:6" ht="15.75" customHeight="1" x14ac:dyDescent="0.25">
      <c r="F361" s="55"/>
    </row>
    <row r="362" spans="6:6" ht="15.75" customHeight="1" x14ac:dyDescent="0.25">
      <c r="F362" s="55"/>
    </row>
    <row r="363" spans="6:6" ht="15.75" customHeight="1" x14ac:dyDescent="0.25">
      <c r="F363" s="55"/>
    </row>
    <row r="364" spans="6:6" ht="15.75" customHeight="1" x14ac:dyDescent="0.25">
      <c r="F364" s="55"/>
    </row>
    <row r="365" spans="6:6" ht="15.75" customHeight="1" x14ac:dyDescent="0.25">
      <c r="F365" s="55"/>
    </row>
    <row r="366" spans="6:6" ht="15.75" customHeight="1" x14ac:dyDescent="0.25">
      <c r="F366" s="55"/>
    </row>
    <row r="367" spans="6:6" ht="15.75" customHeight="1" x14ac:dyDescent="0.25">
      <c r="F367" s="55"/>
    </row>
    <row r="368" spans="6:6" ht="15.75" customHeight="1" x14ac:dyDescent="0.25">
      <c r="F368" s="55"/>
    </row>
    <row r="369" spans="6:6" ht="15.75" customHeight="1" x14ac:dyDescent="0.25">
      <c r="F369" s="55"/>
    </row>
    <row r="370" spans="6:6" ht="15.75" customHeight="1" x14ac:dyDescent="0.25">
      <c r="F370" s="55"/>
    </row>
    <row r="371" spans="6:6" ht="15.75" customHeight="1" x14ac:dyDescent="0.25">
      <c r="F371" s="55"/>
    </row>
    <row r="372" spans="6:6" ht="15.75" customHeight="1" x14ac:dyDescent="0.25">
      <c r="F372" s="55"/>
    </row>
    <row r="373" spans="6:6" ht="15.75" customHeight="1" x14ac:dyDescent="0.25">
      <c r="F373" s="55"/>
    </row>
    <row r="374" spans="6:6" ht="15.75" customHeight="1" x14ac:dyDescent="0.25">
      <c r="F374" s="55"/>
    </row>
    <row r="375" spans="6:6" ht="15.75" customHeight="1" x14ac:dyDescent="0.25">
      <c r="F375" s="55"/>
    </row>
    <row r="376" spans="6:6" ht="15.75" customHeight="1" x14ac:dyDescent="0.25">
      <c r="F376" s="55"/>
    </row>
    <row r="377" spans="6:6" ht="15.75" customHeight="1" x14ac:dyDescent="0.25">
      <c r="F377" s="55"/>
    </row>
    <row r="378" spans="6:6" ht="15.75" customHeight="1" x14ac:dyDescent="0.25">
      <c r="F378" s="55"/>
    </row>
    <row r="379" spans="6:6" ht="15.75" customHeight="1" x14ac:dyDescent="0.25">
      <c r="F379" s="55"/>
    </row>
    <row r="380" spans="6:6" ht="15.75" customHeight="1" x14ac:dyDescent="0.25">
      <c r="F380" s="55"/>
    </row>
    <row r="381" spans="6:6" ht="15.75" customHeight="1" x14ac:dyDescent="0.25">
      <c r="F381" s="55"/>
    </row>
    <row r="382" spans="6:6" ht="15.75" customHeight="1" x14ac:dyDescent="0.25">
      <c r="F382" s="55"/>
    </row>
    <row r="383" spans="6:6" ht="15.75" customHeight="1" x14ac:dyDescent="0.25">
      <c r="F383" s="55"/>
    </row>
    <row r="384" spans="6:6" ht="15.75" customHeight="1" x14ac:dyDescent="0.25">
      <c r="F384" s="55"/>
    </row>
    <row r="385" spans="6:6" ht="15.75" customHeight="1" x14ac:dyDescent="0.25">
      <c r="F385" s="55"/>
    </row>
    <row r="386" spans="6:6" ht="15.75" customHeight="1" x14ac:dyDescent="0.25">
      <c r="F386" s="55"/>
    </row>
    <row r="387" spans="6:6" ht="15.75" customHeight="1" x14ac:dyDescent="0.25">
      <c r="F387" s="55"/>
    </row>
    <row r="388" spans="6:6" ht="15.75" customHeight="1" x14ac:dyDescent="0.25">
      <c r="F388" s="55"/>
    </row>
    <row r="389" spans="6:6" ht="15.75" customHeight="1" x14ac:dyDescent="0.25">
      <c r="F389" s="55"/>
    </row>
    <row r="390" spans="6:6" ht="15.75" customHeight="1" x14ac:dyDescent="0.25">
      <c r="F390" s="55"/>
    </row>
    <row r="391" spans="6:6" ht="15.75" customHeight="1" x14ac:dyDescent="0.25">
      <c r="F391" s="55"/>
    </row>
    <row r="392" spans="6:6" ht="15.75" customHeight="1" x14ac:dyDescent="0.25">
      <c r="F392" s="55"/>
    </row>
    <row r="393" spans="6:6" ht="15.75" customHeight="1" x14ac:dyDescent="0.25">
      <c r="F393" s="55"/>
    </row>
    <row r="394" spans="6:6" ht="15.75" customHeight="1" x14ac:dyDescent="0.25">
      <c r="F394" s="55"/>
    </row>
    <row r="395" spans="6:6" ht="15.75" customHeight="1" x14ac:dyDescent="0.25">
      <c r="F395" s="55"/>
    </row>
    <row r="396" spans="6:6" ht="15.75" customHeight="1" x14ac:dyDescent="0.25">
      <c r="F396" s="55"/>
    </row>
    <row r="397" spans="6:6" ht="15.75" customHeight="1" x14ac:dyDescent="0.25">
      <c r="F397" s="55"/>
    </row>
    <row r="398" spans="6:6" ht="15.75" customHeight="1" x14ac:dyDescent="0.25">
      <c r="F398" s="55"/>
    </row>
    <row r="399" spans="6:6" ht="15.75" customHeight="1" x14ac:dyDescent="0.25">
      <c r="F399" s="55"/>
    </row>
    <row r="400" spans="6:6" ht="15.75" customHeight="1" x14ac:dyDescent="0.25">
      <c r="F400" s="55"/>
    </row>
    <row r="401" spans="6:6" ht="15.75" customHeight="1" x14ac:dyDescent="0.25">
      <c r="F401" s="55"/>
    </row>
    <row r="402" spans="6:6" ht="15.75" customHeight="1" x14ac:dyDescent="0.25">
      <c r="F402" s="55"/>
    </row>
    <row r="403" spans="6:6" ht="15.75" customHeight="1" x14ac:dyDescent="0.25">
      <c r="F403" s="55"/>
    </row>
    <row r="404" spans="6:6" ht="15.75" customHeight="1" x14ac:dyDescent="0.25">
      <c r="F404" s="55"/>
    </row>
    <row r="405" spans="6:6" ht="15.75" customHeight="1" x14ac:dyDescent="0.25">
      <c r="F405" s="55"/>
    </row>
    <row r="406" spans="6:6" ht="15.75" customHeight="1" x14ac:dyDescent="0.25">
      <c r="F406" s="55"/>
    </row>
    <row r="407" spans="6:6" ht="15.75" customHeight="1" x14ac:dyDescent="0.25">
      <c r="F407" s="55"/>
    </row>
    <row r="408" spans="6:6" ht="15.75" customHeight="1" x14ac:dyDescent="0.25">
      <c r="F408" s="55"/>
    </row>
    <row r="409" spans="6:6" ht="15.75" customHeight="1" x14ac:dyDescent="0.25">
      <c r="F409" s="55"/>
    </row>
    <row r="410" spans="6:6" ht="15.75" customHeight="1" x14ac:dyDescent="0.25">
      <c r="F410" s="55"/>
    </row>
    <row r="411" spans="6:6" ht="15.75" customHeight="1" x14ac:dyDescent="0.25">
      <c r="F411" s="55"/>
    </row>
    <row r="412" spans="6:6" ht="15.75" customHeight="1" x14ac:dyDescent="0.25">
      <c r="F412" s="55"/>
    </row>
    <row r="413" spans="6:6" ht="15.75" customHeight="1" x14ac:dyDescent="0.25">
      <c r="F413" s="55"/>
    </row>
    <row r="414" spans="6:6" ht="15.75" customHeight="1" x14ac:dyDescent="0.25">
      <c r="F414" s="55"/>
    </row>
    <row r="415" spans="6:6" ht="15.75" customHeight="1" x14ac:dyDescent="0.25">
      <c r="F415" s="55"/>
    </row>
    <row r="416" spans="6:6" ht="15.75" customHeight="1" x14ac:dyDescent="0.25">
      <c r="F416" s="55"/>
    </row>
    <row r="417" spans="6:6" ht="15.75" customHeight="1" x14ac:dyDescent="0.25">
      <c r="F417" s="55"/>
    </row>
    <row r="418" spans="6:6" ht="15.75" customHeight="1" x14ac:dyDescent="0.25">
      <c r="F418" s="55"/>
    </row>
    <row r="419" spans="6:6" ht="15.75" customHeight="1" x14ac:dyDescent="0.25">
      <c r="F419" s="55"/>
    </row>
    <row r="420" spans="6:6" ht="15.75" customHeight="1" x14ac:dyDescent="0.25">
      <c r="F420" s="55"/>
    </row>
    <row r="421" spans="6:6" ht="15.75" customHeight="1" x14ac:dyDescent="0.25">
      <c r="F421" s="55"/>
    </row>
    <row r="422" spans="6:6" ht="15.75" customHeight="1" x14ac:dyDescent="0.25">
      <c r="F422" s="55"/>
    </row>
    <row r="423" spans="6:6" ht="15.75" customHeight="1" x14ac:dyDescent="0.25">
      <c r="F423" s="55"/>
    </row>
    <row r="424" spans="6:6" ht="15.75" customHeight="1" x14ac:dyDescent="0.25">
      <c r="F424" s="55"/>
    </row>
    <row r="425" spans="6:6" ht="15.75" customHeight="1" x14ac:dyDescent="0.25">
      <c r="F425" s="55"/>
    </row>
    <row r="426" spans="6:6" ht="15.75" customHeight="1" x14ac:dyDescent="0.25">
      <c r="F426" s="55"/>
    </row>
    <row r="427" spans="6:6" ht="15.75" customHeight="1" x14ac:dyDescent="0.25">
      <c r="F427" s="55"/>
    </row>
    <row r="428" spans="6:6" ht="15.75" customHeight="1" x14ac:dyDescent="0.25">
      <c r="F428" s="55"/>
    </row>
    <row r="429" spans="6:6" ht="15.75" customHeight="1" x14ac:dyDescent="0.25">
      <c r="F429" s="55"/>
    </row>
    <row r="430" spans="6:6" ht="15.75" customHeight="1" x14ac:dyDescent="0.25">
      <c r="F430" s="55"/>
    </row>
    <row r="431" spans="6:6" ht="15.75" customHeight="1" x14ac:dyDescent="0.25">
      <c r="F431" s="55"/>
    </row>
    <row r="432" spans="6:6" ht="15.75" customHeight="1" x14ac:dyDescent="0.25">
      <c r="F432" s="55"/>
    </row>
    <row r="433" spans="6:6" ht="15.75" customHeight="1" x14ac:dyDescent="0.25">
      <c r="F433" s="55"/>
    </row>
    <row r="434" spans="6:6" ht="15.75" customHeight="1" x14ac:dyDescent="0.25">
      <c r="F434" s="55"/>
    </row>
    <row r="435" spans="6:6" ht="15.75" customHeight="1" x14ac:dyDescent="0.25">
      <c r="F435" s="55"/>
    </row>
    <row r="436" spans="6:6" ht="15.75" customHeight="1" x14ac:dyDescent="0.25">
      <c r="F436" s="55"/>
    </row>
    <row r="437" spans="6:6" ht="15.75" customHeight="1" x14ac:dyDescent="0.25">
      <c r="F437" s="55"/>
    </row>
    <row r="438" spans="6:6" ht="15.75" customHeight="1" x14ac:dyDescent="0.25">
      <c r="F438" s="55"/>
    </row>
    <row r="439" spans="6:6" ht="15.75" customHeight="1" x14ac:dyDescent="0.25">
      <c r="F439" s="55"/>
    </row>
    <row r="440" spans="6:6" ht="15.75" customHeight="1" x14ac:dyDescent="0.25">
      <c r="F440" s="55"/>
    </row>
    <row r="441" spans="6:6" ht="15.75" customHeight="1" x14ac:dyDescent="0.25">
      <c r="F441" s="55"/>
    </row>
    <row r="442" spans="6:6" ht="15.75" customHeight="1" x14ac:dyDescent="0.25">
      <c r="F442" s="55"/>
    </row>
    <row r="443" spans="6:6" ht="15.75" customHeight="1" x14ac:dyDescent="0.25">
      <c r="F443" s="55"/>
    </row>
    <row r="444" spans="6:6" ht="15.75" customHeight="1" x14ac:dyDescent="0.25">
      <c r="F444" s="55"/>
    </row>
    <row r="445" spans="6:6" ht="15.75" customHeight="1" x14ac:dyDescent="0.25">
      <c r="F445" s="55"/>
    </row>
    <row r="446" spans="6:6" ht="15.75" customHeight="1" x14ac:dyDescent="0.25">
      <c r="F446" s="55"/>
    </row>
    <row r="447" spans="6:6" ht="15.75" customHeight="1" x14ac:dyDescent="0.25">
      <c r="F447" s="55"/>
    </row>
    <row r="448" spans="6:6" ht="15.75" customHeight="1" x14ac:dyDescent="0.25">
      <c r="F448" s="55"/>
    </row>
    <row r="449" spans="6:6" ht="15.75" customHeight="1" x14ac:dyDescent="0.25">
      <c r="F449" s="55"/>
    </row>
    <row r="450" spans="6:6" ht="15.75" customHeight="1" x14ac:dyDescent="0.25">
      <c r="F450" s="55"/>
    </row>
    <row r="451" spans="6:6" ht="15.75" customHeight="1" x14ac:dyDescent="0.25">
      <c r="F451" s="55"/>
    </row>
    <row r="452" spans="6:6" ht="15.75" customHeight="1" x14ac:dyDescent="0.25">
      <c r="F452" s="55"/>
    </row>
    <row r="453" spans="6:6" ht="15.75" customHeight="1" x14ac:dyDescent="0.25">
      <c r="F453" s="55"/>
    </row>
    <row r="454" spans="6:6" ht="15.75" customHeight="1" x14ac:dyDescent="0.25">
      <c r="F454" s="55"/>
    </row>
    <row r="455" spans="6:6" ht="15.75" customHeight="1" x14ac:dyDescent="0.25">
      <c r="F455" s="55"/>
    </row>
    <row r="456" spans="6:6" ht="15.75" customHeight="1" x14ac:dyDescent="0.25">
      <c r="F456" s="55"/>
    </row>
    <row r="457" spans="6:6" ht="15.75" customHeight="1" x14ac:dyDescent="0.25">
      <c r="F457" s="55"/>
    </row>
    <row r="458" spans="6:6" ht="15.75" customHeight="1" x14ac:dyDescent="0.25">
      <c r="F458" s="55"/>
    </row>
    <row r="459" spans="6:6" ht="15.75" customHeight="1" x14ac:dyDescent="0.25">
      <c r="F459" s="55"/>
    </row>
    <row r="460" spans="6:6" ht="15.75" customHeight="1" x14ac:dyDescent="0.25">
      <c r="F460" s="55"/>
    </row>
    <row r="461" spans="6:6" ht="15.75" customHeight="1" x14ac:dyDescent="0.25">
      <c r="F461" s="55"/>
    </row>
    <row r="462" spans="6:6" ht="15.75" customHeight="1" x14ac:dyDescent="0.25">
      <c r="F462" s="55"/>
    </row>
    <row r="463" spans="6:6" ht="15.75" customHeight="1" x14ac:dyDescent="0.25">
      <c r="F463" s="55"/>
    </row>
    <row r="464" spans="6:6" ht="15.75" customHeight="1" x14ac:dyDescent="0.25">
      <c r="F464" s="55"/>
    </row>
    <row r="465" spans="6:6" ht="15.75" customHeight="1" x14ac:dyDescent="0.25">
      <c r="F465" s="55"/>
    </row>
    <row r="466" spans="6:6" ht="15.75" customHeight="1" x14ac:dyDescent="0.25">
      <c r="F466" s="55"/>
    </row>
    <row r="467" spans="6:6" ht="15.75" customHeight="1" x14ac:dyDescent="0.25">
      <c r="F467" s="55"/>
    </row>
    <row r="468" spans="6:6" ht="15.75" customHeight="1" x14ac:dyDescent="0.25">
      <c r="F468" s="55"/>
    </row>
    <row r="469" spans="6:6" ht="15.75" customHeight="1" x14ac:dyDescent="0.25">
      <c r="F469" s="55"/>
    </row>
    <row r="470" spans="6:6" ht="15.75" customHeight="1" x14ac:dyDescent="0.25">
      <c r="F470" s="55"/>
    </row>
    <row r="471" spans="6:6" ht="15.75" customHeight="1" x14ac:dyDescent="0.25">
      <c r="F471" s="55"/>
    </row>
    <row r="472" spans="6:6" ht="15.75" customHeight="1" x14ac:dyDescent="0.25">
      <c r="F472" s="55"/>
    </row>
    <row r="473" spans="6:6" ht="15.75" customHeight="1" x14ac:dyDescent="0.25">
      <c r="F473" s="55"/>
    </row>
    <row r="474" spans="6:6" ht="15.75" customHeight="1" x14ac:dyDescent="0.25">
      <c r="F474" s="55"/>
    </row>
    <row r="475" spans="6:6" ht="15.75" customHeight="1" x14ac:dyDescent="0.25">
      <c r="F475" s="55"/>
    </row>
    <row r="476" spans="6:6" ht="15.75" customHeight="1" x14ac:dyDescent="0.25">
      <c r="F476" s="55"/>
    </row>
    <row r="477" spans="6:6" ht="15.75" customHeight="1" x14ac:dyDescent="0.25">
      <c r="F477" s="55"/>
    </row>
    <row r="478" spans="6:6" ht="15.75" customHeight="1" x14ac:dyDescent="0.25">
      <c r="F478" s="55"/>
    </row>
    <row r="479" spans="6:6" ht="15.75" customHeight="1" x14ac:dyDescent="0.25">
      <c r="F479" s="55"/>
    </row>
    <row r="480" spans="6:6" ht="15.75" customHeight="1" x14ac:dyDescent="0.25">
      <c r="F480" s="55"/>
    </row>
    <row r="481" spans="6:6" ht="15.75" customHeight="1" x14ac:dyDescent="0.25">
      <c r="F481" s="55"/>
    </row>
    <row r="482" spans="6:6" ht="15.75" customHeight="1" x14ac:dyDescent="0.25">
      <c r="F482" s="55"/>
    </row>
    <row r="483" spans="6:6" ht="15.75" customHeight="1" x14ac:dyDescent="0.25">
      <c r="F483" s="55"/>
    </row>
    <row r="484" spans="6:6" ht="15.75" customHeight="1" x14ac:dyDescent="0.25">
      <c r="F484" s="55"/>
    </row>
    <row r="485" spans="6:6" ht="15.75" customHeight="1" x14ac:dyDescent="0.25">
      <c r="F485" s="55"/>
    </row>
    <row r="486" spans="6:6" ht="15.75" customHeight="1" x14ac:dyDescent="0.25">
      <c r="F486" s="55"/>
    </row>
    <row r="487" spans="6:6" ht="15.75" customHeight="1" x14ac:dyDescent="0.25">
      <c r="F487" s="55"/>
    </row>
    <row r="488" spans="6:6" ht="15.75" customHeight="1" x14ac:dyDescent="0.25">
      <c r="F488" s="55"/>
    </row>
    <row r="489" spans="6:6" ht="15.75" customHeight="1" x14ac:dyDescent="0.25">
      <c r="F489" s="55"/>
    </row>
    <row r="490" spans="6:6" ht="15.75" customHeight="1" x14ac:dyDescent="0.25">
      <c r="F490" s="55"/>
    </row>
    <row r="491" spans="6:6" ht="15.75" customHeight="1" x14ac:dyDescent="0.25">
      <c r="F491" s="55"/>
    </row>
    <row r="492" spans="6:6" ht="15.75" customHeight="1" x14ac:dyDescent="0.25">
      <c r="F492" s="55"/>
    </row>
    <row r="493" spans="6:6" ht="15.75" customHeight="1" x14ac:dyDescent="0.25">
      <c r="F493" s="55"/>
    </row>
    <row r="494" spans="6:6" ht="15.75" customHeight="1" x14ac:dyDescent="0.25">
      <c r="F494" s="55"/>
    </row>
    <row r="495" spans="6:6" ht="15.75" customHeight="1" x14ac:dyDescent="0.25">
      <c r="F495" s="55"/>
    </row>
    <row r="496" spans="6:6" ht="15.75" customHeight="1" x14ac:dyDescent="0.25">
      <c r="F496" s="55"/>
    </row>
    <row r="497" spans="6:6" ht="15.75" customHeight="1" x14ac:dyDescent="0.25">
      <c r="F497" s="55"/>
    </row>
    <row r="498" spans="6:6" ht="15.75" customHeight="1" x14ac:dyDescent="0.25">
      <c r="F498" s="55"/>
    </row>
    <row r="499" spans="6:6" ht="15.75" customHeight="1" x14ac:dyDescent="0.25">
      <c r="F499" s="55"/>
    </row>
    <row r="500" spans="6:6" ht="15.75" customHeight="1" x14ac:dyDescent="0.25">
      <c r="F500" s="55"/>
    </row>
    <row r="501" spans="6:6" ht="15.75" customHeight="1" x14ac:dyDescent="0.25">
      <c r="F501" s="55"/>
    </row>
    <row r="502" spans="6:6" ht="15.75" customHeight="1" x14ac:dyDescent="0.25">
      <c r="F502" s="55"/>
    </row>
    <row r="503" spans="6:6" ht="15.75" customHeight="1" x14ac:dyDescent="0.25">
      <c r="F503" s="55"/>
    </row>
    <row r="504" spans="6:6" ht="15.75" customHeight="1" x14ac:dyDescent="0.25">
      <c r="F504" s="55"/>
    </row>
    <row r="505" spans="6:6" ht="15.75" customHeight="1" x14ac:dyDescent="0.25">
      <c r="F505" s="55"/>
    </row>
    <row r="506" spans="6:6" ht="15.75" customHeight="1" x14ac:dyDescent="0.25">
      <c r="F506" s="55"/>
    </row>
    <row r="507" spans="6:6" ht="15.75" customHeight="1" x14ac:dyDescent="0.25">
      <c r="F507" s="55"/>
    </row>
    <row r="508" spans="6:6" ht="15.75" customHeight="1" x14ac:dyDescent="0.25">
      <c r="F508" s="55"/>
    </row>
    <row r="509" spans="6:6" ht="15.75" customHeight="1" x14ac:dyDescent="0.25">
      <c r="F509" s="55"/>
    </row>
    <row r="510" spans="6:6" ht="15.75" customHeight="1" x14ac:dyDescent="0.25">
      <c r="F510" s="55"/>
    </row>
    <row r="511" spans="6:6" ht="15.75" customHeight="1" x14ac:dyDescent="0.25">
      <c r="F511" s="55"/>
    </row>
    <row r="512" spans="6:6" ht="15.75" customHeight="1" x14ac:dyDescent="0.25">
      <c r="F512" s="55"/>
    </row>
    <row r="513" spans="6:6" ht="15.75" customHeight="1" x14ac:dyDescent="0.25">
      <c r="F513" s="55"/>
    </row>
    <row r="514" spans="6:6" ht="15.75" customHeight="1" x14ac:dyDescent="0.25">
      <c r="F514" s="55"/>
    </row>
    <row r="515" spans="6:6" ht="15.75" customHeight="1" x14ac:dyDescent="0.25">
      <c r="F515" s="55"/>
    </row>
    <row r="516" spans="6:6" ht="15.75" customHeight="1" x14ac:dyDescent="0.25">
      <c r="F516" s="55"/>
    </row>
    <row r="517" spans="6:6" ht="15.75" customHeight="1" x14ac:dyDescent="0.25">
      <c r="F517" s="55"/>
    </row>
    <row r="518" spans="6:6" ht="15.75" customHeight="1" x14ac:dyDescent="0.25">
      <c r="F518" s="55"/>
    </row>
    <row r="519" spans="6:6" ht="15.75" customHeight="1" x14ac:dyDescent="0.25">
      <c r="F519" s="55"/>
    </row>
    <row r="520" spans="6:6" ht="15.75" customHeight="1" x14ac:dyDescent="0.25">
      <c r="F520" s="55"/>
    </row>
    <row r="521" spans="6:6" ht="15.75" customHeight="1" x14ac:dyDescent="0.25">
      <c r="F521" s="55"/>
    </row>
    <row r="522" spans="6:6" ht="15.75" customHeight="1" x14ac:dyDescent="0.25">
      <c r="F522" s="55"/>
    </row>
    <row r="523" spans="6:6" ht="15.75" customHeight="1" x14ac:dyDescent="0.25">
      <c r="F523" s="55"/>
    </row>
    <row r="524" spans="6:6" ht="15.75" customHeight="1" x14ac:dyDescent="0.25">
      <c r="F524" s="55"/>
    </row>
    <row r="525" spans="6:6" ht="15.75" customHeight="1" x14ac:dyDescent="0.25">
      <c r="F525" s="55"/>
    </row>
    <row r="526" spans="6:6" ht="15.75" customHeight="1" x14ac:dyDescent="0.25">
      <c r="F526" s="55"/>
    </row>
    <row r="527" spans="6:6" ht="15.75" customHeight="1" x14ac:dyDescent="0.25">
      <c r="F527" s="55"/>
    </row>
    <row r="528" spans="6:6" ht="15.75" customHeight="1" x14ac:dyDescent="0.25">
      <c r="F528" s="55"/>
    </row>
    <row r="529" spans="6:6" ht="15.75" customHeight="1" x14ac:dyDescent="0.25">
      <c r="F529" s="55"/>
    </row>
    <row r="530" spans="6:6" ht="15.75" customHeight="1" x14ac:dyDescent="0.25">
      <c r="F530" s="55"/>
    </row>
    <row r="531" spans="6:6" ht="15.75" customHeight="1" x14ac:dyDescent="0.25">
      <c r="F531" s="55"/>
    </row>
    <row r="532" spans="6:6" ht="15.75" customHeight="1" x14ac:dyDescent="0.25">
      <c r="F532" s="55"/>
    </row>
    <row r="533" spans="6:6" ht="15.75" customHeight="1" x14ac:dyDescent="0.25">
      <c r="F533" s="55"/>
    </row>
    <row r="534" spans="6:6" ht="15.75" customHeight="1" x14ac:dyDescent="0.25">
      <c r="F534" s="55"/>
    </row>
    <row r="535" spans="6:6" ht="15.75" customHeight="1" x14ac:dyDescent="0.25">
      <c r="F535" s="55"/>
    </row>
    <row r="536" spans="6:6" ht="15.75" customHeight="1" x14ac:dyDescent="0.25">
      <c r="F536" s="55"/>
    </row>
    <row r="537" spans="6:6" ht="15.75" customHeight="1" x14ac:dyDescent="0.25">
      <c r="F537" s="55"/>
    </row>
    <row r="538" spans="6:6" ht="15.75" customHeight="1" x14ac:dyDescent="0.25">
      <c r="F538" s="55"/>
    </row>
    <row r="539" spans="6:6" ht="15.75" customHeight="1" x14ac:dyDescent="0.25">
      <c r="F539" s="55"/>
    </row>
    <row r="540" spans="6:6" ht="15.75" customHeight="1" x14ac:dyDescent="0.25">
      <c r="F540" s="55"/>
    </row>
    <row r="541" spans="6:6" ht="15.75" customHeight="1" x14ac:dyDescent="0.25">
      <c r="F541" s="55"/>
    </row>
    <row r="542" spans="6:6" ht="15.75" customHeight="1" x14ac:dyDescent="0.25">
      <c r="F542" s="55"/>
    </row>
    <row r="543" spans="6:6" ht="15.75" customHeight="1" x14ac:dyDescent="0.25">
      <c r="F543" s="55"/>
    </row>
    <row r="544" spans="6:6" ht="15.75" customHeight="1" x14ac:dyDescent="0.25">
      <c r="F544" s="55"/>
    </row>
    <row r="545" spans="6:6" ht="15.75" customHeight="1" x14ac:dyDescent="0.25">
      <c r="F545" s="55"/>
    </row>
    <row r="546" spans="6:6" ht="15.75" customHeight="1" x14ac:dyDescent="0.25">
      <c r="F546" s="55"/>
    </row>
    <row r="547" spans="6:6" ht="15.75" customHeight="1" x14ac:dyDescent="0.25">
      <c r="F547" s="55"/>
    </row>
    <row r="548" spans="6:6" ht="15.75" customHeight="1" x14ac:dyDescent="0.25">
      <c r="F548" s="55"/>
    </row>
    <row r="549" spans="6:6" ht="15.75" customHeight="1" x14ac:dyDescent="0.25">
      <c r="F549" s="55"/>
    </row>
    <row r="550" spans="6:6" ht="15.75" customHeight="1" x14ac:dyDescent="0.25">
      <c r="F550" s="55"/>
    </row>
    <row r="551" spans="6:6" ht="15.75" customHeight="1" x14ac:dyDescent="0.25">
      <c r="F551" s="55"/>
    </row>
    <row r="552" spans="6:6" ht="15.75" customHeight="1" x14ac:dyDescent="0.25">
      <c r="F552" s="55"/>
    </row>
    <row r="553" spans="6:6" ht="15.75" customHeight="1" x14ac:dyDescent="0.25">
      <c r="F553" s="55"/>
    </row>
    <row r="554" spans="6:6" ht="15.75" customHeight="1" x14ac:dyDescent="0.25">
      <c r="F554" s="55"/>
    </row>
    <row r="555" spans="6:6" ht="15.75" customHeight="1" x14ac:dyDescent="0.25">
      <c r="F555" s="55"/>
    </row>
    <row r="556" spans="6:6" ht="15.75" customHeight="1" x14ac:dyDescent="0.25">
      <c r="F556" s="55"/>
    </row>
    <row r="557" spans="6:6" ht="15.75" customHeight="1" x14ac:dyDescent="0.25">
      <c r="F557" s="55"/>
    </row>
    <row r="558" spans="6:6" ht="15.75" customHeight="1" x14ac:dyDescent="0.25">
      <c r="F558" s="55"/>
    </row>
    <row r="559" spans="6:6" ht="15.75" customHeight="1" x14ac:dyDescent="0.25">
      <c r="F559" s="55"/>
    </row>
    <row r="560" spans="6:6" ht="15.75" customHeight="1" x14ac:dyDescent="0.25">
      <c r="F560" s="55"/>
    </row>
    <row r="561" spans="6:6" ht="15.75" customHeight="1" x14ac:dyDescent="0.25">
      <c r="F561" s="55"/>
    </row>
    <row r="562" spans="6:6" ht="15.75" customHeight="1" x14ac:dyDescent="0.25">
      <c r="F562" s="55"/>
    </row>
    <row r="563" spans="6:6" ht="15.75" customHeight="1" x14ac:dyDescent="0.25">
      <c r="F563" s="55"/>
    </row>
    <row r="564" spans="6:6" ht="15.75" customHeight="1" x14ac:dyDescent="0.25">
      <c r="F564" s="55"/>
    </row>
    <row r="565" spans="6:6" ht="15.75" customHeight="1" x14ac:dyDescent="0.25">
      <c r="F565" s="55"/>
    </row>
    <row r="566" spans="6:6" ht="15.75" customHeight="1" x14ac:dyDescent="0.25">
      <c r="F566" s="55"/>
    </row>
    <row r="567" spans="6:6" ht="15.75" customHeight="1" x14ac:dyDescent="0.25">
      <c r="F567" s="55"/>
    </row>
    <row r="568" spans="6:6" ht="15.75" customHeight="1" x14ac:dyDescent="0.25">
      <c r="F568" s="55"/>
    </row>
    <row r="569" spans="6:6" ht="15.75" customHeight="1" x14ac:dyDescent="0.25">
      <c r="F569" s="55"/>
    </row>
    <row r="570" spans="6:6" ht="15.75" customHeight="1" x14ac:dyDescent="0.25">
      <c r="F570" s="55"/>
    </row>
    <row r="571" spans="6:6" ht="15.75" customHeight="1" x14ac:dyDescent="0.25">
      <c r="F571" s="55"/>
    </row>
    <row r="572" spans="6:6" ht="15.75" customHeight="1" x14ac:dyDescent="0.25">
      <c r="F572" s="55"/>
    </row>
    <row r="573" spans="6:6" ht="15.75" customHeight="1" x14ac:dyDescent="0.25">
      <c r="F573" s="55"/>
    </row>
    <row r="574" spans="6:6" ht="15.75" customHeight="1" x14ac:dyDescent="0.25">
      <c r="F574" s="55"/>
    </row>
    <row r="575" spans="6:6" ht="15.75" customHeight="1" x14ac:dyDescent="0.25">
      <c r="F575" s="55"/>
    </row>
    <row r="576" spans="6:6" ht="15.75" customHeight="1" x14ac:dyDescent="0.25">
      <c r="F576" s="55"/>
    </row>
    <row r="577" spans="6:6" ht="15.75" customHeight="1" x14ac:dyDescent="0.25">
      <c r="F577" s="55"/>
    </row>
    <row r="578" spans="6:6" ht="15.75" customHeight="1" x14ac:dyDescent="0.25">
      <c r="F578" s="55"/>
    </row>
    <row r="579" spans="6:6" ht="15.75" customHeight="1" x14ac:dyDescent="0.25">
      <c r="F579" s="55"/>
    </row>
    <row r="580" spans="6:6" ht="15.75" customHeight="1" x14ac:dyDescent="0.25">
      <c r="F580" s="55"/>
    </row>
    <row r="581" spans="6:6" ht="15.75" customHeight="1" x14ac:dyDescent="0.25">
      <c r="F581" s="55"/>
    </row>
    <row r="582" spans="6:6" ht="15.75" customHeight="1" x14ac:dyDescent="0.25">
      <c r="F582" s="55"/>
    </row>
    <row r="583" spans="6:6" ht="15.75" customHeight="1" x14ac:dyDescent="0.25">
      <c r="F583" s="55"/>
    </row>
    <row r="584" spans="6:6" ht="15.75" customHeight="1" x14ac:dyDescent="0.25">
      <c r="F584" s="55"/>
    </row>
    <row r="585" spans="6:6" ht="15.75" customHeight="1" x14ac:dyDescent="0.25">
      <c r="F585" s="55"/>
    </row>
    <row r="586" spans="6:6" ht="15.75" customHeight="1" x14ac:dyDescent="0.25">
      <c r="F586" s="55"/>
    </row>
    <row r="587" spans="6:6" ht="15.75" customHeight="1" x14ac:dyDescent="0.25">
      <c r="F587" s="55"/>
    </row>
    <row r="588" spans="6:6" ht="15.75" customHeight="1" x14ac:dyDescent="0.25">
      <c r="F588" s="55"/>
    </row>
    <row r="589" spans="6:6" ht="15.75" customHeight="1" x14ac:dyDescent="0.25">
      <c r="F589" s="55"/>
    </row>
    <row r="590" spans="6:6" ht="15.75" customHeight="1" x14ac:dyDescent="0.25">
      <c r="F590" s="55"/>
    </row>
    <row r="591" spans="6:6" ht="15.75" customHeight="1" x14ac:dyDescent="0.25">
      <c r="F591" s="55"/>
    </row>
    <row r="592" spans="6:6" ht="15.75" customHeight="1" x14ac:dyDescent="0.25">
      <c r="F592" s="55"/>
    </row>
    <row r="593" spans="6:6" ht="15.75" customHeight="1" x14ac:dyDescent="0.25">
      <c r="F593" s="55"/>
    </row>
    <row r="594" spans="6:6" ht="15.75" customHeight="1" x14ac:dyDescent="0.25">
      <c r="F594" s="55"/>
    </row>
    <row r="595" spans="6:6" ht="15.75" customHeight="1" x14ac:dyDescent="0.25">
      <c r="F595" s="55"/>
    </row>
    <row r="596" spans="6:6" ht="15.75" customHeight="1" x14ac:dyDescent="0.25">
      <c r="F596" s="55"/>
    </row>
    <row r="597" spans="6:6" ht="15.75" customHeight="1" x14ac:dyDescent="0.25">
      <c r="F597" s="55"/>
    </row>
    <row r="598" spans="6:6" ht="15.75" customHeight="1" x14ac:dyDescent="0.25">
      <c r="F598" s="55"/>
    </row>
    <row r="599" spans="6:6" ht="15.75" customHeight="1" x14ac:dyDescent="0.25">
      <c r="F599" s="55"/>
    </row>
    <row r="600" spans="6:6" ht="15.75" customHeight="1" x14ac:dyDescent="0.25">
      <c r="F600" s="55"/>
    </row>
    <row r="601" spans="6:6" ht="15.75" customHeight="1" x14ac:dyDescent="0.25">
      <c r="F601" s="55"/>
    </row>
    <row r="602" spans="6:6" ht="15.75" customHeight="1" x14ac:dyDescent="0.25">
      <c r="F602" s="55"/>
    </row>
    <row r="603" spans="6:6" ht="15.75" customHeight="1" x14ac:dyDescent="0.25">
      <c r="F603" s="55"/>
    </row>
    <row r="604" spans="6:6" ht="15.75" customHeight="1" x14ac:dyDescent="0.25">
      <c r="F604" s="55"/>
    </row>
    <row r="605" spans="6:6" ht="15.75" customHeight="1" x14ac:dyDescent="0.25">
      <c r="F605" s="55"/>
    </row>
    <row r="606" spans="6:6" ht="15.75" customHeight="1" x14ac:dyDescent="0.25">
      <c r="F606" s="55"/>
    </row>
    <row r="607" spans="6:6" ht="15.75" customHeight="1" x14ac:dyDescent="0.25">
      <c r="F607" s="55"/>
    </row>
    <row r="608" spans="6:6" ht="15.75" customHeight="1" x14ac:dyDescent="0.25">
      <c r="F608" s="55"/>
    </row>
    <row r="609" spans="6:6" ht="15.75" customHeight="1" x14ac:dyDescent="0.25">
      <c r="F609" s="55"/>
    </row>
    <row r="610" spans="6:6" ht="15.75" customHeight="1" x14ac:dyDescent="0.25">
      <c r="F610" s="55"/>
    </row>
    <row r="611" spans="6:6" ht="15.75" customHeight="1" x14ac:dyDescent="0.25">
      <c r="F611" s="55"/>
    </row>
    <row r="612" spans="6:6" ht="15.75" customHeight="1" x14ac:dyDescent="0.25">
      <c r="F612" s="55"/>
    </row>
    <row r="613" spans="6:6" ht="15.75" customHeight="1" x14ac:dyDescent="0.25">
      <c r="F613" s="55"/>
    </row>
    <row r="614" spans="6:6" ht="15.75" customHeight="1" x14ac:dyDescent="0.25">
      <c r="F614" s="55"/>
    </row>
    <row r="615" spans="6:6" ht="15.75" customHeight="1" x14ac:dyDescent="0.25">
      <c r="F615" s="55"/>
    </row>
    <row r="616" spans="6:6" ht="15.75" customHeight="1" x14ac:dyDescent="0.25">
      <c r="F616" s="55"/>
    </row>
    <row r="617" spans="6:6" ht="15.75" customHeight="1" x14ac:dyDescent="0.25">
      <c r="F617" s="55"/>
    </row>
    <row r="618" spans="6:6" ht="15.75" customHeight="1" x14ac:dyDescent="0.25">
      <c r="F618" s="55"/>
    </row>
    <row r="619" spans="6:6" ht="15.75" customHeight="1" x14ac:dyDescent="0.25">
      <c r="F619" s="55"/>
    </row>
    <row r="620" spans="6:6" ht="15.75" customHeight="1" x14ac:dyDescent="0.25">
      <c r="F620" s="55"/>
    </row>
    <row r="621" spans="6:6" ht="15.75" customHeight="1" x14ac:dyDescent="0.25">
      <c r="F621" s="55"/>
    </row>
    <row r="622" spans="6:6" ht="15.75" customHeight="1" x14ac:dyDescent="0.25">
      <c r="F622" s="55"/>
    </row>
    <row r="623" spans="6:6" ht="15.75" customHeight="1" x14ac:dyDescent="0.25">
      <c r="F623" s="55"/>
    </row>
    <row r="624" spans="6:6" ht="15.75" customHeight="1" x14ac:dyDescent="0.25">
      <c r="F624" s="55"/>
    </row>
    <row r="625" spans="6:6" ht="15.75" customHeight="1" x14ac:dyDescent="0.25">
      <c r="F625" s="55"/>
    </row>
    <row r="626" spans="6:6" ht="15.75" customHeight="1" x14ac:dyDescent="0.25">
      <c r="F626" s="55"/>
    </row>
    <row r="627" spans="6:6" ht="15.75" customHeight="1" x14ac:dyDescent="0.25">
      <c r="F627" s="55"/>
    </row>
    <row r="628" spans="6:6" ht="15.75" customHeight="1" x14ac:dyDescent="0.25">
      <c r="F628" s="55"/>
    </row>
    <row r="629" spans="6:6" ht="15.75" customHeight="1" x14ac:dyDescent="0.25">
      <c r="F629" s="55"/>
    </row>
    <row r="630" spans="6:6" ht="15.75" customHeight="1" x14ac:dyDescent="0.25">
      <c r="F630" s="55"/>
    </row>
    <row r="631" spans="6:6" ht="15.75" customHeight="1" x14ac:dyDescent="0.25">
      <c r="F631" s="55"/>
    </row>
    <row r="632" spans="6:6" ht="15.75" customHeight="1" x14ac:dyDescent="0.25">
      <c r="F632" s="55"/>
    </row>
    <row r="633" spans="6:6" ht="15.75" customHeight="1" x14ac:dyDescent="0.25">
      <c r="F633" s="55"/>
    </row>
    <row r="634" spans="6:6" ht="15.75" customHeight="1" x14ac:dyDescent="0.25">
      <c r="F634" s="55"/>
    </row>
    <row r="635" spans="6:6" ht="15.75" customHeight="1" x14ac:dyDescent="0.25">
      <c r="F635" s="55"/>
    </row>
    <row r="636" spans="6:6" ht="15.75" customHeight="1" x14ac:dyDescent="0.25">
      <c r="F636" s="55"/>
    </row>
    <row r="637" spans="6:6" ht="15.75" customHeight="1" x14ac:dyDescent="0.25">
      <c r="F637" s="55"/>
    </row>
    <row r="638" spans="6:6" ht="15.75" customHeight="1" x14ac:dyDescent="0.25">
      <c r="F638" s="55"/>
    </row>
    <row r="639" spans="6:6" ht="15.75" customHeight="1" x14ac:dyDescent="0.25">
      <c r="F639" s="55"/>
    </row>
    <row r="640" spans="6:6" ht="15.75" customHeight="1" x14ac:dyDescent="0.25">
      <c r="F640" s="55"/>
    </row>
    <row r="641" spans="6:6" ht="15.75" customHeight="1" x14ac:dyDescent="0.25">
      <c r="F641" s="55"/>
    </row>
    <row r="642" spans="6:6" ht="15.75" customHeight="1" x14ac:dyDescent="0.25">
      <c r="F642" s="55"/>
    </row>
    <row r="643" spans="6:6" ht="15.75" customHeight="1" x14ac:dyDescent="0.25">
      <c r="F643" s="55"/>
    </row>
    <row r="644" spans="6:6" ht="15.75" customHeight="1" x14ac:dyDescent="0.25">
      <c r="F644" s="55"/>
    </row>
    <row r="645" spans="6:6" ht="15.75" customHeight="1" x14ac:dyDescent="0.25">
      <c r="F645" s="55"/>
    </row>
    <row r="646" spans="6:6" ht="15.75" customHeight="1" x14ac:dyDescent="0.25">
      <c r="F646" s="55"/>
    </row>
    <row r="647" spans="6:6" ht="15.75" customHeight="1" x14ac:dyDescent="0.25">
      <c r="F647" s="55"/>
    </row>
    <row r="648" spans="6:6" ht="15.75" customHeight="1" x14ac:dyDescent="0.25">
      <c r="F648" s="55"/>
    </row>
    <row r="649" spans="6:6" ht="15.75" customHeight="1" x14ac:dyDescent="0.25">
      <c r="F649" s="55"/>
    </row>
    <row r="650" spans="6:6" ht="15.75" customHeight="1" x14ac:dyDescent="0.25">
      <c r="F650" s="55"/>
    </row>
    <row r="651" spans="6:6" ht="15.75" customHeight="1" x14ac:dyDescent="0.25">
      <c r="F651" s="55"/>
    </row>
    <row r="652" spans="6:6" ht="15.75" customHeight="1" x14ac:dyDescent="0.25">
      <c r="F652" s="55"/>
    </row>
    <row r="653" spans="6:6" ht="15.75" customHeight="1" x14ac:dyDescent="0.25">
      <c r="F653" s="55"/>
    </row>
    <row r="654" spans="6:6" ht="15.75" customHeight="1" x14ac:dyDescent="0.25">
      <c r="F654" s="55"/>
    </row>
    <row r="655" spans="6:6" ht="15.75" customHeight="1" x14ac:dyDescent="0.25">
      <c r="F655" s="55"/>
    </row>
    <row r="656" spans="6:6" ht="15.75" customHeight="1" x14ac:dyDescent="0.25">
      <c r="F656" s="55"/>
    </row>
    <row r="657" spans="6:6" ht="15.75" customHeight="1" x14ac:dyDescent="0.25">
      <c r="F657" s="55"/>
    </row>
    <row r="658" spans="6:6" ht="15.75" customHeight="1" x14ac:dyDescent="0.25">
      <c r="F658" s="55"/>
    </row>
    <row r="659" spans="6:6" ht="15.75" customHeight="1" x14ac:dyDescent="0.25">
      <c r="F659" s="55"/>
    </row>
    <row r="660" spans="6:6" ht="15.75" customHeight="1" x14ac:dyDescent="0.25">
      <c r="F660" s="55"/>
    </row>
    <row r="661" spans="6:6" ht="15.75" customHeight="1" x14ac:dyDescent="0.25">
      <c r="F661" s="55"/>
    </row>
    <row r="662" spans="6:6" ht="15.75" customHeight="1" x14ac:dyDescent="0.25">
      <c r="F662" s="55"/>
    </row>
    <row r="663" spans="6:6" ht="15.75" customHeight="1" x14ac:dyDescent="0.25">
      <c r="F663" s="55"/>
    </row>
    <row r="664" spans="6:6" ht="15.75" customHeight="1" x14ac:dyDescent="0.25">
      <c r="F664" s="55"/>
    </row>
    <row r="665" spans="6:6" ht="15.75" customHeight="1" x14ac:dyDescent="0.25">
      <c r="F665" s="55"/>
    </row>
    <row r="666" spans="6:6" ht="15.75" customHeight="1" x14ac:dyDescent="0.25">
      <c r="F666" s="55"/>
    </row>
    <row r="667" spans="6:6" ht="15.75" customHeight="1" x14ac:dyDescent="0.25">
      <c r="F667" s="55"/>
    </row>
    <row r="668" spans="6:6" ht="15.75" customHeight="1" x14ac:dyDescent="0.25">
      <c r="F668" s="55"/>
    </row>
    <row r="669" spans="6:6" ht="15.75" customHeight="1" x14ac:dyDescent="0.25">
      <c r="F669" s="55"/>
    </row>
    <row r="670" spans="6:6" ht="15.75" customHeight="1" x14ac:dyDescent="0.25">
      <c r="F670" s="55"/>
    </row>
    <row r="671" spans="6:6" ht="15.75" customHeight="1" x14ac:dyDescent="0.25">
      <c r="F671" s="55"/>
    </row>
    <row r="672" spans="6:6" ht="15.75" customHeight="1" x14ac:dyDescent="0.25">
      <c r="F672" s="55"/>
    </row>
    <row r="673" spans="6:6" ht="15.75" customHeight="1" x14ac:dyDescent="0.25">
      <c r="F673" s="55"/>
    </row>
    <row r="674" spans="6:6" ht="15.75" customHeight="1" x14ac:dyDescent="0.25">
      <c r="F674" s="55"/>
    </row>
    <row r="675" spans="6:6" ht="15.75" customHeight="1" x14ac:dyDescent="0.25">
      <c r="F675" s="55"/>
    </row>
    <row r="676" spans="6:6" ht="15.75" customHeight="1" x14ac:dyDescent="0.25">
      <c r="F676" s="55"/>
    </row>
    <row r="677" spans="6:6" ht="15.75" customHeight="1" x14ac:dyDescent="0.25">
      <c r="F677" s="55"/>
    </row>
    <row r="678" spans="6:6" ht="15.75" customHeight="1" x14ac:dyDescent="0.25">
      <c r="F678" s="55"/>
    </row>
    <row r="679" spans="6:6" ht="15.75" customHeight="1" x14ac:dyDescent="0.25">
      <c r="F679" s="55"/>
    </row>
    <row r="680" spans="6:6" ht="15.75" customHeight="1" x14ac:dyDescent="0.25">
      <c r="F680" s="55"/>
    </row>
    <row r="681" spans="6:6" ht="15.75" customHeight="1" x14ac:dyDescent="0.25">
      <c r="F681" s="55"/>
    </row>
    <row r="682" spans="6:6" ht="15.75" customHeight="1" x14ac:dyDescent="0.25">
      <c r="F682" s="55"/>
    </row>
    <row r="683" spans="6:6" ht="15.75" customHeight="1" x14ac:dyDescent="0.25">
      <c r="F683" s="55"/>
    </row>
    <row r="684" spans="6:6" ht="15.75" customHeight="1" x14ac:dyDescent="0.25">
      <c r="F684" s="55"/>
    </row>
    <row r="685" spans="6:6" ht="15.75" customHeight="1" x14ac:dyDescent="0.25">
      <c r="F685" s="55"/>
    </row>
    <row r="686" spans="6:6" ht="15.75" customHeight="1" x14ac:dyDescent="0.25">
      <c r="F686" s="55"/>
    </row>
    <row r="687" spans="6:6" ht="15.75" customHeight="1" x14ac:dyDescent="0.25">
      <c r="F687" s="55"/>
    </row>
    <row r="688" spans="6:6" ht="15.75" customHeight="1" x14ac:dyDescent="0.25">
      <c r="F688" s="55"/>
    </row>
    <row r="689" spans="6:6" ht="15.75" customHeight="1" x14ac:dyDescent="0.25">
      <c r="F689" s="55"/>
    </row>
    <row r="690" spans="6:6" ht="15.75" customHeight="1" x14ac:dyDescent="0.25">
      <c r="F690" s="55"/>
    </row>
    <row r="691" spans="6:6" ht="15.75" customHeight="1" x14ac:dyDescent="0.25">
      <c r="F691" s="55"/>
    </row>
    <row r="692" spans="6:6" ht="15.75" customHeight="1" x14ac:dyDescent="0.25">
      <c r="F692" s="55"/>
    </row>
    <row r="693" spans="6:6" ht="15.75" customHeight="1" x14ac:dyDescent="0.25">
      <c r="F693" s="55"/>
    </row>
    <row r="694" spans="6:6" ht="15.75" customHeight="1" x14ac:dyDescent="0.25">
      <c r="F694" s="55"/>
    </row>
    <row r="695" spans="6:6" ht="15.75" customHeight="1" x14ac:dyDescent="0.25">
      <c r="F695" s="55"/>
    </row>
    <row r="696" spans="6:6" ht="15.75" customHeight="1" x14ac:dyDescent="0.25">
      <c r="F696" s="55"/>
    </row>
    <row r="697" spans="6:6" ht="15.75" customHeight="1" x14ac:dyDescent="0.25">
      <c r="F697" s="55"/>
    </row>
    <row r="698" spans="6:6" ht="15.75" customHeight="1" x14ac:dyDescent="0.25">
      <c r="F698" s="55"/>
    </row>
    <row r="699" spans="6:6" ht="15.75" customHeight="1" x14ac:dyDescent="0.25">
      <c r="F699" s="55"/>
    </row>
    <row r="700" spans="6:6" ht="15.75" customHeight="1" x14ac:dyDescent="0.25">
      <c r="F700" s="55"/>
    </row>
    <row r="701" spans="6:6" ht="15.75" customHeight="1" x14ac:dyDescent="0.25">
      <c r="F701" s="55"/>
    </row>
    <row r="702" spans="6:6" ht="15.75" customHeight="1" x14ac:dyDescent="0.25">
      <c r="F702" s="55"/>
    </row>
    <row r="703" spans="6:6" ht="15.75" customHeight="1" x14ac:dyDescent="0.25">
      <c r="F703" s="55"/>
    </row>
    <row r="704" spans="6:6" ht="15.75" customHeight="1" x14ac:dyDescent="0.25">
      <c r="F704" s="55"/>
    </row>
    <row r="705" spans="6:6" ht="15.75" customHeight="1" x14ac:dyDescent="0.25">
      <c r="F705" s="55"/>
    </row>
    <row r="706" spans="6:6" ht="15.75" customHeight="1" x14ac:dyDescent="0.25">
      <c r="F706" s="55"/>
    </row>
    <row r="707" spans="6:6" ht="15.75" customHeight="1" x14ac:dyDescent="0.25">
      <c r="F707" s="55"/>
    </row>
    <row r="708" spans="6:6" ht="15.75" customHeight="1" x14ac:dyDescent="0.25">
      <c r="F708" s="55"/>
    </row>
    <row r="709" spans="6:6" ht="15.75" customHeight="1" x14ac:dyDescent="0.25">
      <c r="F709" s="55"/>
    </row>
    <row r="710" spans="6:6" ht="15.75" customHeight="1" x14ac:dyDescent="0.25">
      <c r="F710" s="55"/>
    </row>
    <row r="711" spans="6:6" ht="15.75" customHeight="1" x14ac:dyDescent="0.25">
      <c r="F711" s="55"/>
    </row>
    <row r="712" spans="6:6" ht="15.75" customHeight="1" x14ac:dyDescent="0.25">
      <c r="F712" s="55"/>
    </row>
    <row r="713" spans="6:6" ht="15.75" customHeight="1" x14ac:dyDescent="0.25">
      <c r="F713" s="55"/>
    </row>
    <row r="714" spans="6:6" ht="15.75" customHeight="1" x14ac:dyDescent="0.25">
      <c r="F714" s="55"/>
    </row>
    <row r="715" spans="6:6" ht="15.75" customHeight="1" x14ac:dyDescent="0.25">
      <c r="F715" s="55"/>
    </row>
    <row r="716" spans="6:6" ht="15.75" customHeight="1" x14ac:dyDescent="0.25">
      <c r="F716" s="55"/>
    </row>
    <row r="717" spans="6:6" ht="15.75" customHeight="1" x14ac:dyDescent="0.25">
      <c r="F717" s="55"/>
    </row>
    <row r="718" spans="6:6" ht="15.75" customHeight="1" x14ac:dyDescent="0.25">
      <c r="F718" s="55"/>
    </row>
    <row r="719" spans="6:6" ht="15.75" customHeight="1" x14ac:dyDescent="0.25">
      <c r="F719" s="55"/>
    </row>
    <row r="720" spans="6:6" ht="15.75" customHeight="1" x14ac:dyDescent="0.25">
      <c r="F720" s="55"/>
    </row>
    <row r="721" spans="6:6" ht="15.75" customHeight="1" x14ac:dyDescent="0.25">
      <c r="F721" s="55"/>
    </row>
    <row r="722" spans="6:6" ht="15.75" customHeight="1" x14ac:dyDescent="0.25">
      <c r="F722" s="55"/>
    </row>
    <row r="723" spans="6:6" ht="15.75" customHeight="1" x14ac:dyDescent="0.25">
      <c r="F723" s="55"/>
    </row>
    <row r="724" spans="6:6" ht="15.75" customHeight="1" x14ac:dyDescent="0.25">
      <c r="F724" s="55"/>
    </row>
    <row r="725" spans="6:6" ht="15.75" customHeight="1" x14ac:dyDescent="0.25">
      <c r="F725" s="55"/>
    </row>
    <row r="726" spans="6:6" ht="15.75" customHeight="1" x14ac:dyDescent="0.25">
      <c r="F726" s="55"/>
    </row>
    <row r="727" spans="6:6" ht="15.75" customHeight="1" x14ac:dyDescent="0.25">
      <c r="F727" s="55"/>
    </row>
    <row r="728" spans="6:6" ht="15.75" customHeight="1" x14ac:dyDescent="0.25">
      <c r="F728" s="55"/>
    </row>
    <row r="729" spans="6:6" ht="15.75" customHeight="1" x14ac:dyDescent="0.25">
      <c r="F729" s="55"/>
    </row>
    <row r="730" spans="6:6" ht="15.75" customHeight="1" x14ac:dyDescent="0.25">
      <c r="F730" s="55"/>
    </row>
    <row r="731" spans="6:6" ht="15.75" customHeight="1" x14ac:dyDescent="0.25">
      <c r="F731" s="55"/>
    </row>
    <row r="732" spans="6:6" ht="15.75" customHeight="1" x14ac:dyDescent="0.25">
      <c r="F732" s="55"/>
    </row>
    <row r="733" spans="6:6" ht="15.75" customHeight="1" x14ac:dyDescent="0.25">
      <c r="F733" s="55"/>
    </row>
    <row r="734" spans="6:6" ht="15.75" customHeight="1" x14ac:dyDescent="0.25">
      <c r="F734" s="55"/>
    </row>
    <row r="735" spans="6:6" ht="15.75" customHeight="1" x14ac:dyDescent="0.25">
      <c r="F735" s="55"/>
    </row>
    <row r="736" spans="6:6" ht="15.75" customHeight="1" x14ac:dyDescent="0.25">
      <c r="F736" s="55"/>
    </row>
    <row r="737" spans="6:6" ht="15.75" customHeight="1" x14ac:dyDescent="0.25">
      <c r="F737" s="55"/>
    </row>
    <row r="738" spans="6:6" ht="15.75" customHeight="1" x14ac:dyDescent="0.25">
      <c r="F738" s="55"/>
    </row>
    <row r="739" spans="6:6" ht="15.75" customHeight="1" x14ac:dyDescent="0.25">
      <c r="F739" s="55"/>
    </row>
    <row r="740" spans="6:6" ht="15.75" customHeight="1" x14ac:dyDescent="0.25">
      <c r="F740" s="55"/>
    </row>
    <row r="741" spans="6:6" ht="15.75" customHeight="1" x14ac:dyDescent="0.25">
      <c r="F741" s="55"/>
    </row>
    <row r="742" spans="6:6" ht="15.75" customHeight="1" x14ac:dyDescent="0.25">
      <c r="F742" s="55"/>
    </row>
    <row r="743" spans="6:6" ht="15.75" customHeight="1" x14ac:dyDescent="0.25">
      <c r="F743" s="55"/>
    </row>
    <row r="744" spans="6:6" ht="15.75" customHeight="1" x14ac:dyDescent="0.25">
      <c r="F744" s="55"/>
    </row>
    <row r="745" spans="6:6" ht="15.75" customHeight="1" x14ac:dyDescent="0.25">
      <c r="F745" s="55"/>
    </row>
    <row r="746" spans="6:6" ht="15.75" customHeight="1" x14ac:dyDescent="0.25">
      <c r="F746" s="55"/>
    </row>
    <row r="747" spans="6:6" ht="15.75" customHeight="1" x14ac:dyDescent="0.25">
      <c r="F747" s="55"/>
    </row>
    <row r="748" spans="6:6" ht="15.75" customHeight="1" x14ac:dyDescent="0.25">
      <c r="F748" s="55"/>
    </row>
    <row r="749" spans="6:6" ht="15.75" customHeight="1" x14ac:dyDescent="0.25">
      <c r="F749" s="55"/>
    </row>
    <row r="750" spans="6:6" ht="15.75" customHeight="1" x14ac:dyDescent="0.25">
      <c r="F750" s="55"/>
    </row>
    <row r="751" spans="6:6" ht="15.75" customHeight="1" x14ac:dyDescent="0.25">
      <c r="F751" s="55"/>
    </row>
    <row r="752" spans="6:6" ht="15.75" customHeight="1" x14ac:dyDescent="0.25">
      <c r="F752" s="55"/>
    </row>
    <row r="753" spans="6:6" ht="15.75" customHeight="1" x14ac:dyDescent="0.25">
      <c r="F753" s="55"/>
    </row>
    <row r="754" spans="6:6" ht="15.75" customHeight="1" x14ac:dyDescent="0.25">
      <c r="F754" s="55"/>
    </row>
    <row r="755" spans="6:6" ht="15.75" customHeight="1" x14ac:dyDescent="0.25">
      <c r="F755" s="55"/>
    </row>
    <row r="756" spans="6:6" ht="15.75" customHeight="1" x14ac:dyDescent="0.25">
      <c r="F756" s="55"/>
    </row>
    <row r="757" spans="6:6" ht="15.75" customHeight="1" x14ac:dyDescent="0.25">
      <c r="F757" s="55"/>
    </row>
    <row r="758" spans="6:6" ht="15.75" customHeight="1" x14ac:dyDescent="0.25">
      <c r="F758" s="55"/>
    </row>
    <row r="759" spans="6:6" ht="15.75" customHeight="1" x14ac:dyDescent="0.25">
      <c r="F759" s="55"/>
    </row>
    <row r="760" spans="6:6" ht="15.75" customHeight="1" x14ac:dyDescent="0.25">
      <c r="F760" s="55"/>
    </row>
    <row r="761" spans="6:6" ht="15.75" customHeight="1" x14ac:dyDescent="0.25">
      <c r="F761" s="55"/>
    </row>
    <row r="762" spans="6:6" ht="15.75" customHeight="1" x14ac:dyDescent="0.25">
      <c r="F762" s="55"/>
    </row>
    <row r="763" spans="6:6" ht="15.75" customHeight="1" x14ac:dyDescent="0.25">
      <c r="F763" s="55"/>
    </row>
    <row r="764" spans="6:6" ht="15.75" customHeight="1" x14ac:dyDescent="0.25">
      <c r="F764" s="55"/>
    </row>
    <row r="765" spans="6:6" ht="15.75" customHeight="1" x14ac:dyDescent="0.25">
      <c r="F765" s="55"/>
    </row>
    <row r="766" spans="6:6" ht="15.75" customHeight="1" x14ac:dyDescent="0.25">
      <c r="F766" s="55"/>
    </row>
    <row r="767" spans="6:6" ht="15.75" customHeight="1" x14ac:dyDescent="0.25">
      <c r="F767" s="55"/>
    </row>
    <row r="768" spans="6:6" ht="15.75" customHeight="1" x14ac:dyDescent="0.25">
      <c r="F768" s="55"/>
    </row>
    <row r="769" spans="6:6" ht="15.75" customHeight="1" x14ac:dyDescent="0.25">
      <c r="F769" s="55"/>
    </row>
    <row r="770" spans="6:6" ht="15.75" customHeight="1" x14ac:dyDescent="0.25">
      <c r="F770" s="55"/>
    </row>
    <row r="771" spans="6:6" ht="15.75" customHeight="1" x14ac:dyDescent="0.25">
      <c r="F771" s="55"/>
    </row>
    <row r="772" spans="6:6" ht="15.75" customHeight="1" x14ac:dyDescent="0.25">
      <c r="F772" s="55"/>
    </row>
    <row r="773" spans="6:6" ht="15.75" customHeight="1" x14ac:dyDescent="0.25">
      <c r="F773" s="55"/>
    </row>
    <row r="774" spans="6:6" ht="15.75" customHeight="1" x14ac:dyDescent="0.25">
      <c r="F774" s="55"/>
    </row>
    <row r="775" spans="6:6" ht="15.75" customHeight="1" x14ac:dyDescent="0.25">
      <c r="F775" s="55"/>
    </row>
    <row r="776" spans="6:6" ht="15.75" customHeight="1" x14ac:dyDescent="0.25">
      <c r="F776" s="55"/>
    </row>
    <row r="777" spans="6:6" ht="15.75" customHeight="1" x14ac:dyDescent="0.25">
      <c r="F777" s="55"/>
    </row>
    <row r="778" spans="6:6" ht="15.75" customHeight="1" x14ac:dyDescent="0.25">
      <c r="F778" s="55"/>
    </row>
    <row r="779" spans="6:6" ht="15.75" customHeight="1" x14ac:dyDescent="0.25">
      <c r="F779" s="55"/>
    </row>
    <row r="780" spans="6:6" ht="15.75" customHeight="1" x14ac:dyDescent="0.25">
      <c r="F780" s="55"/>
    </row>
    <row r="781" spans="6:6" ht="15.75" customHeight="1" x14ac:dyDescent="0.25">
      <c r="F781" s="55"/>
    </row>
    <row r="782" spans="6:6" ht="15.75" customHeight="1" x14ac:dyDescent="0.25">
      <c r="F782" s="55"/>
    </row>
    <row r="783" spans="6:6" ht="15.75" customHeight="1" x14ac:dyDescent="0.25">
      <c r="F783" s="55"/>
    </row>
    <row r="784" spans="6:6" ht="15.75" customHeight="1" x14ac:dyDescent="0.25">
      <c r="F784" s="55"/>
    </row>
    <row r="785" spans="6:6" ht="15.75" customHeight="1" x14ac:dyDescent="0.25">
      <c r="F785" s="55"/>
    </row>
    <row r="786" spans="6:6" ht="15.75" customHeight="1" x14ac:dyDescent="0.25">
      <c r="F786" s="55"/>
    </row>
    <row r="787" spans="6:6" ht="15.75" customHeight="1" x14ac:dyDescent="0.25">
      <c r="F787" s="55"/>
    </row>
    <row r="788" spans="6:6" ht="15.75" customHeight="1" x14ac:dyDescent="0.25">
      <c r="F788" s="55"/>
    </row>
    <row r="789" spans="6:6" ht="15.75" customHeight="1" x14ac:dyDescent="0.25">
      <c r="F789" s="55"/>
    </row>
    <row r="790" spans="6:6" ht="15.75" customHeight="1" x14ac:dyDescent="0.25">
      <c r="F790" s="55"/>
    </row>
    <row r="791" spans="6:6" ht="15.75" customHeight="1" x14ac:dyDescent="0.25">
      <c r="F791" s="55"/>
    </row>
    <row r="792" spans="6:6" ht="15.75" customHeight="1" x14ac:dyDescent="0.25">
      <c r="F792" s="55"/>
    </row>
    <row r="793" spans="6:6" ht="15.75" customHeight="1" x14ac:dyDescent="0.25">
      <c r="F793" s="55"/>
    </row>
    <row r="794" spans="6:6" ht="15.75" customHeight="1" x14ac:dyDescent="0.25">
      <c r="F794" s="55"/>
    </row>
    <row r="795" spans="6:6" ht="15.75" customHeight="1" x14ac:dyDescent="0.25">
      <c r="F795" s="55"/>
    </row>
    <row r="796" spans="6:6" ht="15.75" customHeight="1" x14ac:dyDescent="0.25">
      <c r="F796" s="55"/>
    </row>
    <row r="797" spans="6:6" ht="15.75" customHeight="1" x14ac:dyDescent="0.25">
      <c r="F797" s="55"/>
    </row>
    <row r="798" spans="6:6" ht="15.75" customHeight="1" x14ac:dyDescent="0.25">
      <c r="F798" s="55"/>
    </row>
    <row r="799" spans="6:6" ht="15.75" customHeight="1" x14ac:dyDescent="0.25">
      <c r="F799" s="55"/>
    </row>
    <row r="800" spans="6:6" ht="15.75" customHeight="1" x14ac:dyDescent="0.25">
      <c r="F800" s="55"/>
    </row>
    <row r="801" spans="6:6" ht="15.75" customHeight="1" x14ac:dyDescent="0.25">
      <c r="F801" s="55"/>
    </row>
    <row r="802" spans="6:6" ht="15.75" customHeight="1" x14ac:dyDescent="0.25">
      <c r="F802" s="55"/>
    </row>
    <row r="803" spans="6:6" ht="15.75" customHeight="1" x14ac:dyDescent="0.25">
      <c r="F803" s="55"/>
    </row>
    <row r="804" spans="6:6" ht="15.75" customHeight="1" x14ac:dyDescent="0.25">
      <c r="F804" s="55"/>
    </row>
    <row r="805" spans="6:6" ht="15.75" customHeight="1" x14ac:dyDescent="0.25">
      <c r="F805" s="55"/>
    </row>
    <row r="806" spans="6:6" ht="15.75" customHeight="1" x14ac:dyDescent="0.25">
      <c r="F806" s="55"/>
    </row>
    <row r="807" spans="6:6" ht="15.75" customHeight="1" x14ac:dyDescent="0.25">
      <c r="F807" s="55"/>
    </row>
    <row r="808" spans="6:6" ht="15.75" customHeight="1" x14ac:dyDescent="0.25">
      <c r="F808" s="55"/>
    </row>
    <row r="809" spans="6:6" ht="15.75" customHeight="1" x14ac:dyDescent="0.25">
      <c r="F809" s="55"/>
    </row>
    <row r="810" spans="6:6" ht="15.75" customHeight="1" x14ac:dyDescent="0.25">
      <c r="F810" s="55"/>
    </row>
    <row r="811" spans="6:6" ht="15.75" customHeight="1" x14ac:dyDescent="0.25">
      <c r="F811" s="55"/>
    </row>
    <row r="812" spans="6:6" ht="15.75" customHeight="1" x14ac:dyDescent="0.25">
      <c r="F812" s="55"/>
    </row>
    <row r="813" spans="6:6" ht="15.75" customHeight="1" x14ac:dyDescent="0.25">
      <c r="F813" s="55"/>
    </row>
    <row r="814" spans="6:6" ht="15.75" customHeight="1" x14ac:dyDescent="0.25">
      <c r="F814" s="55"/>
    </row>
    <row r="815" spans="6:6" ht="15.75" customHeight="1" x14ac:dyDescent="0.25">
      <c r="F815" s="55"/>
    </row>
    <row r="816" spans="6:6" ht="15.75" customHeight="1" x14ac:dyDescent="0.25">
      <c r="F816" s="55"/>
    </row>
    <row r="817" spans="6:6" ht="15.75" customHeight="1" x14ac:dyDescent="0.25">
      <c r="F817" s="55"/>
    </row>
    <row r="818" spans="6:6" ht="15.75" customHeight="1" x14ac:dyDescent="0.25">
      <c r="F818" s="55"/>
    </row>
    <row r="819" spans="6:6" ht="15.75" customHeight="1" x14ac:dyDescent="0.25">
      <c r="F819" s="55"/>
    </row>
    <row r="820" spans="6:6" ht="15.75" customHeight="1" x14ac:dyDescent="0.25">
      <c r="F820" s="55"/>
    </row>
    <row r="821" spans="6:6" ht="15.75" customHeight="1" x14ac:dyDescent="0.25">
      <c r="F821" s="55"/>
    </row>
    <row r="822" spans="6:6" ht="15.75" customHeight="1" x14ac:dyDescent="0.25">
      <c r="F822" s="55"/>
    </row>
    <row r="823" spans="6:6" ht="15.75" customHeight="1" x14ac:dyDescent="0.25">
      <c r="F823" s="55"/>
    </row>
    <row r="824" spans="6:6" ht="15.75" customHeight="1" x14ac:dyDescent="0.25">
      <c r="F824" s="55"/>
    </row>
    <row r="825" spans="6:6" ht="15.75" customHeight="1" x14ac:dyDescent="0.25">
      <c r="F825" s="55"/>
    </row>
    <row r="826" spans="6:6" ht="15.75" customHeight="1" x14ac:dyDescent="0.25">
      <c r="F826" s="55"/>
    </row>
    <row r="827" spans="6:6" ht="15.75" customHeight="1" x14ac:dyDescent="0.25">
      <c r="F827" s="55"/>
    </row>
    <row r="828" spans="6:6" ht="15.75" customHeight="1" x14ac:dyDescent="0.25">
      <c r="F828" s="55"/>
    </row>
    <row r="829" spans="6:6" ht="15.75" customHeight="1" x14ac:dyDescent="0.25">
      <c r="F829" s="55"/>
    </row>
    <row r="830" spans="6:6" ht="15.75" customHeight="1" x14ac:dyDescent="0.25">
      <c r="F830" s="55"/>
    </row>
    <row r="831" spans="6:6" ht="15.75" customHeight="1" x14ac:dyDescent="0.25">
      <c r="F831" s="55"/>
    </row>
    <row r="832" spans="6:6" ht="15.75" customHeight="1" x14ac:dyDescent="0.25">
      <c r="F832" s="55"/>
    </row>
    <row r="833" spans="6:6" ht="15.75" customHeight="1" x14ac:dyDescent="0.25">
      <c r="F833" s="55"/>
    </row>
    <row r="834" spans="6:6" ht="15.75" customHeight="1" x14ac:dyDescent="0.25">
      <c r="F834" s="55"/>
    </row>
    <row r="835" spans="6:6" ht="15.75" customHeight="1" x14ac:dyDescent="0.25">
      <c r="F835" s="55"/>
    </row>
    <row r="836" spans="6:6" ht="15.75" customHeight="1" x14ac:dyDescent="0.25">
      <c r="F836" s="55"/>
    </row>
    <row r="837" spans="6:6" ht="15.75" customHeight="1" x14ac:dyDescent="0.25">
      <c r="F837" s="55"/>
    </row>
    <row r="838" spans="6:6" ht="15.75" customHeight="1" x14ac:dyDescent="0.25">
      <c r="F838" s="55"/>
    </row>
    <row r="839" spans="6:6" ht="15.75" customHeight="1" x14ac:dyDescent="0.25">
      <c r="F839" s="55"/>
    </row>
    <row r="840" spans="6:6" ht="15.75" customHeight="1" x14ac:dyDescent="0.25">
      <c r="F840" s="55"/>
    </row>
    <row r="841" spans="6:6" ht="15.75" customHeight="1" x14ac:dyDescent="0.25">
      <c r="F841" s="55"/>
    </row>
    <row r="842" spans="6:6" ht="15.75" customHeight="1" x14ac:dyDescent="0.25">
      <c r="F842" s="55"/>
    </row>
    <row r="843" spans="6:6" ht="15.75" customHeight="1" x14ac:dyDescent="0.25">
      <c r="F843" s="55"/>
    </row>
    <row r="844" spans="6:6" ht="15.75" customHeight="1" x14ac:dyDescent="0.25">
      <c r="F844" s="55"/>
    </row>
    <row r="845" spans="6:6" ht="15.75" customHeight="1" x14ac:dyDescent="0.25">
      <c r="F845" s="55"/>
    </row>
    <row r="846" spans="6:6" ht="15.75" customHeight="1" x14ac:dyDescent="0.25">
      <c r="F846" s="55"/>
    </row>
    <row r="847" spans="6:6" ht="15.75" customHeight="1" x14ac:dyDescent="0.25">
      <c r="F847" s="55"/>
    </row>
    <row r="848" spans="6:6" ht="15.75" customHeight="1" x14ac:dyDescent="0.25">
      <c r="F848" s="55"/>
    </row>
    <row r="849" spans="6:6" ht="15.75" customHeight="1" x14ac:dyDescent="0.25">
      <c r="F849" s="55"/>
    </row>
    <row r="850" spans="6:6" ht="15.75" customHeight="1" x14ac:dyDescent="0.25">
      <c r="F850" s="55"/>
    </row>
    <row r="851" spans="6:6" ht="15.75" customHeight="1" x14ac:dyDescent="0.25">
      <c r="F851" s="55"/>
    </row>
    <row r="852" spans="6:6" ht="15.75" customHeight="1" x14ac:dyDescent="0.25">
      <c r="F852" s="55"/>
    </row>
    <row r="853" spans="6:6" ht="15.75" customHeight="1" x14ac:dyDescent="0.25">
      <c r="F853" s="55"/>
    </row>
    <row r="854" spans="6:6" ht="15.75" customHeight="1" x14ac:dyDescent="0.25">
      <c r="F854" s="55"/>
    </row>
    <row r="855" spans="6:6" ht="15.75" customHeight="1" x14ac:dyDescent="0.25">
      <c r="F855" s="55"/>
    </row>
    <row r="856" spans="6:6" ht="15.75" customHeight="1" x14ac:dyDescent="0.25">
      <c r="F856" s="55"/>
    </row>
    <row r="857" spans="6:6" ht="15.75" customHeight="1" x14ac:dyDescent="0.25">
      <c r="F857" s="55"/>
    </row>
    <row r="858" spans="6:6" ht="15.75" customHeight="1" x14ac:dyDescent="0.25">
      <c r="F858" s="55"/>
    </row>
    <row r="859" spans="6:6" ht="15.75" customHeight="1" x14ac:dyDescent="0.25">
      <c r="F859" s="55"/>
    </row>
    <row r="860" spans="6:6" ht="15.75" customHeight="1" x14ac:dyDescent="0.25">
      <c r="F860" s="55"/>
    </row>
    <row r="861" spans="6:6" ht="15.75" customHeight="1" x14ac:dyDescent="0.25">
      <c r="F861" s="55"/>
    </row>
    <row r="862" spans="6:6" ht="15.75" customHeight="1" x14ac:dyDescent="0.25">
      <c r="F862" s="55"/>
    </row>
    <row r="863" spans="6:6" ht="15.75" customHeight="1" x14ac:dyDescent="0.25">
      <c r="F863" s="55"/>
    </row>
    <row r="864" spans="6:6" ht="15.75" customHeight="1" x14ac:dyDescent="0.25">
      <c r="F864" s="55"/>
    </row>
    <row r="865" spans="6:6" ht="15.75" customHeight="1" x14ac:dyDescent="0.25">
      <c r="F865" s="55"/>
    </row>
    <row r="866" spans="6:6" ht="15.75" customHeight="1" x14ac:dyDescent="0.25">
      <c r="F866" s="55"/>
    </row>
    <row r="867" spans="6:6" ht="15.75" customHeight="1" x14ac:dyDescent="0.25">
      <c r="F867" s="55"/>
    </row>
    <row r="868" spans="6:6" ht="15.75" customHeight="1" x14ac:dyDescent="0.25">
      <c r="F868" s="55"/>
    </row>
    <row r="869" spans="6:6" ht="15.75" customHeight="1" x14ac:dyDescent="0.25">
      <c r="F869" s="55"/>
    </row>
    <row r="870" spans="6:6" ht="15.75" customHeight="1" x14ac:dyDescent="0.25">
      <c r="F870" s="55"/>
    </row>
    <row r="871" spans="6:6" ht="15.75" customHeight="1" x14ac:dyDescent="0.25">
      <c r="F871" s="55"/>
    </row>
    <row r="872" spans="6:6" ht="15.75" customHeight="1" x14ac:dyDescent="0.25">
      <c r="F872" s="55"/>
    </row>
    <row r="873" spans="6:6" ht="15.75" customHeight="1" x14ac:dyDescent="0.25">
      <c r="F873" s="55"/>
    </row>
    <row r="874" spans="6:6" ht="15.75" customHeight="1" x14ac:dyDescent="0.25">
      <c r="F874" s="55"/>
    </row>
    <row r="875" spans="6:6" ht="15.75" customHeight="1" x14ac:dyDescent="0.25">
      <c r="F875" s="55"/>
    </row>
    <row r="876" spans="6:6" ht="15.75" customHeight="1" x14ac:dyDescent="0.25">
      <c r="F876" s="55"/>
    </row>
    <row r="877" spans="6:6" ht="15.75" customHeight="1" x14ac:dyDescent="0.25">
      <c r="F877" s="55"/>
    </row>
    <row r="878" spans="6:6" ht="15.75" customHeight="1" x14ac:dyDescent="0.25">
      <c r="F878" s="55"/>
    </row>
    <row r="879" spans="6:6" ht="15.75" customHeight="1" x14ac:dyDescent="0.25">
      <c r="F879" s="55"/>
    </row>
    <row r="880" spans="6:6" ht="15.75" customHeight="1" x14ac:dyDescent="0.25">
      <c r="F880" s="55"/>
    </row>
    <row r="881" spans="6:6" ht="15.75" customHeight="1" x14ac:dyDescent="0.25">
      <c r="F881" s="55"/>
    </row>
    <row r="882" spans="6:6" ht="15.75" customHeight="1" x14ac:dyDescent="0.25">
      <c r="F882" s="55"/>
    </row>
    <row r="883" spans="6:6" ht="15.75" customHeight="1" x14ac:dyDescent="0.25">
      <c r="F883" s="55"/>
    </row>
    <row r="884" spans="6:6" ht="15.75" customHeight="1" x14ac:dyDescent="0.25">
      <c r="F884" s="55"/>
    </row>
    <row r="885" spans="6:6" ht="15.75" customHeight="1" x14ac:dyDescent="0.25">
      <c r="F885" s="55"/>
    </row>
    <row r="886" spans="6:6" ht="15.75" customHeight="1" x14ac:dyDescent="0.25">
      <c r="F886" s="55"/>
    </row>
    <row r="887" spans="6:6" ht="15.75" customHeight="1" x14ac:dyDescent="0.25">
      <c r="F887" s="55"/>
    </row>
    <row r="888" spans="6:6" ht="15.75" customHeight="1" x14ac:dyDescent="0.25">
      <c r="F888" s="55"/>
    </row>
    <row r="889" spans="6:6" ht="15.75" customHeight="1" x14ac:dyDescent="0.25">
      <c r="F889" s="55"/>
    </row>
    <row r="890" spans="6:6" ht="15.75" customHeight="1" x14ac:dyDescent="0.25">
      <c r="F890" s="55"/>
    </row>
    <row r="891" spans="6:6" ht="15.75" customHeight="1" x14ac:dyDescent="0.25">
      <c r="F891" s="55"/>
    </row>
    <row r="892" spans="6:6" ht="15.75" customHeight="1" x14ac:dyDescent="0.25">
      <c r="F892" s="55"/>
    </row>
    <row r="893" spans="6:6" ht="15.75" customHeight="1" x14ac:dyDescent="0.25">
      <c r="F893" s="55"/>
    </row>
    <row r="894" spans="6:6" ht="15.75" customHeight="1" x14ac:dyDescent="0.25">
      <c r="F894" s="55"/>
    </row>
    <row r="895" spans="6:6" ht="15.75" customHeight="1" x14ac:dyDescent="0.25">
      <c r="F895" s="55"/>
    </row>
    <row r="896" spans="6:6" ht="15.75" customHeight="1" x14ac:dyDescent="0.25">
      <c r="F896" s="55"/>
    </row>
    <row r="897" spans="6:6" ht="15.75" customHeight="1" x14ac:dyDescent="0.25">
      <c r="F897" s="55"/>
    </row>
    <row r="898" spans="6:6" ht="15.75" customHeight="1" x14ac:dyDescent="0.25">
      <c r="F898" s="55"/>
    </row>
    <row r="899" spans="6:6" ht="15.75" customHeight="1" x14ac:dyDescent="0.25">
      <c r="F899" s="55"/>
    </row>
    <row r="900" spans="6:6" ht="15.75" customHeight="1" x14ac:dyDescent="0.25">
      <c r="F900" s="55"/>
    </row>
    <row r="901" spans="6:6" ht="15.75" customHeight="1" x14ac:dyDescent="0.25">
      <c r="F901" s="55"/>
    </row>
    <row r="902" spans="6:6" ht="15.75" customHeight="1" x14ac:dyDescent="0.25">
      <c r="F902" s="55"/>
    </row>
    <row r="903" spans="6:6" ht="15.75" customHeight="1" x14ac:dyDescent="0.25">
      <c r="F903" s="55"/>
    </row>
    <row r="904" spans="6:6" ht="15.75" customHeight="1" x14ac:dyDescent="0.25">
      <c r="F904" s="55"/>
    </row>
    <row r="905" spans="6:6" ht="15.75" customHeight="1" x14ac:dyDescent="0.25">
      <c r="F905" s="55"/>
    </row>
    <row r="906" spans="6:6" ht="15.75" customHeight="1" x14ac:dyDescent="0.25">
      <c r="F906" s="55"/>
    </row>
    <row r="907" spans="6:6" ht="15.75" customHeight="1" x14ac:dyDescent="0.25">
      <c r="F907" s="55"/>
    </row>
    <row r="908" spans="6:6" ht="15.75" customHeight="1" x14ac:dyDescent="0.25">
      <c r="F908" s="55"/>
    </row>
    <row r="909" spans="6:6" ht="15.75" customHeight="1" x14ac:dyDescent="0.25">
      <c r="F909" s="55"/>
    </row>
    <row r="910" spans="6:6" ht="15.75" customHeight="1" x14ac:dyDescent="0.25">
      <c r="F910" s="55"/>
    </row>
    <row r="911" spans="6:6" ht="15.75" customHeight="1" x14ac:dyDescent="0.25">
      <c r="F911" s="55"/>
    </row>
    <row r="912" spans="6:6" ht="15.75" customHeight="1" x14ac:dyDescent="0.25">
      <c r="F912" s="55"/>
    </row>
    <row r="913" spans="6:6" ht="15.75" customHeight="1" x14ac:dyDescent="0.25">
      <c r="F913" s="55"/>
    </row>
    <row r="914" spans="6:6" ht="15.75" customHeight="1" x14ac:dyDescent="0.25">
      <c r="F914" s="55"/>
    </row>
    <row r="915" spans="6:6" ht="15.75" customHeight="1" x14ac:dyDescent="0.25">
      <c r="F915" s="55"/>
    </row>
    <row r="916" spans="6:6" ht="15.75" customHeight="1" x14ac:dyDescent="0.25">
      <c r="F916" s="55"/>
    </row>
    <row r="917" spans="6:6" ht="15.75" customHeight="1" x14ac:dyDescent="0.25">
      <c r="F917" s="55"/>
    </row>
    <row r="918" spans="6:6" ht="15.75" customHeight="1" x14ac:dyDescent="0.25">
      <c r="F918" s="55"/>
    </row>
    <row r="919" spans="6:6" ht="15.75" customHeight="1" x14ac:dyDescent="0.25">
      <c r="F919" s="55"/>
    </row>
    <row r="920" spans="6:6" ht="15.75" customHeight="1" x14ac:dyDescent="0.25">
      <c r="F920" s="55"/>
    </row>
    <row r="921" spans="6:6" ht="15.75" customHeight="1" x14ac:dyDescent="0.25">
      <c r="F921" s="55"/>
    </row>
    <row r="922" spans="6:6" ht="15.75" customHeight="1" x14ac:dyDescent="0.25">
      <c r="F922" s="55"/>
    </row>
    <row r="923" spans="6:6" ht="15.75" customHeight="1" x14ac:dyDescent="0.25">
      <c r="F923" s="55"/>
    </row>
    <row r="924" spans="6:6" ht="15.75" customHeight="1" x14ac:dyDescent="0.25">
      <c r="F924" s="55"/>
    </row>
    <row r="925" spans="6:6" ht="15.75" customHeight="1" x14ac:dyDescent="0.25">
      <c r="F925" s="55"/>
    </row>
    <row r="926" spans="6:6" ht="15.75" customHeight="1" x14ac:dyDescent="0.25">
      <c r="F926" s="55"/>
    </row>
    <row r="927" spans="6:6" ht="15.75" customHeight="1" x14ac:dyDescent="0.25">
      <c r="F927" s="55"/>
    </row>
    <row r="928" spans="6:6" ht="15.75" customHeight="1" x14ac:dyDescent="0.25">
      <c r="F928" s="55"/>
    </row>
    <row r="929" spans="6:6" ht="15.75" customHeight="1" x14ac:dyDescent="0.25">
      <c r="F929" s="55"/>
    </row>
    <row r="930" spans="6:6" ht="15.75" customHeight="1" x14ac:dyDescent="0.25">
      <c r="F930" s="55"/>
    </row>
    <row r="931" spans="6:6" ht="15.75" customHeight="1" x14ac:dyDescent="0.25">
      <c r="F931" s="55"/>
    </row>
    <row r="932" spans="6:6" ht="15.75" customHeight="1" x14ac:dyDescent="0.25">
      <c r="F932" s="55"/>
    </row>
    <row r="933" spans="6:6" ht="15.75" customHeight="1" x14ac:dyDescent="0.25">
      <c r="F933" s="55"/>
    </row>
    <row r="934" spans="6:6" ht="15.75" customHeight="1" x14ac:dyDescent="0.25">
      <c r="F934" s="55"/>
    </row>
    <row r="935" spans="6:6" ht="15.75" customHeight="1" x14ac:dyDescent="0.25">
      <c r="F935" s="55"/>
    </row>
    <row r="936" spans="6:6" ht="15.75" customHeight="1" x14ac:dyDescent="0.25">
      <c r="F936" s="55"/>
    </row>
    <row r="937" spans="6:6" ht="15.75" customHeight="1" x14ac:dyDescent="0.25">
      <c r="F937" s="55"/>
    </row>
    <row r="938" spans="6:6" ht="15.75" customHeight="1" x14ac:dyDescent="0.25">
      <c r="F938" s="55"/>
    </row>
    <row r="939" spans="6:6" ht="15.75" customHeight="1" x14ac:dyDescent="0.25">
      <c r="F939" s="55"/>
    </row>
    <row r="940" spans="6:6" ht="15.75" customHeight="1" x14ac:dyDescent="0.25">
      <c r="F940" s="55"/>
    </row>
    <row r="941" spans="6:6" ht="15.75" customHeight="1" x14ac:dyDescent="0.25">
      <c r="F941" s="55"/>
    </row>
    <row r="942" spans="6:6" ht="15.75" customHeight="1" x14ac:dyDescent="0.25">
      <c r="F942" s="55"/>
    </row>
    <row r="943" spans="6:6" ht="15.75" customHeight="1" x14ac:dyDescent="0.25">
      <c r="F943" s="55"/>
    </row>
    <row r="944" spans="6:6" ht="15.75" customHeight="1" x14ac:dyDescent="0.25">
      <c r="F944" s="55"/>
    </row>
    <row r="945" spans="6:6" ht="15.75" customHeight="1" x14ac:dyDescent="0.25">
      <c r="F945" s="55"/>
    </row>
    <row r="946" spans="6:6" ht="15.75" customHeight="1" x14ac:dyDescent="0.25">
      <c r="F946" s="55"/>
    </row>
    <row r="947" spans="6:6" ht="15.75" customHeight="1" x14ac:dyDescent="0.25">
      <c r="F947" s="55"/>
    </row>
    <row r="948" spans="6:6" ht="15.75" customHeight="1" x14ac:dyDescent="0.25">
      <c r="F948" s="55"/>
    </row>
    <row r="949" spans="6:6" ht="15.75" customHeight="1" x14ac:dyDescent="0.25">
      <c r="F949" s="55"/>
    </row>
    <row r="950" spans="6:6" ht="15.75" customHeight="1" x14ac:dyDescent="0.25">
      <c r="F950" s="55"/>
    </row>
    <row r="951" spans="6:6" ht="15.75" customHeight="1" x14ac:dyDescent="0.25">
      <c r="F951" s="55"/>
    </row>
    <row r="952" spans="6:6" ht="15.75" customHeight="1" x14ac:dyDescent="0.25">
      <c r="F952" s="55"/>
    </row>
    <row r="953" spans="6:6" ht="15.75" customHeight="1" x14ac:dyDescent="0.25">
      <c r="F953" s="55"/>
    </row>
    <row r="954" spans="6:6" ht="15.75" customHeight="1" x14ac:dyDescent="0.25">
      <c r="F954" s="55"/>
    </row>
    <row r="955" spans="6:6" ht="15.75" customHeight="1" x14ac:dyDescent="0.25">
      <c r="F955" s="55"/>
    </row>
    <row r="956" spans="6:6" ht="15.75" customHeight="1" x14ac:dyDescent="0.25">
      <c r="F956" s="55"/>
    </row>
    <row r="957" spans="6:6" ht="15.75" customHeight="1" x14ac:dyDescent="0.25">
      <c r="F957" s="55"/>
    </row>
    <row r="958" spans="6:6" ht="15.75" customHeight="1" x14ac:dyDescent="0.25">
      <c r="F958" s="55"/>
    </row>
    <row r="959" spans="6:6" ht="15.75" customHeight="1" x14ac:dyDescent="0.25">
      <c r="F959" s="55"/>
    </row>
    <row r="960" spans="6:6" ht="15.75" customHeight="1" x14ac:dyDescent="0.25">
      <c r="F960" s="55"/>
    </row>
    <row r="961" spans="6:6" ht="15.75" customHeight="1" x14ac:dyDescent="0.25">
      <c r="F961" s="55"/>
    </row>
    <row r="962" spans="6:6" ht="15.75" customHeight="1" x14ac:dyDescent="0.25">
      <c r="F962" s="55"/>
    </row>
    <row r="963" spans="6:6" ht="15.75" customHeight="1" x14ac:dyDescent="0.25">
      <c r="F963" s="55"/>
    </row>
    <row r="964" spans="6:6" ht="15.75" customHeight="1" x14ac:dyDescent="0.25">
      <c r="F964" s="55"/>
    </row>
    <row r="965" spans="6:6" ht="15.75" customHeight="1" x14ac:dyDescent="0.25">
      <c r="F965" s="55"/>
    </row>
    <row r="966" spans="6:6" ht="15.75" customHeight="1" x14ac:dyDescent="0.25">
      <c r="F966" s="55"/>
    </row>
    <row r="967" spans="6:6" ht="15.75" customHeight="1" x14ac:dyDescent="0.25">
      <c r="F967" s="55"/>
    </row>
    <row r="968" spans="6:6" ht="15.75" customHeight="1" x14ac:dyDescent="0.25">
      <c r="F968" s="55"/>
    </row>
    <row r="969" spans="6:6" ht="15.75" customHeight="1" x14ac:dyDescent="0.25">
      <c r="F969" s="55"/>
    </row>
    <row r="970" spans="6:6" ht="15.75" customHeight="1" x14ac:dyDescent="0.25">
      <c r="F970" s="55"/>
    </row>
    <row r="971" spans="6:6" ht="15.75" customHeight="1" x14ac:dyDescent="0.25">
      <c r="F971" s="55"/>
    </row>
    <row r="972" spans="6:6" ht="15.75" customHeight="1" x14ac:dyDescent="0.25">
      <c r="F972" s="55"/>
    </row>
    <row r="973" spans="6:6" ht="15.75" customHeight="1" x14ac:dyDescent="0.25">
      <c r="F973" s="55"/>
    </row>
    <row r="974" spans="6:6" ht="15.75" customHeight="1" x14ac:dyDescent="0.25">
      <c r="F974" s="55"/>
    </row>
    <row r="975" spans="6:6" ht="15.75" customHeight="1" x14ac:dyDescent="0.25">
      <c r="F975" s="55"/>
    </row>
    <row r="976" spans="6:6" ht="15.75" customHeight="1" x14ac:dyDescent="0.25">
      <c r="F976" s="55"/>
    </row>
    <row r="977" spans="6:6" ht="15.75" customHeight="1" x14ac:dyDescent="0.25">
      <c r="F977" s="55"/>
    </row>
    <row r="978" spans="6:6" ht="15.75" customHeight="1" x14ac:dyDescent="0.25">
      <c r="F978" s="55"/>
    </row>
    <row r="979" spans="6:6" ht="15.75" customHeight="1" x14ac:dyDescent="0.25">
      <c r="F979" s="55"/>
    </row>
    <row r="980" spans="6:6" ht="15.75" customHeight="1" x14ac:dyDescent="0.25">
      <c r="F980" s="55"/>
    </row>
    <row r="981" spans="6:6" ht="15.75" customHeight="1" x14ac:dyDescent="0.25">
      <c r="F981" s="55"/>
    </row>
    <row r="982" spans="6:6" ht="15.75" customHeight="1" x14ac:dyDescent="0.25">
      <c r="F982" s="55"/>
    </row>
    <row r="983" spans="6:6" ht="15.75" customHeight="1" x14ac:dyDescent="0.25">
      <c r="F983" s="55"/>
    </row>
    <row r="984" spans="6:6" ht="15.75" customHeight="1" x14ac:dyDescent="0.25">
      <c r="F984" s="55"/>
    </row>
    <row r="985" spans="6:6" ht="15.75" customHeight="1" x14ac:dyDescent="0.25">
      <c r="F985" s="55"/>
    </row>
    <row r="986" spans="6:6" ht="15.75" customHeight="1" x14ac:dyDescent="0.25">
      <c r="F986" s="55"/>
    </row>
    <row r="987" spans="6:6" ht="15.75" customHeight="1" x14ac:dyDescent="0.25">
      <c r="F987" s="55"/>
    </row>
    <row r="988" spans="6:6" ht="15.75" customHeight="1" x14ac:dyDescent="0.25">
      <c r="F988" s="55"/>
    </row>
    <row r="989" spans="6:6" ht="15.75" customHeight="1" x14ac:dyDescent="0.25">
      <c r="F989" s="55"/>
    </row>
    <row r="990" spans="6:6" ht="15.75" customHeight="1" x14ac:dyDescent="0.25">
      <c r="F990" s="55"/>
    </row>
    <row r="991" spans="6:6" ht="15.75" customHeight="1" x14ac:dyDescent="0.25">
      <c r="F991" s="55"/>
    </row>
    <row r="992" spans="6:6" ht="15.75" customHeight="1" x14ac:dyDescent="0.25">
      <c r="F992" s="55"/>
    </row>
    <row r="993" spans="6:6" ht="15.75" customHeight="1" x14ac:dyDescent="0.25">
      <c r="F993" s="55"/>
    </row>
    <row r="994" spans="6:6" ht="15.75" customHeight="1" x14ac:dyDescent="0.25">
      <c r="F994" s="55"/>
    </row>
    <row r="995" spans="6:6" ht="15.75" customHeight="1" x14ac:dyDescent="0.25">
      <c r="F995" s="55"/>
    </row>
    <row r="996" spans="6:6" ht="15.75" customHeight="1" x14ac:dyDescent="0.25">
      <c r="F996" s="55"/>
    </row>
    <row r="997" spans="6:6" ht="15.75" customHeight="1" x14ac:dyDescent="0.25">
      <c r="F997" s="55"/>
    </row>
    <row r="998" spans="6:6" ht="15.75" customHeight="1" x14ac:dyDescent="0.25">
      <c r="F998" s="55"/>
    </row>
    <row r="999" spans="6:6" ht="15.75" customHeight="1" x14ac:dyDescent="0.25">
      <c r="F999" s="55"/>
    </row>
    <row r="1000" spans="6:6" ht="15.75" customHeight="1" x14ac:dyDescent="0.25">
      <c r="F1000" s="55"/>
    </row>
  </sheetData>
  <dataValidations count="1">
    <dataValidation type="custom" allowBlank="1" showInputMessage="1" showErrorMessage="1" prompt="Petunjuk Pengisian - NIK/Nomor KTP harus terdiri dari 16 digit untuk e-KTP atau 17 digit untuk KTP biasa." sqref="K113" xr:uid="{00000000-0002-0000-0100-000000000000}">
      <formula1>AND(GTE(LEN(K113),MIN((16),(17))),LTE(LEN(K113),MAX((16),(17))))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workbookViewId="0"/>
  </sheetViews>
  <sheetFormatPr defaultColWidth="14.42578125" defaultRowHeight="15" customHeight="1" x14ac:dyDescent="0.25"/>
  <cols>
    <col min="1" max="1" width="5.140625" customWidth="1"/>
    <col min="2" max="2" width="44.140625" customWidth="1"/>
    <col min="3" max="3" width="23.140625" customWidth="1"/>
    <col min="4" max="4" width="5.7109375" customWidth="1"/>
    <col min="5" max="5" width="17.28515625" customWidth="1"/>
    <col min="6" max="6" width="14.140625" customWidth="1"/>
    <col min="7" max="7" width="22.5703125" customWidth="1"/>
    <col min="8" max="8" width="42.140625" customWidth="1"/>
    <col min="9" max="9" width="12.42578125" customWidth="1"/>
    <col min="10" max="10" width="43.5703125" customWidth="1"/>
    <col min="11" max="11" width="17.140625" customWidth="1"/>
    <col min="12" max="12" width="7.85546875" customWidth="1"/>
    <col min="13" max="13" width="61.42578125" customWidth="1"/>
    <col min="14" max="14" width="20.85546875" customWidth="1"/>
    <col min="15" max="15" width="19.140625" customWidth="1"/>
    <col min="16" max="16" width="18.42578125" customWidth="1"/>
    <col min="17" max="17" width="46.5703125" customWidth="1"/>
    <col min="18" max="18" width="36.85546875" customWidth="1"/>
    <col min="19" max="19" width="27.5703125" customWidth="1"/>
    <col min="20" max="26" width="8" customWidth="1"/>
  </cols>
  <sheetData>
    <row r="1" spans="1:26" ht="51" customHeight="1" x14ac:dyDescent="0.25">
      <c r="A1" s="56" t="s">
        <v>357</v>
      </c>
      <c r="B1" s="57" t="s">
        <v>5</v>
      </c>
      <c r="C1" s="58" t="s">
        <v>7</v>
      </c>
      <c r="D1" s="59" t="s">
        <v>358</v>
      </c>
      <c r="E1" s="58" t="s">
        <v>965</v>
      </c>
      <c r="F1" s="58" t="s">
        <v>966</v>
      </c>
      <c r="G1" s="58" t="s">
        <v>967</v>
      </c>
      <c r="H1" s="60" t="s">
        <v>3</v>
      </c>
      <c r="I1" s="60" t="s">
        <v>968</v>
      </c>
      <c r="J1" s="60" t="s">
        <v>969</v>
      </c>
      <c r="K1" s="60" t="s">
        <v>3</v>
      </c>
      <c r="L1" s="3" t="s">
        <v>362</v>
      </c>
      <c r="M1" s="61" t="s">
        <v>970</v>
      </c>
      <c r="N1" s="57" t="s">
        <v>971</v>
      </c>
      <c r="O1" s="57" t="s">
        <v>972</v>
      </c>
      <c r="P1" s="57" t="s">
        <v>8</v>
      </c>
      <c r="Q1" s="3" t="s">
        <v>12</v>
      </c>
      <c r="R1" s="62" t="s">
        <v>973</v>
      </c>
      <c r="S1" s="63" t="s">
        <v>974</v>
      </c>
    </row>
    <row r="2" spans="1:26" ht="28.5" customHeight="1" x14ac:dyDescent="0.25">
      <c r="A2" s="5">
        <v>1</v>
      </c>
      <c r="B2" s="9" t="s">
        <v>975</v>
      </c>
      <c r="C2" s="64" t="s">
        <v>976</v>
      </c>
      <c r="D2" s="39" t="s">
        <v>977</v>
      </c>
      <c r="E2" s="40" t="s">
        <v>978</v>
      </c>
      <c r="F2" s="65">
        <v>29661</v>
      </c>
      <c r="G2" s="66" t="s">
        <v>979</v>
      </c>
      <c r="H2" s="31" t="s">
        <v>980</v>
      </c>
      <c r="I2" s="31" t="s">
        <v>981</v>
      </c>
      <c r="J2" s="36"/>
      <c r="K2" s="31"/>
      <c r="L2" s="5" t="s">
        <v>982</v>
      </c>
      <c r="M2" s="11" t="s">
        <v>983</v>
      </c>
      <c r="N2" s="10" t="s">
        <v>984</v>
      </c>
      <c r="O2" s="67"/>
      <c r="P2" s="68" t="s">
        <v>985</v>
      </c>
      <c r="Q2" s="69" t="s">
        <v>986</v>
      </c>
      <c r="R2" s="14" t="s">
        <v>987</v>
      </c>
      <c r="S2" s="12" t="s">
        <v>988</v>
      </c>
      <c r="T2" s="19"/>
      <c r="U2" s="19"/>
      <c r="V2" s="19"/>
      <c r="W2" s="19"/>
      <c r="X2" s="19"/>
      <c r="Y2" s="19"/>
      <c r="Z2" s="19"/>
    </row>
    <row r="3" spans="1:26" ht="28.5" customHeight="1" x14ac:dyDescent="0.25">
      <c r="A3" s="5">
        <v>2</v>
      </c>
      <c r="B3" s="9" t="s">
        <v>989</v>
      </c>
      <c r="C3" s="64" t="s">
        <v>990</v>
      </c>
      <c r="D3" s="39" t="s">
        <v>991</v>
      </c>
      <c r="E3" s="40" t="s">
        <v>992</v>
      </c>
      <c r="F3" s="65">
        <v>32325</v>
      </c>
      <c r="G3" s="66" t="s">
        <v>993</v>
      </c>
      <c r="H3" s="31" t="s">
        <v>980</v>
      </c>
      <c r="I3" s="31" t="s">
        <v>981</v>
      </c>
      <c r="J3" s="36"/>
      <c r="K3" s="31"/>
      <c r="L3" s="5" t="s">
        <v>982</v>
      </c>
      <c r="M3" s="11" t="s">
        <v>994</v>
      </c>
      <c r="N3" s="10" t="s">
        <v>995</v>
      </c>
      <c r="O3" s="67" t="s">
        <v>996</v>
      </c>
      <c r="P3" s="68" t="s">
        <v>997</v>
      </c>
      <c r="Q3" s="69" t="s">
        <v>998</v>
      </c>
      <c r="R3" s="11" t="s">
        <v>999</v>
      </c>
      <c r="S3" s="12" t="s">
        <v>1000</v>
      </c>
      <c r="T3" s="19"/>
      <c r="U3" s="19"/>
      <c r="V3" s="19"/>
      <c r="W3" s="19"/>
      <c r="X3" s="19"/>
      <c r="Y3" s="19"/>
      <c r="Z3" s="19"/>
    </row>
    <row r="4" spans="1:26" ht="28.5" customHeight="1" x14ac:dyDescent="0.25">
      <c r="A4" s="5">
        <v>3</v>
      </c>
      <c r="B4" s="9" t="s">
        <v>1001</v>
      </c>
      <c r="C4" s="64" t="s">
        <v>1002</v>
      </c>
      <c r="D4" s="39" t="s">
        <v>991</v>
      </c>
      <c r="E4" s="40" t="s">
        <v>1003</v>
      </c>
      <c r="F4" s="65">
        <v>29800</v>
      </c>
      <c r="G4" s="66" t="s">
        <v>1004</v>
      </c>
      <c r="H4" s="31" t="s">
        <v>980</v>
      </c>
      <c r="I4" s="31" t="s">
        <v>981</v>
      </c>
      <c r="J4" s="36" t="s">
        <v>1005</v>
      </c>
      <c r="K4" s="31">
        <v>44350</v>
      </c>
      <c r="L4" s="67" t="s">
        <v>982</v>
      </c>
      <c r="M4" s="40" t="s">
        <v>1006</v>
      </c>
      <c r="N4" s="10" t="s">
        <v>1007</v>
      </c>
      <c r="O4" s="67" t="s">
        <v>1008</v>
      </c>
      <c r="P4" s="68" t="s">
        <v>1009</v>
      </c>
      <c r="Q4" s="9" t="s">
        <v>1010</v>
      </c>
      <c r="R4" s="9" t="s">
        <v>1011</v>
      </c>
      <c r="S4" s="9" t="s">
        <v>1012</v>
      </c>
      <c r="T4" s="19"/>
      <c r="U4" s="19"/>
      <c r="V4" s="19"/>
      <c r="W4" s="19"/>
      <c r="X4" s="19"/>
      <c r="Y4" s="19"/>
      <c r="Z4" s="19"/>
    </row>
    <row r="5" spans="1:26" ht="28.5" customHeight="1" x14ac:dyDescent="0.25">
      <c r="A5" s="5">
        <v>4</v>
      </c>
      <c r="B5" s="9" t="s">
        <v>1013</v>
      </c>
      <c r="C5" s="64" t="s">
        <v>1014</v>
      </c>
      <c r="D5" s="39" t="s">
        <v>991</v>
      </c>
      <c r="E5" s="40" t="s">
        <v>1015</v>
      </c>
      <c r="F5" s="65">
        <v>33610</v>
      </c>
      <c r="G5" s="66" t="s">
        <v>1016</v>
      </c>
      <c r="H5" s="31" t="s">
        <v>980</v>
      </c>
      <c r="I5" s="31" t="s">
        <v>981</v>
      </c>
      <c r="J5" s="36" t="s">
        <v>1017</v>
      </c>
      <c r="K5" s="31">
        <v>45588</v>
      </c>
      <c r="L5" s="5" t="s">
        <v>982</v>
      </c>
      <c r="M5" s="11" t="s">
        <v>1018</v>
      </c>
      <c r="N5" s="10" t="s">
        <v>1019</v>
      </c>
      <c r="O5" s="67"/>
      <c r="P5" s="68" t="s">
        <v>1020</v>
      </c>
      <c r="Q5" s="9" t="s">
        <v>1010</v>
      </c>
      <c r="R5" s="14" t="s">
        <v>1021</v>
      </c>
      <c r="S5" s="12" t="s">
        <v>1022</v>
      </c>
      <c r="T5" s="19"/>
      <c r="U5" s="19"/>
      <c r="V5" s="19"/>
      <c r="W5" s="19"/>
      <c r="X5" s="19"/>
      <c r="Y5" s="19"/>
      <c r="Z5" s="19"/>
    </row>
    <row r="6" spans="1:26" ht="28.5" customHeight="1" x14ac:dyDescent="0.25">
      <c r="A6" s="5">
        <v>5</v>
      </c>
      <c r="B6" s="70" t="s">
        <v>1023</v>
      </c>
      <c r="C6" s="71" t="s">
        <v>1024</v>
      </c>
      <c r="D6" s="39" t="s">
        <v>977</v>
      </c>
      <c r="E6" s="72" t="s">
        <v>1025</v>
      </c>
      <c r="F6" s="73">
        <v>28381</v>
      </c>
      <c r="G6" s="66" t="s">
        <v>1026</v>
      </c>
      <c r="H6" s="31" t="s">
        <v>980</v>
      </c>
      <c r="I6" s="31" t="s">
        <v>1027</v>
      </c>
      <c r="J6" s="74"/>
      <c r="K6" s="75"/>
      <c r="L6" s="5" t="s">
        <v>1028</v>
      </c>
      <c r="M6" s="9" t="s">
        <v>1029</v>
      </c>
      <c r="N6" s="76" t="s">
        <v>1030</v>
      </c>
      <c r="O6" s="77" t="s">
        <v>1031</v>
      </c>
      <c r="P6" s="78" t="s">
        <v>1032</v>
      </c>
      <c r="Q6" s="14" t="s">
        <v>1033</v>
      </c>
      <c r="R6" s="14" t="s">
        <v>1034</v>
      </c>
      <c r="S6" s="9" t="s">
        <v>1035</v>
      </c>
      <c r="T6" s="19"/>
      <c r="U6" s="19"/>
      <c r="V6" s="19"/>
      <c r="W6" s="19"/>
      <c r="X6" s="19"/>
      <c r="Y6" s="19"/>
      <c r="Z6" s="19"/>
    </row>
    <row r="7" spans="1:26" ht="28.5" customHeight="1" x14ac:dyDescent="0.25">
      <c r="A7" s="5">
        <v>6</v>
      </c>
      <c r="B7" s="9" t="s">
        <v>1036</v>
      </c>
      <c r="C7" s="64" t="s">
        <v>1037</v>
      </c>
      <c r="D7" s="39" t="s">
        <v>977</v>
      </c>
      <c r="E7" s="40" t="s">
        <v>1038</v>
      </c>
      <c r="F7" s="65">
        <v>30143</v>
      </c>
      <c r="G7" s="66" t="s">
        <v>1039</v>
      </c>
      <c r="H7" s="31" t="s">
        <v>980</v>
      </c>
      <c r="I7" s="31" t="s">
        <v>1027</v>
      </c>
      <c r="J7" s="36" t="s">
        <v>1040</v>
      </c>
      <c r="K7" s="75">
        <v>45586</v>
      </c>
      <c r="L7" s="5" t="s">
        <v>1028</v>
      </c>
      <c r="M7" s="11" t="s">
        <v>1041</v>
      </c>
      <c r="N7" s="10" t="s">
        <v>1042</v>
      </c>
      <c r="O7" s="79">
        <v>212100516584</v>
      </c>
      <c r="P7" s="68" t="s">
        <v>1043</v>
      </c>
      <c r="Q7" s="69" t="s">
        <v>998</v>
      </c>
      <c r="R7" s="14" t="s">
        <v>1044</v>
      </c>
      <c r="S7" s="12" t="s">
        <v>1045</v>
      </c>
      <c r="T7" s="19"/>
      <c r="U7" s="19"/>
      <c r="V7" s="19"/>
      <c r="W7" s="19"/>
      <c r="X7" s="19"/>
      <c r="Y7" s="19"/>
      <c r="Z7" s="19"/>
    </row>
    <row r="8" spans="1:26" ht="28.5" customHeight="1" x14ac:dyDescent="0.25">
      <c r="A8" s="5">
        <v>7</v>
      </c>
      <c r="B8" s="70" t="s">
        <v>1046</v>
      </c>
      <c r="C8" s="80" t="s">
        <v>1047</v>
      </c>
      <c r="D8" s="39" t="s">
        <v>991</v>
      </c>
      <c r="E8" s="72" t="s">
        <v>992</v>
      </c>
      <c r="F8" s="73">
        <v>27922</v>
      </c>
      <c r="G8" s="66" t="s">
        <v>1048</v>
      </c>
      <c r="H8" s="31" t="s">
        <v>980</v>
      </c>
      <c r="I8" s="31" t="s">
        <v>1027</v>
      </c>
      <c r="J8" s="74" t="s">
        <v>1049</v>
      </c>
      <c r="K8" s="75">
        <v>45590</v>
      </c>
      <c r="L8" s="5" t="s">
        <v>1028</v>
      </c>
      <c r="M8" s="9" t="s">
        <v>1050</v>
      </c>
      <c r="N8" s="76" t="s">
        <v>1051</v>
      </c>
      <c r="O8" s="81">
        <v>212100516581</v>
      </c>
      <c r="P8" s="68" t="s">
        <v>1052</v>
      </c>
      <c r="Q8" s="14" t="s">
        <v>1033</v>
      </c>
      <c r="R8" s="14" t="s">
        <v>1034</v>
      </c>
      <c r="S8" s="9" t="s">
        <v>1053</v>
      </c>
      <c r="T8" s="19"/>
      <c r="U8" s="19"/>
      <c r="V8" s="19"/>
      <c r="W8" s="19"/>
      <c r="X8" s="19"/>
      <c r="Y8" s="19"/>
      <c r="Z8" s="19"/>
    </row>
    <row r="9" spans="1:26" ht="28.5" customHeight="1" x14ac:dyDescent="0.25">
      <c r="A9" s="5">
        <v>8</v>
      </c>
      <c r="B9" s="70" t="s">
        <v>1054</v>
      </c>
      <c r="C9" s="64" t="s">
        <v>1055</v>
      </c>
      <c r="D9" s="39" t="s">
        <v>977</v>
      </c>
      <c r="E9" s="72" t="s">
        <v>1056</v>
      </c>
      <c r="F9" s="73">
        <v>27611</v>
      </c>
      <c r="G9" s="66" t="s">
        <v>1057</v>
      </c>
      <c r="H9" s="31" t="s">
        <v>980</v>
      </c>
      <c r="I9" s="31" t="s">
        <v>1027</v>
      </c>
      <c r="J9" s="74"/>
      <c r="K9" s="75"/>
      <c r="L9" s="5" t="s">
        <v>1028</v>
      </c>
      <c r="M9" s="9" t="s">
        <v>1058</v>
      </c>
      <c r="N9" s="76" t="s">
        <v>1059</v>
      </c>
      <c r="O9" s="81">
        <v>212100516590</v>
      </c>
      <c r="P9" s="68" t="s">
        <v>1060</v>
      </c>
      <c r="Q9" s="14" t="s">
        <v>1033</v>
      </c>
      <c r="R9" s="14" t="s">
        <v>1034</v>
      </c>
      <c r="S9" s="9" t="s">
        <v>1061</v>
      </c>
      <c r="T9" s="19"/>
      <c r="U9" s="19"/>
      <c r="V9" s="19"/>
      <c r="W9" s="19"/>
      <c r="X9" s="19"/>
      <c r="Y9" s="19"/>
      <c r="Z9" s="19"/>
    </row>
    <row r="10" spans="1:26" ht="28.5" customHeight="1" x14ac:dyDescent="0.25">
      <c r="A10" s="5">
        <v>9</v>
      </c>
      <c r="B10" s="70" t="s">
        <v>1062</v>
      </c>
      <c r="C10" s="64" t="s">
        <v>1063</v>
      </c>
      <c r="D10" s="39" t="s">
        <v>977</v>
      </c>
      <c r="E10" s="72" t="s">
        <v>992</v>
      </c>
      <c r="F10" s="73">
        <v>29467</v>
      </c>
      <c r="G10" s="66" t="s">
        <v>1057</v>
      </c>
      <c r="H10" s="31" t="s">
        <v>980</v>
      </c>
      <c r="I10" s="31" t="s">
        <v>1027</v>
      </c>
      <c r="J10" s="74"/>
      <c r="K10" s="75"/>
      <c r="L10" s="5" t="s">
        <v>1028</v>
      </c>
      <c r="M10" s="9" t="s">
        <v>1064</v>
      </c>
      <c r="N10" s="76" t="s">
        <v>1065</v>
      </c>
      <c r="O10" s="81">
        <v>212100516592</v>
      </c>
      <c r="P10" s="68" t="s">
        <v>1066</v>
      </c>
      <c r="Q10" s="14" t="s">
        <v>1033</v>
      </c>
      <c r="R10" s="14" t="s">
        <v>1034</v>
      </c>
      <c r="S10" s="9" t="s">
        <v>1067</v>
      </c>
      <c r="T10" s="13"/>
      <c r="U10" s="13"/>
      <c r="V10" s="13"/>
      <c r="W10" s="13"/>
      <c r="X10" s="13"/>
      <c r="Y10" s="13"/>
      <c r="Z10" s="13"/>
    </row>
    <row r="11" spans="1:26" ht="28.5" customHeight="1" x14ac:dyDescent="0.25">
      <c r="A11" s="5">
        <v>10</v>
      </c>
      <c r="B11" s="70" t="s">
        <v>1068</v>
      </c>
      <c r="C11" s="64" t="s">
        <v>1069</v>
      </c>
      <c r="D11" s="39" t="s">
        <v>977</v>
      </c>
      <c r="E11" s="72" t="s">
        <v>1070</v>
      </c>
      <c r="F11" s="73">
        <v>33506</v>
      </c>
      <c r="G11" s="66" t="s">
        <v>1071</v>
      </c>
      <c r="H11" s="31" t="s">
        <v>1072</v>
      </c>
      <c r="I11" s="31" t="s">
        <v>981</v>
      </c>
      <c r="J11" s="74"/>
      <c r="K11" s="75"/>
      <c r="L11" s="5" t="s">
        <v>982</v>
      </c>
      <c r="M11" s="9" t="s">
        <v>1073</v>
      </c>
      <c r="N11" s="76" t="s">
        <v>1074</v>
      </c>
      <c r="O11" s="81"/>
      <c r="P11" s="68" t="s">
        <v>1075</v>
      </c>
      <c r="Q11" s="14" t="s">
        <v>986</v>
      </c>
      <c r="R11" s="14" t="s">
        <v>1076</v>
      </c>
      <c r="S11" s="9" t="s">
        <v>1077</v>
      </c>
      <c r="T11" s="13"/>
      <c r="U11" s="13"/>
      <c r="V11" s="13"/>
      <c r="W11" s="13"/>
      <c r="X11" s="13"/>
      <c r="Y11" s="13"/>
      <c r="Z11" s="13"/>
    </row>
    <row r="12" spans="1:26" ht="28.5" customHeight="1" x14ac:dyDescent="0.25">
      <c r="A12" s="5">
        <v>11</v>
      </c>
      <c r="B12" s="70" t="s">
        <v>1078</v>
      </c>
      <c r="C12" s="64" t="s">
        <v>1079</v>
      </c>
      <c r="D12" s="39" t="s">
        <v>977</v>
      </c>
      <c r="E12" s="72" t="s">
        <v>1080</v>
      </c>
      <c r="F12" s="73">
        <v>29829</v>
      </c>
      <c r="G12" s="66" t="s">
        <v>1081</v>
      </c>
      <c r="H12" s="31" t="s">
        <v>1072</v>
      </c>
      <c r="I12" s="31" t="s">
        <v>981</v>
      </c>
      <c r="J12" s="74"/>
      <c r="K12" s="75"/>
      <c r="L12" s="5" t="s">
        <v>982</v>
      </c>
      <c r="M12" s="9" t="s">
        <v>1082</v>
      </c>
      <c r="N12" s="76" t="s">
        <v>1083</v>
      </c>
      <c r="O12" s="81" t="s">
        <v>1084</v>
      </c>
      <c r="P12" s="68" t="s">
        <v>1085</v>
      </c>
      <c r="Q12" s="14" t="s">
        <v>1086</v>
      </c>
      <c r="R12" s="14" t="s">
        <v>1087</v>
      </c>
      <c r="S12" s="9" t="s">
        <v>1088</v>
      </c>
      <c r="T12" s="13"/>
      <c r="U12" s="13"/>
      <c r="V12" s="13"/>
      <c r="W12" s="13"/>
      <c r="X12" s="13"/>
      <c r="Y12" s="13"/>
      <c r="Z12" s="13"/>
    </row>
    <row r="13" spans="1:26" ht="28.5" customHeight="1" x14ac:dyDescent="0.25">
      <c r="A13" s="5">
        <v>12</v>
      </c>
      <c r="B13" s="70" t="s">
        <v>1089</v>
      </c>
      <c r="C13" s="64" t="s">
        <v>1090</v>
      </c>
      <c r="D13" s="39" t="s">
        <v>977</v>
      </c>
      <c r="E13" s="72" t="s">
        <v>1091</v>
      </c>
      <c r="F13" s="73">
        <v>28757</v>
      </c>
      <c r="G13" s="66" t="s">
        <v>1092</v>
      </c>
      <c r="H13" s="31" t="s">
        <v>1072</v>
      </c>
      <c r="I13" s="31" t="s">
        <v>1027</v>
      </c>
      <c r="J13" s="74" t="s">
        <v>1093</v>
      </c>
      <c r="K13" s="75">
        <v>45590</v>
      </c>
      <c r="L13" s="5" t="s">
        <v>1028</v>
      </c>
      <c r="M13" s="9" t="s">
        <v>1094</v>
      </c>
      <c r="N13" s="76" t="s">
        <v>1095</v>
      </c>
      <c r="O13" s="81">
        <v>212100516585</v>
      </c>
      <c r="P13" s="68" t="s">
        <v>1096</v>
      </c>
      <c r="Q13" s="14" t="s">
        <v>1033</v>
      </c>
      <c r="R13" s="14" t="s">
        <v>1034</v>
      </c>
      <c r="S13" s="9" t="s">
        <v>1097</v>
      </c>
      <c r="T13" s="13"/>
      <c r="U13" s="13"/>
      <c r="V13" s="13"/>
      <c r="W13" s="13"/>
      <c r="X13" s="13"/>
      <c r="Y13" s="13"/>
      <c r="Z13" s="13"/>
    </row>
    <row r="14" spans="1:26" ht="28.5" customHeight="1" x14ac:dyDescent="0.25">
      <c r="A14" s="5">
        <v>13</v>
      </c>
      <c r="B14" s="70" t="s">
        <v>1098</v>
      </c>
      <c r="C14" s="64" t="s">
        <v>1099</v>
      </c>
      <c r="D14" s="39" t="s">
        <v>977</v>
      </c>
      <c r="E14" s="72" t="s">
        <v>1100</v>
      </c>
      <c r="F14" s="73">
        <v>32991</v>
      </c>
      <c r="G14" s="66" t="s">
        <v>1101</v>
      </c>
      <c r="H14" s="31" t="s">
        <v>1072</v>
      </c>
      <c r="I14" s="31" t="s">
        <v>981</v>
      </c>
      <c r="J14" s="74" t="s">
        <v>1102</v>
      </c>
      <c r="K14" s="75">
        <v>45586</v>
      </c>
      <c r="L14" s="5" t="s">
        <v>982</v>
      </c>
      <c r="M14" s="9" t="s">
        <v>1103</v>
      </c>
      <c r="N14" s="76" t="s">
        <v>1104</v>
      </c>
      <c r="O14" s="81" t="s">
        <v>1105</v>
      </c>
      <c r="P14" s="68" t="s">
        <v>1106</v>
      </c>
      <c r="Q14" s="14" t="s">
        <v>1107</v>
      </c>
      <c r="R14" s="14" t="s">
        <v>1108</v>
      </c>
      <c r="S14" s="9" t="s">
        <v>1109</v>
      </c>
      <c r="T14" s="13"/>
      <c r="U14" s="13"/>
      <c r="V14" s="13"/>
      <c r="W14" s="13"/>
      <c r="X14" s="13"/>
      <c r="Y14" s="13"/>
      <c r="Z14" s="13"/>
    </row>
    <row r="15" spans="1:26" ht="28.5" customHeight="1" x14ac:dyDescent="0.25">
      <c r="A15" s="5">
        <v>14</v>
      </c>
      <c r="B15" s="70" t="s">
        <v>1110</v>
      </c>
      <c r="C15" s="64" t="s">
        <v>1111</v>
      </c>
      <c r="D15" s="39" t="s">
        <v>991</v>
      </c>
      <c r="E15" s="72" t="s">
        <v>1112</v>
      </c>
      <c r="F15" s="73">
        <v>33321</v>
      </c>
      <c r="G15" s="66" t="s">
        <v>1113</v>
      </c>
      <c r="H15" s="31" t="s">
        <v>1072</v>
      </c>
      <c r="I15" s="31" t="s">
        <v>981</v>
      </c>
      <c r="J15" s="74"/>
      <c r="K15" s="75"/>
      <c r="L15" s="5" t="s">
        <v>982</v>
      </c>
      <c r="M15" s="9" t="s">
        <v>1073</v>
      </c>
      <c r="N15" s="76" t="s">
        <v>1114</v>
      </c>
      <c r="O15" s="81"/>
      <c r="P15" s="68" t="s">
        <v>1115</v>
      </c>
      <c r="Q15" s="14" t="s">
        <v>986</v>
      </c>
      <c r="R15" s="14" t="s">
        <v>1116</v>
      </c>
      <c r="S15" s="9" t="s">
        <v>1117</v>
      </c>
      <c r="T15" s="13"/>
      <c r="U15" s="13"/>
      <c r="V15" s="13"/>
      <c r="W15" s="13"/>
      <c r="X15" s="13"/>
      <c r="Y15" s="13"/>
      <c r="Z15" s="13"/>
    </row>
    <row r="16" spans="1:26" ht="28.5" customHeight="1" x14ac:dyDescent="0.25">
      <c r="A16" s="5">
        <v>15</v>
      </c>
      <c r="B16" s="70" t="s">
        <v>1118</v>
      </c>
      <c r="C16" s="64" t="s">
        <v>1119</v>
      </c>
      <c r="D16" s="39" t="s">
        <v>991</v>
      </c>
      <c r="E16" s="72" t="s">
        <v>1120</v>
      </c>
      <c r="F16" s="73">
        <v>28755</v>
      </c>
      <c r="G16" s="66" t="s">
        <v>1121</v>
      </c>
      <c r="H16" s="12" t="s">
        <v>1122</v>
      </c>
      <c r="I16" s="31" t="s">
        <v>981</v>
      </c>
      <c r="J16" s="74"/>
      <c r="K16" s="75"/>
      <c r="L16" s="5" t="s">
        <v>982</v>
      </c>
      <c r="M16" s="9" t="s">
        <v>1123</v>
      </c>
      <c r="N16" s="76" t="s">
        <v>1124</v>
      </c>
      <c r="O16" s="82"/>
      <c r="P16" s="83" t="s">
        <v>1125</v>
      </c>
      <c r="Q16" s="14" t="s">
        <v>1126</v>
      </c>
      <c r="R16" s="14" t="s">
        <v>1127</v>
      </c>
      <c r="S16" s="9" t="s">
        <v>1128</v>
      </c>
      <c r="T16" s="13"/>
      <c r="U16" s="13"/>
      <c r="V16" s="13"/>
      <c r="W16" s="13"/>
      <c r="X16" s="13"/>
      <c r="Y16" s="13"/>
      <c r="Z16" s="13"/>
    </row>
    <row r="17" spans="1:26" x14ac:dyDescent="0.25">
      <c r="A17" s="84"/>
      <c r="B17" s="19"/>
      <c r="C17" s="19"/>
      <c r="D17" s="85"/>
      <c r="E17" s="86"/>
      <c r="F17" s="86"/>
      <c r="G17" s="86"/>
      <c r="H17" s="19"/>
      <c r="I17" s="19"/>
      <c r="J17" s="19"/>
      <c r="K17" s="19"/>
      <c r="L17" s="84"/>
      <c r="M17" s="19"/>
      <c r="N17" s="19"/>
      <c r="O17" s="19"/>
      <c r="P17" s="19"/>
      <c r="Q17" s="87"/>
      <c r="R17" s="87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84"/>
      <c r="B18" s="19"/>
      <c r="C18" s="19"/>
      <c r="D18" s="85"/>
      <c r="E18" s="86"/>
      <c r="F18" s="86"/>
      <c r="G18" s="86"/>
      <c r="H18" s="19"/>
      <c r="I18" s="19"/>
      <c r="J18" s="19"/>
      <c r="K18" s="19"/>
      <c r="L18" s="84"/>
      <c r="M18" s="19"/>
      <c r="N18" s="19"/>
      <c r="O18" s="19"/>
      <c r="P18" s="19"/>
      <c r="Q18" s="87"/>
      <c r="R18" s="87"/>
      <c r="S18" s="19"/>
      <c r="T18" s="19"/>
      <c r="U18" s="19"/>
      <c r="V18" s="19"/>
      <c r="W18" s="19"/>
      <c r="X18" s="19"/>
      <c r="Y18" s="19"/>
      <c r="Z18" s="19"/>
    </row>
    <row r="19" spans="1:26" ht="15.75" customHeight="1" x14ac:dyDescent="0.25">
      <c r="A19" s="19"/>
      <c r="B19" s="19"/>
      <c r="C19" s="86"/>
      <c r="D19" s="85"/>
      <c r="E19" s="19"/>
      <c r="F19" s="88"/>
      <c r="G19" s="86"/>
      <c r="H19" s="19"/>
      <c r="I19" s="80">
        <v>3339100</v>
      </c>
      <c r="J19" s="19"/>
      <c r="K19" s="19"/>
      <c r="L19" s="84"/>
      <c r="M19" s="19"/>
      <c r="N19" s="5"/>
      <c r="O19" s="19"/>
      <c r="P19" s="19"/>
      <c r="Q19" s="8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A20" s="84"/>
      <c r="B20" s="19"/>
      <c r="D20" s="90"/>
      <c r="E20" s="86"/>
      <c r="F20" s="86"/>
      <c r="G20" s="86"/>
      <c r="H20" s="19"/>
      <c r="I20" s="19"/>
      <c r="J20" s="19"/>
      <c r="K20" s="19"/>
      <c r="L20" s="2"/>
      <c r="M20" s="19"/>
      <c r="N20" s="19"/>
      <c r="O20" s="19"/>
      <c r="P20" s="19"/>
      <c r="Q20" s="91"/>
      <c r="R20" s="91"/>
      <c r="S20" s="19"/>
    </row>
    <row r="21" spans="1:26" ht="15.75" customHeight="1" x14ac:dyDescent="0.25">
      <c r="A21" s="84"/>
      <c r="B21" s="19"/>
      <c r="D21" s="90"/>
      <c r="E21" s="86"/>
      <c r="F21" s="86"/>
      <c r="G21" s="86"/>
      <c r="H21" s="19"/>
      <c r="I21" s="19"/>
      <c r="J21" s="19"/>
      <c r="K21" s="19"/>
      <c r="L21" s="2"/>
      <c r="M21" s="19"/>
      <c r="N21" s="19"/>
      <c r="O21" s="19"/>
      <c r="P21" s="19"/>
      <c r="Q21" s="91"/>
      <c r="R21" s="91"/>
      <c r="S21" s="19"/>
    </row>
    <row r="22" spans="1:26" ht="15.75" customHeight="1" x14ac:dyDescent="0.25">
      <c r="A22" s="84"/>
      <c r="B22" s="19"/>
      <c r="C22" s="92"/>
      <c r="D22" s="90"/>
      <c r="E22" s="86"/>
      <c r="F22" s="86"/>
      <c r="G22" s="86"/>
      <c r="H22" s="19"/>
      <c r="I22" s="19"/>
      <c r="J22" s="19"/>
      <c r="K22" s="19"/>
      <c r="L22" s="2"/>
      <c r="M22" s="19"/>
      <c r="N22" s="19"/>
      <c r="O22" s="19"/>
      <c r="P22" s="19"/>
      <c r="Q22" s="91"/>
      <c r="R22" s="91"/>
      <c r="S22" s="19"/>
    </row>
    <row r="23" spans="1:26" ht="15.75" customHeight="1" x14ac:dyDescent="0.25">
      <c r="A23" s="84"/>
      <c r="B23" s="19"/>
      <c r="C23" s="92"/>
      <c r="D23" s="90"/>
      <c r="E23" s="86"/>
      <c r="F23" s="86"/>
      <c r="G23" s="86"/>
      <c r="H23" s="19"/>
      <c r="I23" s="19"/>
      <c r="J23" s="19"/>
      <c r="K23" s="19"/>
      <c r="L23" s="2"/>
      <c r="M23" s="19"/>
      <c r="N23" s="19"/>
      <c r="O23" s="19"/>
      <c r="P23" s="19"/>
      <c r="Q23" s="91"/>
      <c r="R23" s="91"/>
      <c r="S23" s="19"/>
    </row>
    <row r="24" spans="1:26" ht="15.75" customHeight="1" x14ac:dyDescent="0.25">
      <c r="A24" s="84"/>
      <c r="B24" s="19" t="s">
        <v>1084</v>
      </c>
      <c r="C24" s="92"/>
      <c r="D24" s="90"/>
      <c r="E24" s="86"/>
      <c r="F24" s="86"/>
      <c r="G24" s="86"/>
      <c r="H24" s="19"/>
      <c r="I24" s="19"/>
      <c r="J24" s="19"/>
      <c r="K24" s="19"/>
      <c r="L24" s="2"/>
      <c r="M24" s="19"/>
      <c r="N24" s="19"/>
      <c r="O24" s="19"/>
      <c r="P24" s="19"/>
      <c r="Q24" s="91"/>
      <c r="R24" s="91"/>
      <c r="S24" s="19"/>
    </row>
    <row r="25" spans="1:26" ht="15.75" customHeight="1" x14ac:dyDescent="0.25">
      <c r="A25" s="84"/>
      <c r="B25" s="19" t="s">
        <v>1084</v>
      </c>
      <c r="C25" s="92"/>
      <c r="D25" s="90"/>
      <c r="E25" s="86"/>
      <c r="F25" s="86"/>
      <c r="G25" s="86"/>
      <c r="H25" s="19"/>
      <c r="I25" s="19"/>
      <c r="J25" s="19"/>
      <c r="K25" s="19"/>
      <c r="L25" s="2"/>
      <c r="M25" s="19"/>
      <c r="N25" s="19"/>
      <c r="O25" s="19"/>
      <c r="P25" s="19"/>
      <c r="Q25" s="91"/>
      <c r="R25" s="91"/>
      <c r="S25" s="19"/>
    </row>
    <row r="26" spans="1:26" ht="15.75" customHeight="1" x14ac:dyDescent="0.25">
      <c r="A26" s="84"/>
      <c r="B26" s="19"/>
      <c r="C26" s="92"/>
      <c r="D26" s="90"/>
      <c r="E26" s="86"/>
      <c r="F26" s="86"/>
      <c r="G26" s="86"/>
      <c r="H26" s="19"/>
      <c r="I26" s="19"/>
      <c r="J26" s="19"/>
      <c r="K26" s="19"/>
      <c r="L26" s="2"/>
      <c r="M26" s="19"/>
      <c r="N26" s="19"/>
      <c r="O26" s="19"/>
      <c r="P26" s="19"/>
      <c r="Q26" s="91"/>
      <c r="R26" s="91"/>
      <c r="S26" s="19"/>
    </row>
    <row r="27" spans="1:26" ht="15.75" customHeight="1" x14ac:dyDescent="0.25">
      <c r="A27" s="84"/>
      <c r="B27" s="19"/>
      <c r="C27" s="92"/>
      <c r="D27" s="90"/>
      <c r="E27" s="86"/>
      <c r="F27" s="86"/>
      <c r="G27" s="86"/>
      <c r="H27" s="19"/>
      <c r="I27" s="19"/>
      <c r="J27" s="19"/>
      <c r="K27" s="19"/>
      <c r="L27" s="2"/>
      <c r="M27" s="19"/>
      <c r="N27" s="19"/>
      <c r="O27" s="19"/>
      <c r="P27" s="19"/>
      <c r="Q27" s="91"/>
      <c r="R27" s="91"/>
      <c r="S27" s="19"/>
    </row>
    <row r="28" spans="1:26" ht="15.75" customHeight="1" x14ac:dyDescent="0.25">
      <c r="A28" s="84"/>
      <c r="B28" s="19"/>
      <c r="C28" s="92"/>
      <c r="D28" s="90"/>
      <c r="E28" s="86"/>
      <c r="F28" s="86"/>
      <c r="G28" s="86"/>
      <c r="H28" s="19"/>
      <c r="I28" s="19"/>
      <c r="J28" s="19"/>
      <c r="K28" s="19"/>
      <c r="L28" s="2"/>
      <c r="M28" s="19"/>
      <c r="N28" s="19"/>
      <c r="O28" s="19"/>
      <c r="P28" s="19"/>
      <c r="Q28" s="91"/>
      <c r="R28" s="91"/>
      <c r="S28" s="19"/>
    </row>
    <row r="29" spans="1:26" ht="15.75" customHeight="1" x14ac:dyDescent="0.25">
      <c r="A29" s="84"/>
      <c r="B29" s="19"/>
      <c r="C29" s="92"/>
      <c r="D29" s="90"/>
      <c r="E29" s="86"/>
      <c r="F29" s="86"/>
      <c r="G29" s="86"/>
      <c r="H29" s="19"/>
      <c r="I29" s="19"/>
      <c r="J29" s="19"/>
      <c r="K29" s="19"/>
      <c r="L29" s="2"/>
      <c r="M29" s="19"/>
      <c r="N29" s="19"/>
      <c r="O29" s="19"/>
      <c r="P29" s="19"/>
      <c r="Q29" s="91"/>
      <c r="R29" s="91"/>
      <c r="S29" s="19"/>
    </row>
    <row r="30" spans="1:26" ht="15.75" customHeight="1" x14ac:dyDescent="0.25">
      <c r="A30" s="84"/>
      <c r="B30" s="19"/>
      <c r="C30" s="92"/>
      <c r="D30" s="90"/>
      <c r="E30" s="86"/>
      <c r="F30" s="86"/>
      <c r="G30" s="86"/>
      <c r="H30" s="19"/>
      <c r="I30" s="19"/>
      <c r="J30" s="19"/>
      <c r="K30" s="19"/>
      <c r="L30" s="2"/>
      <c r="M30" s="19"/>
      <c r="N30" s="19"/>
      <c r="O30" s="19"/>
      <c r="P30" s="19"/>
      <c r="Q30" s="91"/>
      <c r="R30" s="91"/>
      <c r="S30" s="19"/>
    </row>
    <row r="31" spans="1:26" ht="15.75" customHeight="1" x14ac:dyDescent="0.25">
      <c r="A31" s="84"/>
      <c r="B31" s="19"/>
      <c r="C31" s="92"/>
      <c r="D31" s="90"/>
      <c r="E31" s="86"/>
      <c r="F31" s="86"/>
      <c r="G31" s="86"/>
      <c r="H31" s="19"/>
      <c r="I31" s="19"/>
      <c r="J31" s="19"/>
      <c r="K31" s="19"/>
      <c r="L31" s="2"/>
      <c r="M31" s="19"/>
      <c r="N31" s="19"/>
      <c r="O31" s="19"/>
      <c r="P31" s="19"/>
      <c r="Q31" s="91"/>
      <c r="R31" s="91"/>
      <c r="S31" s="19"/>
    </row>
    <row r="32" spans="1:26" ht="15.75" customHeight="1" x14ac:dyDescent="0.25">
      <c r="A32" s="84"/>
      <c r="B32" s="19"/>
      <c r="C32" s="92"/>
      <c r="D32" s="90"/>
      <c r="E32" s="86"/>
      <c r="F32" s="86"/>
      <c r="G32" s="86"/>
      <c r="H32" s="19"/>
      <c r="I32" s="19"/>
      <c r="J32" s="19"/>
      <c r="K32" s="19"/>
      <c r="L32" s="2"/>
      <c r="M32" s="19"/>
      <c r="N32" s="19"/>
      <c r="O32" s="19"/>
      <c r="P32" s="19"/>
      <c r="Q32" s="91"/>
      <c r="R32" s="91"/>
      <c r="S32" s="19"/>
    </row>
    <row r="33" spans="1:19" ht="15.75" customHeight="1" x14ac:dyDescent="0.25">
      <c r="A33" s="84"/>
      <c r="B33" s="19"/>
      <c r="C33" s="92"/>
      <c r="D33" s="90"/>
      <c r="E33" s="86"/>
      <c r="F33" s="86"/>
      <c r="G33" s="86"/>
      <c r="H33" s="19"/>
      <c r="I33" s="19"/>
      <c r="J33" s="19"/>
      <c r="K33" s="19"/>
      <c r="L33" s="2"/>
      <c r="M33" s="19"/>
      <c r="N33" s="19"/>
      <c r="O33" s="19"/>
      <c r="P33" s="19"/>
      <c r="Q33" s="91"/>
      <c r="R33" s="91"/>
      <c r="S33" s="19"/>
    </row>
    <row r="34" spans="1:19" ht="15.75" customHeight="1" x14ac:dyDescent="0.25">
      <c r="A34" s="84"/>
      <c r="B34" s="19"/>
      <c r="C34" s="92"/>
      <c r="D34" s="90"/>
      <c r="E34" s="86"/>
      <c r="F34" s="86"/>
      <c r="G34" s="86"/>
      <c r="H34" s="19"/>
      <c r="I34" s="19"/>
      <c r="J34" s="19"/>
      <c r="K34" s="19"/>
      <c r="L34" s="2"/>
      <c r="M34" s="19"/>
      <c r="N34" s="19"/>
      <c r="O34" s="19"/>
      <c r="P34" s="19"/>
      <c r="Q34" s="91"/>
      <c r="R34" s="91"/>
      <c r="S34" s="19"/>
    </row>
    <row r="35" spans="1:19" ht="15.75" customHeight="1" x14ac:dyDescent="0.25">
      <c r="A35" s="84"/>
      <c r="B35" s="19"/>
      <c r="C35" s="92"/>
      <c r="D35" s="90"/>
      <c r="E35" s="86"/>
      <c r="F35" s="86"/>
      <c r="G35" s="86"/>
      <c r="H35" s="19"/>
      <c r="I35" s="19"/>
      <c r="J35" s="19"/>
      <c r="K35" s="19"/>
      <c r="L35" s="2"/>
      <c r="M35" s="19"/>
      <c r="N35" s="19"/>
      <c r="O35" s="19"/>
      <c r="P35" s="19"/>
      <c r="Q35" s="91"/>
      <c r="R35" s="91"/>
      <c r="S35" s="19"/>
    </row>
    <row r="36" spans="1:19" ht="15.75" customHeight="1" x14ac:dyDescent="0.25">
      <c r="A36" s="84"/>
      <c r="B36" s="19"/>
      <c r="C36" s="92"/>
      <c r="D36" s="90"/>
      <c r="E36" s="86"/>
      <c r="F36" s="86"/>
      <c r="G36" s="86"/>
      <c r="H36" s="19"/>
      <c r="I36" s="19"/>
      <c r="J36" s="19"/>
      <c r="K36" s="19"/>
      <c r="L36" s="2"/>
      <c r="M36" s="19"/>
      <c r="N36" s="19"/>
      <c r="O36" s="19"/>
      <c r="P36" s="19"/>
      <c r="Q36" s="91"/>
      <c r="R36" s="91"/>
      <c r="S36" s="19"/>
    </row>
    <row r="37" spans="1:19" ht="15.75" customHeight="1" x14ac:dyDescent="0.25">
      <c r="A37" s="84"/>
      <c r="B37" s="19"/>
      <c r="C37" s="92"/>
      <c r="D37" s="90"/>
      <c r="E37" s="86"/>
      <c r="F37" s="86"/>
      <c r="G37" s="86"/>
      <c r="H37" s="19"/>
      <c r="I37" s="19"/>
      <c r="J37" s="19"/>
      <c r="K37" s="19"/>
      <c r="L37" s="2"/>
      <c r="M37" s="19"/>
      <c r="N37" s="19"/>
      <c r="O37" s="19"/>
      <c r="P37" s="19"/>
      <c r="Q37" s="91"/>
      <c r="R37" s="91"/>
      <c r="S37" s="19"/>
    </row>
    <row r="38" spans="1:19" ht="15.75" customHeight="1" x14ac:dyDescent="0.25">
      <c r="A38" s="84"/>
      <c r="B38" s="19"/>
      <c r="C38" s="92"/>
      <c r="D38" s="90"/>
      <c r="E38" s="86"/>
      <c r="F38" s="86"/>
      <c r="G38" s="86"/>
      <c r="H38" s="19"/>
      <c r="I38" s="19"/>
      <c r="J38" s="19"/>
      <c r="K38" s="19"/>
      <c r="L38" s="2"/>
      <c r="M38" s="19"/>
      <c r="N38" s="19"/>
      <c r="O38" s="19"/>
      <c r="P38" s="19"/>
      <c r="Q38" s="91"/>
      <c r="R38" s="91"/>
      <c r="S38" s="19"/>
    </row>
    <row r="39" spans="1:19" ht="15.75" customHeight="1" x14ac:dyDescent="0.25">
      <c r="A39" s="84"/>
      <c r="B39" s="19"/>
      <c r="C39" s="92"/>
      <c r="D39" s="90"/>
      <c r="E39" s="86"/>
      <c r="F39" s="86"/>
      <c r="G39" s="86"/>
      <c r="H39" s="19"/>
      <c r="I39" s="19"/>
      <c r="J39" s="19"/>
      <c r="K39" s="19"/>
      <c r="L39" s="2"/>
      <c r="M39" s="19"/>
      <c r="N39" s="19"/>
      <c r="O39" s="19"/>
      <c r="P39" s="19"/>
      <c r="Q39" s="91"/>
      <c r="R39" s="91"/>
      <c r="S39" s="19"/>
    </row>
    <row r="40" spans="1:19" ht="15.75" customHeight="1" x14ac:dyDescent="0.25">
      <c r="A40" s="84"/>
      <c r="B40" s="19"/>
      <c r="C40" s="92"/>
      <c r="D40" s="90"/>
      <c r="E40" s="86"/>
      <c r="F40" s="86"/>
      <c r="G40" s="86"/>
      <c r="H40" s="19"/>
      <c r="I40" s="19"/>
      <c r="J40" s="19"/>
      <c r="K40" s="19"/>
      <c r="L40" s="2"/>
      <c r="M40" s="19"/>
      <c r="N40" s="19"/>
      <c r="O40" s="19"/>
      <c r="P40" s="19"/>
      <c r="Q40" s="91"/>
      <c r="R40" s="91"/>
      <c r="S40" s="19"/>
    </row>
    <row r="41" spans="1:19" ht="15.75" customHeight="1" x14ac:dyDescent="0.25">
      <c r="A41" s="84"/>
      <c r="B41" s="19"/>
      <c r="C41" s="92"/>
      <c r="D41" s="90"/>
      <c r="E41" s="86"/>
      <c r="F41" s="86"/>
      <c r="G41" s="86"/>
      <c r="H41" s="19"/>
      <c r="I41" s="19"/>
      <c r="J41" s="19"/>
      <c r="K41" s="19"/>
      <c r="L41" s="2"/>
      <c r="M41" s="19"/>
      <c r="N41" s="19"/>
      <c r="O41" s="19"/>
      <c r="P41" s="19"/>
      <c r="Q41" s="91"/>
      <c r="R41" s="91"/>
      <c r="S41" s="19"/>
    </row>
    <row r="42" spans="1:19" ht="15.75" customHeight="1" x14ac:dyDescent="0.25">
      <c r="A42" s="84"/>
      <c r="B42" s="19"/>
      <c r="C42" s="92"/>
      <c r="D42" s="90"/>
      <c r="E42" s="86"/>
      <c r="F42" s="86"/>
      <c r="G42" s="86"/>
      <c r="H42" s="19"/>
      <c r="I42" s="19"/>
      <c r="J42" s="19"/>
      <c r="K42" s="19"/>
      <c r="L42" s="2"/>
      <c r="M42" s="19"/>
      <c r="N42" s="19"/>
      <c r="O42" s="19"/>
      <c r="P42" s="19"/>
      <c r="Q42" s="91"/>
      <c r="R42" s="91"/>
      <c r="S42" s="19"/>
    </row>
    <row r="43" spans="1:19" ht="15.75" customHeight="1" x14ac:dyDescent="0.25">
      <c r="A43" s="84"/>
      <c r="B43" s="19"/>
      <c r="C43" s="92"/>
      <c r="D43" s="90"/>
      <c r="E43" s="86"/>
      <c r="F43" s="86"/>
      <c r="G43" s="86"/>
      <c r="H43" s="19"/>
      <c r="I43" s="19"/>
      <c r="J43" s="19"/>
      <c r="K43" s="19"/>
      <c r="L43" s="2"/>
      <c r="M43" s="19"/>
      <c r="N43" s="19"/>
      <c r="O43" s="19"/>
      <c r="P43" s="19"/>
      <c r="Q43" s="91"/>
      <c r="R43" s="91"/>
      <c r="S43" s="19"/>
    </row>
    <row r="44" spans="1:19" ht="15.75" customHeight="1" x14ac:dyDescent="0.25">
      <c r="A44" s="84"/>
      <c r="B44" s="19"/>
      <c r="C44" s="92"/>
      <c r="D44" s="90"/>
      <c r="E44" s="86"/>
      <c r="F44" s="86"/>
      <c r="G44" s="86"/>
      <c r="H44" s="19"/>
      <c r="I44" s="19"/>
      <c r="J44" s="19"/>
      <c r="K44" s="19"/>
      <c r="L44" s="2"/>
      <c r="M44" s="19"/>
      <c r="N44" s="19"/>
      <c r="O44" s="19"/>
      <c r="P44" s="19"/>
      <c r="Q44" s="91"/>
      <c r="R44" s="91"/>
      <c r="S44" s="19"/>
    </row>
    <row r="45" spans="1:19" ht="15.75" customHeight="1" x14ac:dyDescent="0.25">
      <c r="A45" s="84"/>
      <c r="B45" s="19"/>
      <c r="C45" s="92"/>
      <c r="D45" s="90"/>
      <c r="E45" s="86"/>
      <c r="F45" s="86"/>
      <c r="G45" s="86"/>
      <c r="H45" s="19"/>
      <c r="I45" s="19"/>
      <c r="J45" s="19"/>
      <c r="K45" s="19"/>
      <c r="L45" s="2"/>
      <c r="M45" s="19"/>
      <c r="N45" s="19"/>
      <c r="O45" s="19"/>
      <c r="P45" s="19"/>
      <c r="Q45" s="91"/>
      <c r="R45" s="91"/>
      <c r="S45" s="19"/>
    </row>
    <row r="46" spans="1:19" ht="15.75" customHeight="1" x14ac:dyDescent="0.25">
      <c r="A46" s="84"/>
      <c r="B46" s="19"/>
      <c r="C46" s="92"/>
      <c r="D46" s="90"/>
      <c r="E46" s="86"/>
      <c r="F46" s="86"/>
      <c r="G46" s="86"/>
      <c r="H46" s="19"/>
      <c r="I46" s="19"/>
      <c r="J46" s="19"/>
      <c r="K46" s="19"/>
      <c r="L46" s="2"/>
      <c r="M46" s="19"/>
      <c r="N46" s="19"/>
      <c r="O46" s="19"/>
      <c r="P46" s="19"/>
      <c r="Q46" s="91"/>
      <c r="R46" s="91"/>
      <c r="S46" s="19"/>
    </row>
    <row r="47" spans="1:19" ht="15.75" customHeight="1" x14ac:dyDescent="0.25">
      <c r="A47" s="84"/>
      <c r="B47" s="19"/>
      <c r="C47" s="92"/>
      <c r="D47" s="90"/>
      <c r="E47" s="86"/>
      <c r="F47" s="86"/>
      <c r="G47" s="86"/>
      <c r="H47" s="19"/>
      <c r="I47" s="19"/>
      <c r="J47" s="19"/>
      <c r="K47" s="19"/>
      <c r="L47" s="2"/>
      <c r="M47" s="19"/>
      <c r="N47" s="19"/>
      <c r="O47" s="19"/>
      <c r="P47" s="19"/>
      <c r="Q47" s="91"/>
      <c r="R47" s="91"/>
      <c r="S47" s="19"/>
    </row>
    <row r="48" spans="1:19" ht="15.75" customHeight="1" x14ac:dyDescent="0.25">
      <c r="A48" s="84"/>
      <c r="B48" s="19"/>
      <c r="C48" s="92"/>
      <c r="D48" s="90"/>
      <c r="E48" s="86"/>
      <c r="F48" s="86"/>
      <c r="G48" s="86"/>
      <c r="H48" s="19"/>
      <c r="I48" s="19"/>
      <c r="J48" s="19"/>
      <c r="K48" s="19"/>
      <c r="L48" s="2"/>
      <c r="M48" s="19"/>
      <c r="N48" s="19"/>
      <c r="O48" s="19"/>
      <c r="P48" s="19"/>
      <c r="Q48" s="91"/>
      <c r="R48" s="91"/>
      <c r="S48" s="19"/>
    </row>
    <row r="49" spans="1:19" ht="15.75" customHeight="1" x14ac:dyDescent="0.25">
      <c r="A49" s="84"/>
      <c r="B49" s="19"/>
      <c r="C49" s="92"/>
      <c r="D49" s="90"/>
      <c r="E49" s="86"/>
      <c r="F49" s="86"/>
      <c r="G49" s="86"/>
      <c r="H49" s="19"/>
      <c r="I49" s="19"/>
      <c r="J49" s="19"/>
      <c r="K49" s="19"/>
      <c r="L49" s="2"/>
      <c r="M49" s="19"/>
      <c r="N49" s="19"/>
      <c r="O49" s="19"/>
      <c r="P49" s="19"/>
      <c r="Q49" s="91"/>
      <c r="R49" s="91"/>
      <c r="S49" s="19"/>
    </row>
    <row r="50" spans="1:19" ht="15.75" customHeight="1" x14ac:dyDescent="0.25">
      <c r="A50" s="84"/>
      <c r="B50" s="19"/>
      <c r="C50" s="92"/>
      <c r="D50" s="90"/>
      <c r="E50" s="86"/>
      <c r="F50" s="86"/>
      <c r="G50" s="86"/>
      <c r="H50" s="19"/>
      <c r="I50" s="19"/>
      <c r="J50" s="19"/>
      <c r="K50" s="19"/>
      <c r="L50" s="2"/>
      <c r="M50" s="19"/>
      <c r="N50" s="19"/>
      <c r="O50" s="19"/>
      <c r="P50" s="19"/>
      <c r="Q50" s="91"/>
      <c r="R50" s="91"/>
      <c r="S50" s="19"/>
    </row>
    <row r="51" spans="1:19" ht="15.75" customHeight="1" x14ac:dyDescent="0.25">
      <c r="A51" s="84"/>
      <c r="B51" s="19"/>
      <c r="C51" s="92"/>
      <c r="D51" s="90"/>
      <c r="E51" s="86"/>
      <c r="F51" s="86"/>
      <c r="G51" s="86"/>
      <c r="H51" s="19"/>
      <c r="I51" s="19"/>
      <c r="J51" s="19"/>
      <c r="K51" s="19"/>
      <c r="L51" s="2"/>
      <c r="M51" s="19"/>
      <c r="N51" s="19"/>
      <c r="O51" s="19"/>
      <c r="P51" s="19"/>
      <c r="Q51" s="91"/>
      <c r="R51" s="91"/>
      <c r="S51" s="19"/>
    </row>
    <row r="52" spans="1:19" ht="15.75" customHeight="1" x14ac:dyDescent="0.25">
      <c r="A52" s="84"/>
      <c r="B52" s="19"/>
      <c r="C52" s="92"/>
      <c r="D52" s="90"/>
      <c r="E52" s="86"/>
      <c r="F52" s="86"/>
      <c r="G52" s="86"/>
      <c r="H52" s="19"/>
      <c r="I52" s="19"/>
      <c r="J52" s="19"/>
      <c r="K52" s="19"/>
      <c r="L52" s="2"/>
      <c r="M52" s="19"/>
      <c r="N52" s="19"/>
      <c r="O52" s="19"/>
      <c r="P52" s="19"/>
      <c r="Q52" s="91"/>
      <c r="R52" s="91"/>
      <c r="S52" s="19"/>
    </row>
    <row r="53" spans="1:19" ht="15.75" customHeight="1" x14ac:dyDescent="0.25">
      <c r="A53" s="84"/>
      <c r="B53" s="19"/>
      <c r="C53" s="92"/>
      <c r="D53" s="90"/>
      <c r="E53" s="86"/>
      <c r="F53" s="86"/>
      <c r="G53" s="86"/>
      <c r="H53" s="19"/>
      <c r="I53" s="19"/>
      <c r="J53" s="19"/>
      <c r="K53" s="19"/>
      <c r="L53" s="2"/>
      <c r="M53" s="19"/>
      <c r="N53" s="19"/>
      <c r="O53" s="19"/>
      <c r="P53" s="19"/>
      <c r="Q53" s="91"/>
      <c r="R53" s="91"/>
      <c r="S53" s="19"/>
    </row>
    <row r="54" spans="1:19" ht="15.75" customHeight="1" x14ac:dyDescent="0.25">
      <c r="A54" s="84"/>
      <c r="B54" s="19"/>
      <c r="C54" s="92"/>
      <c r="D54" s="90"/>
      <c r="E54" s="86"/>
      <c r="F54" s="86"/>
      <c r="G54" s="86"/>
      <c r="H54" s="19"/>
      <c r="I54" s="19"/>
      <c r="J54" s="19"/>
      <c r="K54" s="19"/>
      <c r="L54" s="2"/>
      <c r="M54" s="19"/>
      <c r="N54" s="19"/>
      <c r="O54" s="19"/>
      <c r="P54" s="19"/>
      <c r="Q54" s="91"/>
      <c r="R54" s="91"/>
      <c r="S54" s="19"/>
    </row>
    <row r="55" spans="1:19" ht="15.75" customHeight="1" x14ac:dyDescent="0.25">
      <c r="A55" s="84"/>
      <c r="B55" s="19"/>
      <c r="C55" s="92"/>
      <c r="D55" s="90"/>
      <c r="E55" s="86"/>
      <c r="F55" s="86"/>
      <c r="G55" s="86"/>
      <c r="H55" s="19"/>
      <c r="I55" s="19"/>
      <c r="J55" s="19"/>
      <c r="K55" s="19"/>
      <c r="L55" s="2"/>
      <c r="M55" s="19"/>
      <c r="N55" s="19"/>
      <c r="O55" s="19"/>
      <c r="P55" s="19"/>
      <c r="Q55" s="91"/>
      <c r="R55" s="91"/>
      <c r="S55" s="19"/>
    </row>
    <row r="56" spans="1:19" ht="15.75" customHeight="1" x14ac:dyDescent="0.25">
      <c r="A56" s="84"/>
      <c r="B56" s="19"/>
      <c r="C56" s="92"/>
      <c r="D56" s="90"/>
      <c r="E56" s="86"/>
      <c r="F56" s="86"/>
      <c r="G56" s="86"/>
      <c r="H56" s="19"/>
      <c r="I56" s="19"/>
      <c r="J56" s="19"/>
      <c r="K56" s="19"/>
      <c r="L56" s="2"/>
      <c r="M56" s="19"/>
      <c r="N56" s="19"/>
      <c r="O56" s="19"/>
      <c r="P56" s="19"/>
      <c r="Q56" s="91"/>
      <c r="R56" s="91"/>
      <c r="S56" s="19"/>
    </row>
    <row r="57" spans="1:19" ht="15.75" customHeight="1" x14ac:dyDescent="0.25">
      <c r="A57" s="84"/>
      <c r="B57" s="19"/>
      <c r="C57" s="92"/>
      <c r="D57" s="90"/>
      <c r="E57" s="86"/>
      <c r="F57" s="86"/>
      <c r="G57" s="86"/>
      <c r="H57" s="19"/>
      <c r="I57" s="19"/>
      <c r="J57" s="19"/>
      <c r="K57" s="19"/>
      <c r="L57" s="2"/>
      <c r="M57" s="19"/>
      <c r="N57" s="19"/>
      <c r="O57" s="19"/>
      <c r="P57" s="19"/>
      <c r="Q57" s="91"/>
      <c r="R57" s="91"/>
      <c r="S57" s="19"/>
    </row>
    <row r="58" spans="1:19" ht="15.75" customHeight="1" x14ac:dyDescent="0.25">
      <c r="A58" s="84"/>
      <c r="B58" s="19"/>
      <c r="C58" s="92"/>
      <c r="D58" s="90"/>
      <c r="E58" s="86"/>
      <c r="F58" s="86"/>
      <c r="G58" s="86"/>
      <c r="H58" s="19"/>
      <c r="I58" s="19"/>
      <c r="J58" s="19"/>
      <c r="K58" s="19"/>
      <c r="L58" s="2"/>
      <c r="M58" s="19"/>
      <c r="N58" s="19"/>
      <c r="O58" s="19"/>
      <c r="P58" s="19"/>
      <c r="Q58" s="91"/>
      <c r="R58" s="91"/>
      <c r="S58" s="19"/>
    </row>
    <row r="59" spans="1:19" ht="15.75" customHeight="1" x14ac:dyDescent="0.25">
      <c r="A59" s="84"/>
      <c r="B59" s="19"/>
      <c r="C59" s="92"/>
      <c r="D59" s="90"/>
      <c r="E59" s="86"/>
      <c r="F59" s="86"/>
      <c r="G59" s="86"/>
      <c r="H59" s="19"/>
      <c r="I59" s="19"/>
      <c r="J59" s="19"/>
      <c r="K59" s="19"/>
      <c r="L59" s="2"/>
      <c r="M59" s="19"/>
      <c r="N59" s="19"/>
      <c r="O59" s="19"/>
      <c r="P59" s="19"/>
      <c r="Q59" s="91"/>
      <c r="R59" s="91"/>
      <c r="S59" s="19"/>
    </row>
    <row r="60" spans="1:19" ht="15.75" customHeight="1" x14ac:dyDescent="0.25">
      <c r="A60" s="84"/>
      <c r="B60" s="19"/>
      <c r="C60" s="92"/>
      <c r="D60" s="90"/>
      <c r="E60" s="86"/>
      <c r="F60" s="86"/>
      <c r="G60" s="86"/>
      <c r="H60" s="19"/>
      <c r="I60" s="19"/>
      <c r="J60" s="19"/>
      <c r="K60" s="19"/>
      <c r="L60" s="2"/>
      <c r="M60" s="19"/>
      <c r="N60" s="19"/>
      <c r="O60" s="19"/>
      <c r="P60" s="19"/>
      <c r="Q60" s="91"/>
      <c r="R60" s="91"/>
      <c r="S60" s="19"/>
    </row>
    <row r="61" spans="1:19" ht="15.75" customHeight="1" x14ac:dyDescent="0.25">
      <c r="A61" s="84"/>
      <c r="B61" s="19"/>
      <c r="C61" s="92"/>
      <c r="D61" s="90"/>
      <c r="E61" s="86"/>
      <c r="F61" s="86"/>
      <c r="G61" s="86"/>
      <c r="H61" s="19"/>
      <c r="I61" s="19"/>
      <c r="J61" s="19"/>
      <c r="K61" s="19"/>
      <c r="L61" s="2"/>
      <c r="M61" s="19"/>
      <c r="N61" s="19"/>
      <c r="O61" s="19"/>
      <c r="P61" s="19"/>
      <c r="Q61" s="91"/>
      <c r="R61" s="91"/>
      <c r="S61" s="19"/>
    </row>
    <row r="62" spans="1:19" ht="15.75" customHeight="1" x14ac:dyDescent="0.25">
      <c r="A62" s="84"/>
      <c r="B62" s="19"/>
      <c r="C62" s="92"/>
      <c r="D62" s="90"/>
      <c r="E62" s="86"/>
      <c r="F62" s="86"/>
      <c r="G62" s="86"/>
      <c r="H62" s="19"/>
      <c r="I62" s="19"/>
      <c r="J62" s="19"/>
      <c r="K62" s="19"/>
      <c r="L62" s="2"/>
      <c r="M62" s="19"/>
      <c r="N62" s="19"/>
      <c r="O62" s="19"/>
      <c r="P62" s="19"/>
      <c r="Q62" s="91"/>
      <c r="R62" s="91"/>
      <c r="S62" s="19"/>
    </row>
    <row r="63" spans="1:19" ht="15.75" customHeight="1" x14ac:dyDescent="0.25">
      <c r="A63" s="84"/>
      <c r="B63" s="19"/>
      <c r="C63" s="92"/>
      <c r="D63" s="90"/>
      <c r="E63" s="86"/>
      <c r="F63" s="86"/>
      <c r="G63" s="86"/>
      <c r="H63" s="19"/>
      <c r="I63" s="19"/>
      <c r="J63" s="19"/>
      <c r="K63" s="19"/>
      <c r="L63" s="2"/>
      <c r="M63" s="19"/>
      <c r="N63" s="19"/>
      <c r="O63" s="19"/>
      <c r="P63" s="19"/>
      <c r="Q63" s="91"/>
      <c r="R63" s="91"/>
      <c r="S63" s="19"/>
    </row>
    <row r="64" spans="1:19" ht="15.75" customHeight="1" x14ac:dyDescent="0.25">
      <c r="A64" s="84"/>
      <c r="B64" s="19"/>
      <c r="C64" s="92"/>
      <c r="D64" s="90"/>
      <c r="E64" s="86"/>
      <c r="F64" s="86"/>
      <c r="G64" s="86"/>
      <c r="H64" s="19"/>
      <c r="I64" s="19"/>
      <c r="J64" s="19"/>
      <c r="K64" s="19"/>
      <c r="L64" s="2"/>
      <c r="M64" s="19"/>
      <c r="N64" s="19"/>
      <c r="O64" s="19"/>
      <c r="P64" s="19"/>
      <c r="Q64" s="91"/>
      <c r="R64" s="91"/>
      <c r="S64" s="19"/>
    </row>
    <row r="65" spans="1:19" ht="15.75" customHeight="1" x14ac:dyDescent="0.25">
      <c r="A65" s="84"/>
      <c r="B65" s="19"/>
      <c r="C65" s="92"/>
      <c r="D65" s="90"/>
      <c r="E65" s="86"/>
      <c r="F65" s="86"/>
      <c r="G65" s="86"/>
      <c r="H65" s="19"/>
      <c r="I65" s="19"/>
      <c r="J65" s="19"/>
      <c r="K65" s="19"/>
      <c r="L65" s="2"/>
      <c r="M65" s="19"/>
      <c r="N65" s="19"/>
      <c r="O65" s="19"/>
      <c r="P65" s="19"/>
      <c r="Q65" s="91"/>
      <c r="R65" s="91"/>
      <c r="S65" s="19"/>
    </row>
    <row r="66" spans="1:19" ht="15.75" customHeight="1" x14ac:dyDescent="0.25">
      <c r="A66" s="84"/>
      <c r="B66" s="19"/>
      <c r="C66" s="92"/>
      <c r="D66" s="90"/>
      <c r="E66" s="86"/>
      <c r="F66" s="86"/>
      <c r="G66" s="86"/>
      <c r="H66" s="19"/>
      <c r="I66" s="19"/>
      <c r="J66" s="19"/>
      <c r="K66" s="19"/>
      <c r="L66" s="2"/>
      <c r="M66" s="19"/>
      <c r="N66" s="19"/>
      <c r="O66" s="19"/>
      <c r="P66" s="19"/>
      <c r="Q66" s="91"/>
      <c r="R66" s="91"/>
      <c r="S66" s="19"/>
    </row>
    <row r="67" spans="1:19" ht="15.75" customHeight="1" x14ac:dyDescent="0.25">
      <c r="A67" s="84"/>
      <c r="B67" s="19"/>
      <c r="C67" s="92"/>
      <c r="D67" s="90"/>
      <c r="E67" s="86"/>
      <c r="F67" s="86"/>
      <c r="G67" s="86"/>
      <c r="H67" s="19"/>
      <c r="I67" s="19"/>
      <c r="J67" s="19"/>
      <c r="K67" s="19"/>
      <c r="L67" s="2"/>
      <c r="M67" s="19"/>
      <c r="N67" s="19"/>
      <c r="O67" s="19"/>
      <c r="P67" s="19"/>
      <c r="Q67" s="91"/>
      <c r="R67" s="91"/>
      <c r="S67" s="19"/>
    </row>
    <row r="68" spans="1:19" ht="15.75" customHeight="1" x14ac:dyDescent="0.25">
      <c r="A68" s="84"/>
      <c r="B68" s="19"/>
      <c r="C68" s="92"/>
      <c r="D68" s="90"/>
      <c r="E68" s="86"/>
      <c r="F68" s="86"/>
      <c r="G68" s="86"/>
      <c r="H68" s="19"/>
      <c r="I68" s="19"/>
      <c r="J68" s="19"/>
      <c r="K68" s="19"/>
      <c r="L68" s="2"/>
      <c r="M68" s="19"/>
      <c r="N68" s="19"/>
      <c r="O68" s="19"/>
      <c r="P68" s="19"/>
      <c r="Q68" s="91"/>
      <c r="R68" s="91"/>
      <c r="S68" s="19"/>
    </row>
    <row r="69" spans="1:19" ht="15.75" customHeight="1" x14ac:dyDescent="0.25">
      <c r="A69" s="84"/>
      <c r="B69" s="19"/>
      <c r="C69" s="92"/>
      <c r="D69" s="90"/>
      <c r="E69" s="86"/>
      <c r="F69" s="86"/>
      <c r="G69" s="86"/>
      <c r="H69" s="19"/>
      <c r="I69" s="19"/>
      <c r="J69" s="19"/>
      <c r="K69" s="19"/>
      <c r="L69" s="2"/>
      <c r="M69" s="19"/>
      <c r="N69" s="19"/>
      <c r="O69" s="19"/>
      <c r="P69" s="19"/>
      <c r="Q69" s="91"/>
      <c r="R69" s="91"/>
      <c r="S69" s="19"/>
    </row>
    <row r="70" spans="1:19" ht="15.75" customHeight="1" x14ac:dyDescent="0.25">
      <c r="A70" s="84"/>
      <c r="B70" s="19"/>
      <c r="C70" s="92"/>
      <c r="D70" s="90"/>
      <c r="E70" s="86"/>
      <c r="F70" s="86"/>
      <c r="G70" s="86"/>
      <c r="H70" s="19"/>
      <c r="I70" s="19"/>
      <c r="J70" s="19"/>
      <c r="K70" s="19"/>
      <c r="L70" s="2"/>
      <c r="M70" s="19"/>
      <c r="N70" s="19"/>
      <c r="O70" s="19"/>
      <c r="P70" s="19"/>
      <c r="Q70" s="91"/>
      <c r="R70" s="91"/>
      <c r="S70" s="19"/>
    </row>
    <row r="71" spans="1:19" ht="15.75" customHeight="1" x14ac:dyDescent="0.25">
      <c r="A71" s="84"/>
      <c r="B71" s="19"/>
      <c r="C71" s="92"/>
      <c r="D71" s="90"/>
      <c r="E71" s="86"/>
      <c r="F71" s="86"/>
      <c r="G71" s="86"/>
      <c r="H71" s="19"/>
      <c r="I71" s="19"/>
      <c r="J71" s="19"/>
      <c r="K71" s="19"/>
      <c r="L71" s="2"/>
      <c r="M71" s="19"/>
      <c r="N71" s="19"/>
      <c r="O71" s="19"/>
      <c r="P71" s="19"/>
      <c r="Q71" s="91"/>
      <c r="R71" s="91"/>
      <c r="S71" s="19"/>
    </row>
    <row r="72" spans="1:19" ht="15.75" customHeight="1" x14ac:dyDescent="0.25">
      <c r="A72" s="84"/>
      <c r="B72" s="19"/>
      <c r="C72" s="92"/>
      <c r="D72" s="90"/>
      <c r="E72" s="86"/>
      <c r="F72" s="86"/>
      <c r="G72" s="86"/>
      <c r="H72" s="19"/>
      <c r="I72" s="19"/>
      <c r="J72" s="19"/>
      <c r="K72" s="19"/>
      <c r="L72" s="2"/>
      <c r="M72" s="19"/>
      <c r="N72" s="19"/>
      <c r="O72" s="19"/>
      <c r="P72" s="19"/>
      <c r="Q72" s="91"/>
      <c r="R72" s="91"/>
      <c r="S72" s="19"/>
    </row>
    <row r="73" spans="1:19" ht="15.75" customHeight="1" x14ac:dyDescent="0.25">
      <c r="A73" s="84"/>
      <c r="B73" s="19"/>
      <c r="C73" s="92"/>
      <c r="D73" s="90"/>
      <c r="E73" s="86"/>
      <c r="F73" s="86"/>
      <c r="G73" s="86"/>
      <c r="H73" s="19"/>
      <c r="I73" s="19"/>
      <c r="J73" s="19"/>
      <c r="K73" s="19"/>
      <c r="L73" s="2"/>
      <c r="M73" s="19"/>
      <c r="N73" s="19"/>
      <c r="O73" s="19"/>
      <c r="P73" s="19"/>
      <c r="Q73" s="91"/>
      <c r="R73" s="91"/>
      <c r="S73" s="19"/>
    </row>
    <row r="74" spans="1:19" ht="15.75" customHeight="1" x14ac:dyDescent="0.25">
      <c r="A74" s="84"/>
      <c r="B74" s="19"/>
      <c r="C74" s="92"/>
      <c r="D74" s="90"/>
      <c r="E74" s="86"/>
      <c r="F74" s="86"/>
      <c r="G74" s="86"/>
      <c r="H74" s="19"/>
      <c r="I74" s="19"/>
      <c r="J74" s="19"/>
      <c r="K74" s="19"/>
      <c r="L74" s="2"/>
      <c r="M74" s="19"/>
      <c r="N74" s="19"/>
      <c r="O74" s="19"/>
      <c r="P74" s="19"/>
      <c r="Q74" s="91"/>
      <c r="R74" s="91"/>
      <c r="S74" s="19"/>
    </row>
    <row r="75" spans="1:19" ht="15.75" customHeight="1" x14ac:dyDescent="0.25">
      <c r="A75" s="84"/>
      <c r="B75" s="19"/>
      <c r="C75" s="92"/>
      <c r="D75" s="90"/>
      <c r="E75" s="86"/>
      <c r="F75" s="86"/>
      <c r="G75" s="86"/>
      <c r="H75" s="19"/>
      <c r="I75" s="19"/>
      <c r="J75" s="19"/>
      <c r="K75" s="19"/>
      <c r="L75" s="2"/>
      <c r="M75" s="19"/>
      <c r="N75" s="19"/>
      <c r="O75" s="19"/>
      <c r="P75" s="19"/>
      <c r="Q75" s="91"/>
      <c r="R75" s="91"/>
      <c r="S75" s="19"/>
    </row>
    <row r="76" spans="1:19" ht="15.75" customHeight="1" x14ac:dyDescent="0.25">
      <c r="A76" s="84"/>
      <c r="B76" s="19"/>
      <c r="C76" s="92"/>
      <c r="D76" s="90"/>
      <c r="E76" s="86"/>
      <c r="F76" s="86"/>
      <c r="G76" s="86"/>
      <c r="H76" s="19"/>
      <c r="I76" s="19"/>
      <c r="J76" s="19"/>
      <c r="K76" s="19"/>
      <c r="L76" s="2"/>
      <c r="M76" s="19"/>
      <c r="N76" s="19"/>
      <c r="O76" s="19"/>
      <c r="P76" s="19"/>
      <c r="Q76" s="91"/>
      <c r="R76" s="91"/>
      <c r="S76" s="19"/>
    </row>
    <row r="77" spans="1:19" ht="15.75" customHeight="1" x14ac:dyDescent="0.25">
      <c r="A77" s="84"/>
      <c r="B77" s="19"/>
      <c r="C77" s="92"/>
      <c r="D77" s="90"/>
      <c r="E77" s="86"/>
      <c r="F77" s="86"/>
      <c r="G77" s="86"/>
      <c r="H77" s="19"/>
      <c r="I77" s="19"/>
      <c r="J77" s="19"/>
      <c r="K77" s="19"/>
      <c r="L77" s="2"/>
      <c r="M77" s="19"/>
      <c r="N77" s="19"/>
      <c r="O77" s="19"/>
      <c r="P77" s="19"/>
      <c r="Q77" s="91"/>
      <c r="R77" s="91"/>
      <c r="S77" s="19"/>
    </row>
    <row r="78" spans="1:19" ht="15.75" customHeight="1" x14ac:dyDescent="0.25">
      <c r="A78" s="84"/>
      <c r="B78" s="19"/>
      <c r="C78" s="92"/>
      <c r="D78" s="90"/>
      <c r="E78" s="86"/>
      <c r="F78" s="86"/>
      <c r="G78" s="86"/>
      <c r="H78" s="19"/>
      <c r="I78" s="19"/>
      <c r="J78" s="19"/>
      <c r="K78" s="19"/>
      <c r="L78" s="2"/>
      <c r="M78" s="19"/>
      <c r="N78" s="19"/>
      <c r="O78" s="19"/>
      <c r="P78" s="19"/>
      <c r="Q78" s="91"/>
      <c r="R78" s="91"/>
      <c r="S78" s="19"/>
    </row>
    <row r="79" spans="1:19" ht="15.75" customHeight="1" x14ac:dyDescent="0.25">
      <c r="A79" s="84"/>
      <c r="B79" s="19"/>
      <c r="C79" s="92"/>
      <c r="D79" s="90"/>
      <c r="E79" s="86"/>
      <c r="F79" s="86"/>
      <c r="G79" s="86"/>
      <c r="H79" s="19"/>
      <c r="I79" s="19"/>
      <c r="J79" s="19"/>
      <c r="K79" s="19"/>
      <c r="L79" s="2"/>
      <c r="M79" s="19"/>
      <c r="N79" s="19"/>
      <c r="O79" s="19"/>
      <c r="P79" s="19"/>
      <c r="Q79" s="91"/>
      <c r="R79" s="91"/>
      <c r="S79" s="19"/>
    </row>
    <row r="80" spans="1:19" ht="15.75" customHeight="1" x14ac:dyDescent="0.25">
      <c r="A80" s="84"/>
      <c r="B80" s="19"/>
      <c r="C80" s="92"/>
      <c r="D80" s="90"/>
      <c r="E80" s="86"/>
      <c r="F80" s="86"/>
      <c r="G80" s="86"/>
      <c r="H80" s="19"/>
      <c r="I80" s="19"/>
      <c r="J80" s="19"/>
      <c r="K80" s="19"/>
      <c r="L80" s="2"/>
      <c r="M80" s="19"/>
      <c r="N80" s="19"/>
      <c r="O80" s="19"/>
      <c r="P80" s="19"/>
      <c r="Q80" s="91"/>
      <c r="R80" s="91"/>
      <c r="S80" s="19"/>
    </row>
    <row r="81" spans="1:19" ht="15.75" customHeight="1" x14ac:dyDescent="0.25">
      <c r="A81" s="84"/>
      <c r="B81" s="19"/>
      <c r="C81" s="92"/>
      <c r="D81" s="90"/>
      <c r="E81" s="86"/>
      <c r="F81" s="86"/>
      <c r="G81" s="86"/>
      <c r="H81" s="19"/>
      <c r="I81" s="19"/>
      <c r="J81" s="19"/>
      <c r="K81" s="19"/>
      <c r="L81" s="2"/>
      <c r="M81" s="19"/>
      <c r="N81" s="19"/>
      <c r="O81" s="19"/>
      <c r="P81" s="19"/>
      <c r="Q81" s="91"/>
      <c r="R81" s="91"/>
      <c r="S81" s="19"/>
    </row>
    <row r="82" spans="1:19" ht="15.75" customHeight="1" x14ac:dyDescent="0.25">
      <c r="A82" s="84"/>
      <c r="B82" s="19"/>
      <c r="C82" s="92"/>
      <c r="D82" s="90"/>
      <c r="E82" s="86"/>
      <c r="F82" s="86"/>
      <c r="G82" s="86"/>
      <c r="H82" s="19"/>
      <c r="I82" s="19"/>
      <c r="J82" s="19"/>
      <c r="K82" s="19"/>
      <c r="L82" s="2"/>
      <c r="M82" s="19"/>
      <c r="N82" s="19"/>
      <c r="O82" s="19"/>
      <c r="P82" s="19"/>
      <c r="Q82" s="91"/>
      <c r="R82" s="91"/>
      <c r="S82" s="19"/>
    </row>
    <row r="83" spans="1:19" ht="15.75" customHeight="1" x14ac:dyDescent="0.25">
      <c r="A83" s="84"/>
      <c r="B83" s="19"/>
      <c r="C83" s="92"/>
      <c r="D83" s="90"/>
      <c r="E83" s="86"/>
      <c r="F83" s="86"/>
      <c r="G83" s="86"/>
      <c r="H83" s="19"/>
      <c r="I83" s="19"/>
      <c r="J83" s="19"/>
      <c r="K83" s="19"/>
      <c r="L83" s="2"/>
      <c r="M83" s="19"/>
      <c r="N83" s="19"/>
      <c r="O83" s="19"/>
      <c r="P83" s="19"/>
      <c r="Q83" s="91"/>
      <c r="R83" s="91"/>
      <c r="S83" s="19"/>
    </row>
    <row r="84" spans="1:19" ht="15.75" customHeight="1" x14ac:dyDescent="0.25">
      <c r="A84" s="84"/>
      <c r="B84" s="19"/>
      <c r="C84" s="92"/>
      <c r="D84" s="90"/>
      <c r="E84" s="86"/>
      <c r="F84" s="86"/>
      <c r="G84" s="86"/>
      <c r="H84" s="19"/>
      <c r="I84" s="19"/>
      <c r="J84" s="19"/>
      <c r="K84" s="19"/>
      <c r="L84" s="2"/>
      <c r="M84" s="19"/>
      <c r="N84" s="19"/>
      <c r="O84" s="19"/>
      <c r="P84" s="19"/>
      <c r="Q84" s="91"/>
      <c r="R84" s="91"/>
      <c r="S84" s="19"/>
    </row>
    <row r="85" spans="1:19" ht="15.75" customHeight="1" x14ac:dyDescent="0.25">
      <c r="A85" s="84"/>
      <c r="B85" s="19"/>
      <c r="C85" s="92"/>
      <c r="D85" s="90"/>
      <c r="E85" s="86"/>
      <c r="F85" s="86"/>
      <c r="G85" s="86"/>
      <c r="H85" s="19"/>
      <c r="I85" s="19"/>
      <c r="J85" s="19"/>
      <c r="K85" s="19"/>
      <c r="L85" s="2"/>
      <c r="M85" s="19"/>
      <c r="N85" s="19"/>
      <c r="O85" s="19"/>
      <c r="P85" s="19"/>
      <c r="Q85" s="91"/>
      <c r="R85" s="91"/>
      <c r="S85" s="19"/>
    </row>
    <row r="86" spans="1:19" ht="15.75" customHeight="1" x14ac:dyDescent="0.25">
      <c r="A86" s="84"/>
      <c r="B86" s="19"/>
      <c r="C86" s="92"/>
      <c r="D86" s="90"/>
      <c r="E86" s="86"/>
      <c r="F86" s="86"/>
      <c r="G86" s="86"/>
      <c r="H86" s="19"/>
      <c r="I86" s="19"/>
      <c r="J86" s="19"/>
      <c r="K86" s="19"/>
      <c r="L86" s="2"/>
      <c r="M86" s="19"/>
      <c r="N86" s="19"/>
      <c r="O86" s="19"/>
      <c r="P86" s="19"/>
      <c r="Q86" s="91"/>
      <c r="R86" s="91"/>
      <c r="S86" s="19"/>
    </row>
    <row r="87" spans="1:19" ht="15.75" customHeight="1" x14ac:dyDescent="0.25">
      <c r="A87" s="84"/>
      <c r="B87" s="19"/>
      <c r="C87" s="92"/>
      <c r="D87" s="90"/>
      <c r="E87" s="86"/>
      <c r="F87" s="86"/>
      <c r="G87" s="86"/>
      <c r="H87" s="19"/>
      <c r="I87" s="19"/>
      <c r="J87" s="19"/>
      <c r="K87" s="19"/>
      <c r="L87" s="2"/>
      <c r="M87" s="19"/>
      <c r="N87" s="19"/>
      <c r="O87" s="19"/>
      <c r="P87" s="19"/>
      <c r="Q87" s="91"/>
      <c r="R87" s="91"/>
      <c r="S87" s="19"/>
    </row>
    <row r="88" spans="1:19" ht="15.75" customHeight="1" x14ac:dyDescent="0.25">
      <c r="A88" s="84"/>
      <c r="B88" s="19"/>
      <c r="C88" s="92"/>
      <c r="D88" s="90"/>
      <c r="E88" s="86"/>
      <c r="F88" s="86"/>
      <c r="G88" s="86"/>
      <c r="H88" s="19"/>
      <c r="I88" s="19"/>
      <c r="J88" s="19"/>
      <c r="K88" s="19"/>
      <c r="L88" s="2"/>
      <c r="M88" s="19"/>
      <c r="N88" s="19"/>
      <c r="O88" s="19"/>
      <c r="P88" s="19"/>
      <c r="Q88" s="91"/>
      <c r="R88" s="91"/>
      <c r="S88" s="19"/>
    </row>
    <row r="89" spans="1:19" ht="15.75" customHeight="1" x14ac:dyDescent="0.25">
      <c r="A89" s="84"/>
      <c r="B89" s="19"/>
      <c r="C89" s="92"/>
      <c r="D89" s="90"/>
      <c r="E89" s="86"/>
      <c r="F89" s="86"/>
      <c r="G89" s="86"/>
      <c r="H89" s="19"/>
      <c r="I89" s="19"/>
      <c r="J89" s="19"/>
      <c r="K89" s="19"/>
      <c r="L89" s="2"/>
      <c r="M89" s="19"/>
      <c r="N89" s="19"/>
      <c r="O89" s="19"/>
      <c r="P89" s="19"/>
      <c r="Q89" s="91"/>
      <c r="R89" s="91"/>
      <c r="S89" s="19"/>
    </row>
    <row r="90" spans="1:19" ht="15.75" customHeight="1" x14ac:dyDescent="0.25">
      <c r="A90" s="84"/>
      <c r="B90" s="19"/>
      <c r="C90" s="92"/>
      <c r="D90" s="90"/>
      <c r="E90" s="86"/>
      <c r="F90" s="86"/>
      <c r="G90" s="86"/>
      <c r="H90" s="19"/>
      <c r="I90" s="19"/>
      <c r="J90" s="19"/>
      <c r="K90" s="19"/>
      <c r="L90" s="2"/>
      <c r="M90" s="19"/>
      <c r="N90" s="19"/>
      <c r="O90" s="19"/>
      <c r="P90" s="19"/>
      <c r="Q90" s="91"/>
      <c r="R90" s="91"/>
      <c r="S90" s="19"/>
    </row>
    <row r="91" spans="1:19" ht="15.75" customHeight="1" x14ac:dyDescent="0.25">
      <c r="A91" s="84"/>
      <c r="B91" s="19"/>
      <c r="C91" s="92"/>
      <c r="D91" s="90"/>
      <c r="E91" s="86"/>
      <c r="F91" s="86"/>
      <c r="G91" s="86"/>
      <c r="H91" s="19"/>
      <c r="I91" s="19"/>
      <c r="J91" s="19"/>
      <c r="K91" s="19"/>
      <c r="L91" s="2"/>
      <c r="M91" s="19"/>
      <c r="N91" s="19"/>
      <c r="O91" s="19"/>
      <c r="P91" s="19"/>
      <c r="Q91" s="91"/>
      <c r="R91" s="91"/>
      <c r="S91" s="19"/>
    </row>
    <row r="92" spans="1:19" ht="15.75" customHeight="1" x14ac:dyDescent="0.25">
      <c r="A92" s="84"/>
      <c r="B92" s="19"/>
      <c r="C92" s="92"/>
      <c r="D92" s="90"/>
      <c r="E92" s="86"/>
      <c r="F92" s="86"/>
      <c r="G92" s="86"/>
      <c r="H92" s="19"/>
      <c r="I92" s="19"/>
      <c r="J92" s="19"/>
      <c r="K92" s="19"/>
      <c r="L92" s="2"/>
      <c r="M92" s="19"/>
      <c r="N92" s="19"/>
      <c r="O92" s="19"/>
      <c r="P92" s="19"/>
      <c r="Q92" s="91"/>
      <c r="R92" s="91"/>
      <c r="S92" s="19"/>
    </row>
    <row r="93" spans="1:19" ht="15.75" customHeight="1" x14ac:dyDescent="0.25">
      <c r="A93" s="84"/>
      <c r="B93" s="19"/>
      <c r="C93" s="92"/>
      <c r="D93" s="90"/>
      <c r="E93" s="86"/>
      <c r="F93" s="86"/>
      <c r="G93" s="86"/>
      <c r="H93" s="19"/>
      <c r="I93" s="19"/>
      <c r="J93" s="19"/>
      <c r="K93" s="19"/>
      <c r="L93" s="2"/>
      <c r="M93" s="19"/>
      <c r="N93" s="19"/>
      <c r="O93" s="19"/>
      <c r="P93" s="19"/>
      <c r="Q93" s="91"/>
      <c r="R93" s="91"/>
      <c r="S93" s="19"/>
    </row>
    <row r="94" spans="1:19" ht="15.75" customHeight="1" x14ac:dyDescent="0.25">
      <c r="A94" s="84"/>
      <c r="B94" s="19"/>
      <c r="C94" s="92"/>
      <c r="D94" s="90"/>
      <c r="E94" s="86"/>
      <c r="F94" s="86"/>
      <c r="G94" s="86"/>
      <c r="H94" s="19"/>
      <c r="I94" s="19"/>
      <c r="J94" s="19"/>
      <c r="K94" s="19"/>
      <c r="L94" s="2"/>
      <c r="M94" s="19"/>
      <c r="N94" s="19"/>
      <c r="O94" s="19"/>
      <c r="P94" s="19"/>
      <c r="Q94" s="91"/>
      <c r="R94" s="91"/>
      <c r="S94" s="19"/>
    </row>
    <row r="95" spans="1:19" ht="15.75" customHeight="1" x14ac:dyDescent="0.25">
      <c r="A95" s="84"/>
      <c r="B95" s="19"/>
      <c r="C95" s="92"/>
      <c r="D95" s="90"/>
      <c r="E95" s="86"/>
      <c r="F95" s="86"/>
      <c r="G95" s="86"/>
      <c r="H95" s="19"/>
      <c r="I95" s="19"/>
      <c r="J95" s="19"/>
      <c r="K95" s="19"/>
      <c r="L95" s="2"/>
      <c r="M95" s="19"/>
      <c r="N95" s="19"/>
      <c r="O95" s="19"/>
      <c r="P95" s="19"/>
      <c r="Q95" s="91"/>
      <c r="R95" s="91"/>
      <c r="S95" s="19"/>
    </row>
    <row r="96" spans="1:19" ht="15.75" customHeight="1" x14ac:dyDescent="0.25">
      <c r="A96" s="84"/>
      <c r="B96" s="19"/>
      <c r="C96" s="92"/>
      <c r="D96" s="90"/>
      <c r="E96" s="86"/>
      <c r="F96" s="86"/>
      <c r="G96" s="86"/>
      <c r="H96" s="19"/>
      <c r="I96" s="19"/>
      <c r="J96" s="19"/>
      <c r="K96" s="19"/>
      <c r="L96" s="2"/>
      <c r="M96" s="19"/>
      <c r="N96" s="19"/>
      <c r="O96" s="19"/>
      <c r="P96" s="19"/>
      <c r="Q96" s="91"/>
      <c r="R96" s="91"/>
      <c r="S96" s="19"/>
    </row>
    <row r="97" spans="1:19" ht="15.75" customHeight="1" x14ac:dyDescent="0.25">
      <c r="A97" s="84"/>
      <c r="B97" s="19"/>
      <c r="C97" s="92"/>
      <c r="D97" s="90"/>
      <c r="E97" s="86"/>
      <c r="F97" s="86"/>
      <c r="G97" s="86"/>
      <c r="H97" s="19"/>
      <c r="I97" s="19"/>
      <c r="J97" s="19"/>
      <c r="K97" s="19"/>
      <c r="L97" s="2"/>
      <c r="M97" s="19"/>
      <c r="N97" s="19"/>
      <c r="O97" s="19"/>
      <c r="P97" s="19"/>
      <c r="Q97" s="91"/>
      <c r="R97" s="91"/>
      <c r="S97" s="19"/>
    </row>
    <row r="98" spans="1:19" ht="15.75" customHeight="1" x14ac:dyDescent="0.25">
      <c r="A98" s="84"/>
      <c r="B98" s="19"/>
      <c r="C98" s="92"/>
      <c r="D98" s="90"/>
      <c r="E98" s="86"/>
      <c r="F98" s="86"/>
      <c r="G98" s="86"/>
      <c r="H98" s="19"/>
      <c r="I98" s="19"/>
      <c r="J98" s="19"/>
      <c r="K98" s="19"/>
      <c r="L98" s="2"/>
      <c r="M98" s="19"/>
      <c r="N98" s="19"/>
      <c r="O98" s="19"/>
      <c r="P98" s="19"/>
      <c r="Q98" s="91"/>
      <c r="R98" s="91"/>
      <c r="S98" s="19"/>
    </row>
    <row r="99" spans="1:19" ht="15.75" customHeight="1" x14ac:dyDescent="0.25">
      <c r="A99" s="84"/>
      <c r="B99" s="19"/>
      <c r="C99" s="92"/>
      <c r="D99" s="90"/>
      <c r="E99" s="86"/>
      <c r="F99" s="86"/>
      <c r="G99" s="86"/>
      <c r="H99" s="19"/>
      <c r="I99" s="19"/>
      <c r="J99" s="19"/>
      <c r="K99" s="19"/>
      <c r="L99" s="2"/>
      <c r="M99" s="19"/>
      <c r="N99" s="19"/>
      <c r="O99" s="19"/>
      <c r="P99" s="19"/>
      <c r="Q99" s="91"/>
      <c r="R99" s="91"/>
      <c r="S99" s="19"/>
    </row>
    <row r="100" spans="1:19" ht="15.75" customHeight="1" x14ac:dyDescent="0.25">
      <c r="A100" s="84"/>
      <c r="B100" s="19"/>
      <c r="C100" s="92"/>
      <c r="D100" s="90"/>
      <c r="E100" s="86"/>
      <c r="F100" s="86"/>
      <c r="G100" s="86"/>
      <c r="H100" s="19"/>
      <c r="I100" s="19"/>
      <c r="J100" s="19"/>
      <c r="K100" s="19"/>
      <c r="L100" s="2"/>
      <c r="M100" s="19"/>
      <c r="N100" s="19"/>
      <c r="O100" s="19"/>
      <c r="P100" s="19"/>
      <c r="Q100" s="91"/>
      <c r="R100" s="91"/>
      <c r="S100" s="19"/>
    </row>
    <row r="101" spans="1:19" ht="15.75" customHeight="1" x14ac:dyDescent="0.25">
      <c r="A101" s="84"/>
      <c r="B101" s="19"/>
      <c r="C101" s="92"/>
      <c r="D101" s="90"/>
      <c r="E101" s="86"/>
      <c r="F101" s="86"/>
      <c r="G101" s="86"/>
      <c r="H101" s="19"/>
      <c r="I101" s="19"/>
      <c r="J101" s="19"/>
      <c r="K101" s="19"/>
      <c r="L101" s="2"/>
      <c r="M101" s="19"/>
      <c r="N101" s="19"/>
      <c r="O101" s="19"/>
      <c r="P101" s="19"/>
      <c r="Q101" s="91"/>
      <c r="R101" s="91"/>
      <c r="S101" s="19"/>
    </row>
    <row r="102" spans="1:19" ht="15.75" customHeight="1" x14ac:dyDescent="0.25">
      <c r="A102" s="84"/>
      <c r="B102" s="19"/>
      <c r="C102" s="92"/>
      <c r="D102" s="90"/>
      <c r="E102" s="86"/>
      <c r="F102" s="86"/>
      <c r="G102" s="86"/>
      <c r="H102" s="19"/>
      <c r="I102" s="19"/>
      <c r="J102" s="19"/>
      <c r="K102" s="19"/>
      <c r="L102" s="2"/>
      <c r="M102" s="19"/>
      <c r="N102" s="19"/>
      <c r="O102" s="19"/>
      <c r="P102" s="19"/>
      <c r="Q102" s="91"/>
      <c r="R102" s="91"/>
      <c r="S102" s="19"/>
    </row>
    <row r="103" spans="1:19" ht="15.75" customHeight="1" x14ac:dyDescent="0.25">
      <c r="A103" s="84"/>
      <c r="B103" s="19"/>
      <c r="C103" s="92"/>
      <c r="D103" s="90"/>
      <c r="E103" s="86"/>
      <c r="F103" s="86"/>
      <c r="G103" s="86"/>
      <c r="H103" s="19"/>
      <c r="I103" s="19"/>
      <c r="J103" s="19"/>
      <c r="K103" s="19"/>
      <c r="L103" s="2"/>
      <c r="M103" s="19"/>
      <c r="N103" s="19"/>
      <c r="O103" s="19"/>
      <c r="P103" s="19"/>
      <c r="Q103" s="91"/>
      <c r="R103" s="91"/>
      <c r="S103" s="19"/>
    </row>
    <row r="104" spans="1:19" ht="15.75" customHeight="1" x14ac:dyDescent="0.25">
      <c r="A104" s="84"/>
      <c r="B104" s="19"/>
      <c r="C104" s="92"/>
      <c r="D104" s="90"/>
      <c r="E104" s="86"/>
      <c r="F104" s="86"/>
      <c r="G104" s="86"/>
      <c r="H104" s="19"/>
      <c r="I104" s="19"/>
      <c r="J104" s="19"/>
      <c r="K104" s="19"/>
      <c r="L104" s="2"/>
      <c r="M104" s="19"/>
      <c r="N104" s="19"/>
      <c r="O104" s="19"/>
      <c r="P104" s="19"/>
      <c r="Q104" s="91"/>
      <c r="R104" s="91"/>
      <c r="S104" s="19"/>
    </row>
    <row r="105" spans="1:19" ht="15.75" customHeight="1" x14ac:dyDescent="0.25">
      <c r="A105" s="84"/>
      <c r="B105" s="19"/>
      <c r="C105" s="92"/>
      <c r="D105" s="90"/>
      <c r="E105" s="86"/>
      <c r="F105" s="86"/>
      <c r="G105" s="86"/>
      <c r="H105" s="19"/>
      <c r="I105" s="19"/>
      <c r="J105" s="19"/>
      <c r="K105" s="19"/>
      <c r="L105" s="2"/>
      <c r="M105" s="19"/>
      <c r="N105" s="19"/>
      <c r="O105" s="19"/>
      <c r="P105" s="19"/>
      <c r="Q105" s="91"/>
      <c r="R105" s="91"/>
      <c r="S105" s="19"/>
    </row>
    <row r="106" spans="1:19" ht="15.75" customHeight="1" x14ac:dyDescent="0.25">
      <c r="A106" s="84"/>
      <c r="B106" s="19"/>
      <c r="C106" s="92"/>
      <c r="D106" s="90"/>
      <c r="E106" s="86"/>
      <c r="F106" s="86"/>
      <c r="G106" s="86"/>
      <c r="H106" s="19"/>
      <c r="I106" s="19"/>
      <c r="J106" s="19"/>
      <c r="K106" s="19"/>
      <c r="L106" s="2"/>
      <c r="M106" s="19"/>
      <c r="N106" s="19"/>
      <c r="O106" s="19"/>
      <c r="P106" s="19"/>
      <c r="Q106" s="91"/>
      <c r="R106" s="91"/>
      <c r="S106" s="19"/>
    </row>
    <row r="107" spans="1:19" ht="15.75" customHeight="1" x14ac:dyDescent="0.25">
      <c r="A107" s="84"/>
      <c r="B107" s="19"/>
      <c r="C107" s="92"/>
      <c r="D107" s="90"/>
      <c r="E107" s="86"/>
      <c r="F107" s="86"/>
      <c r="G107" s="86"/>
      <c r="H107" s="19"/>
      <c r="I107" s="19"/>
      <c r="J107" s="19"/>
      <c r="K107" s="19"/>
      <c r="L107" s="2"/>
      <c r="M107" s="19"/>
      <c r="N107" s="19"/>
      <c r="O107" s="19"/>
      <c r="P107" s="19"/>
      <c r="Q107" s="91"/>
      <c r="R107" s="91"/>
      <c r="S107" s="19"/>
    </row>
    <row r="108" spans="1:19" ht="15.75" customHeight="1" x14ac:dyDescent="0.25">
      <c r="A108" s="84"/>
      <c r="B108" s="19"/>
      <c r="C108" s="92"/>
      <c r="D108" s="90"/>
      <c r="E108" s="86"/>
      <c r="F108" s="86"/>
      <c r="G108" s="86"/>
      <c r="H108" s="19"/>
      <c r="I108" s="19"/>
      <c r="J108" s="19"/>
      <c r="K108" s="19"/>
      <c r="L108" s="2"/>
      <c r="M108" s="19"/>
      <c r="N108" s="19"/>
      <c r="O108" s="19"/>
      <c r="P108" s="19"/>
      <c r="Q108" s="91"/>
      <c r="R108" s="91"/>
      <c r="S108" s="19"/>
    </row>
    <row r="109" spans="1:19" ht="15.75" customHeight="1" x14ac:dyDescent="0.25">
      <c r="A109" s="84"/>
      <c r="B109" s="19"/>
      <c r="C109" s="92"/>
      <c r="D109" s="90"/>
      <c r="E109" s="86"/>
      <c r="F109" s="86"/>
      <c r="G109" s="86"/>
      <c r="H109" s="19"/>
      <c r="I109" s="19"/>
      <c r="J109" s="19"/>
      <c r="K109" s="19"/>
      <c r="L109" s="2"/>
      <c r="M109" s="19"/>
      <c r="N109" s="19"/>
      <c r="O109" s="19"/>
      <c r="P109" s="19"/>
      <c r="Q109" s="91"/>
      <c r="R109" s="91"/>
      <c r="S109" s="19"/>
    </row>
    <row r="110" spans="1:19" ht="15.75" customHeight="1" x14ac:dyDescent="0.25">
      <c r="A110" s="84"/>
      <c r="B110" s="19"/>
      <c r="C110" s="92"/>
      <c r="D110" s="90"/>
      <c r="E110" s="86"/>
      <c r="F110" s="86"/>
      <c r="G110" s="86"/>
      <c r="H110" s="19"/>
      <c r="I110" s="19"/>
      <c r="J110" s="19"/>
      <c r="K110" s="19"/>
      <c r="L110" s="2"/>
      <c r="M110" s="19"/>
      <c r="N110" s="19"/>
      <c r="O110" s="19"/>
      <c r="P110" s="19"/>
      <c r="Q110" s="91"/>
      <c r="R110" s="91"/>
      <c r="S110" s="19"/>
    </row>
    <row r="111" spans="1:19" ht="15.75" customHeight="1" x14ac:dyDescent="0.25">
      <c r="A111" s="84"/>
      <c r="B111" s="19"/>
      <c r="C111" s="92"/>
      <c r="D111" s="90"/>
      <c r="E111" s="86"/>
      <c r="F111" s="86"/>
      <c r="G111" s="86"/>
      <c r="H111" s="19"/>
      <c r="I111" s="19"/>
      <c r="J111" s="19"/>
      <c r="K111" s="19"/>
      <c r="L111" s="2"/>
      <c r="M111" s="19"/>
      <c r="N111" s="19"/>
      <c r="O111" s="19"/>
      <c r="P111" s="19"/>
      <c r="Q111" s="91"/>
      <c r="R111" s="91"/>
      <c r="S111" s="19"/>
    </row>
    <row r="112" spans="1:19" ht="15.75" customHeight="1" x14ac:dyDescent="0.25">
      <c r="A112" s="84"/>
      <c r="B112" s="19"/>
      <c r="C112" s="92"/>
      <c r="D112" s="90"/>
      <c r="E112" s="86"/>
      <c r="F112" s="86"/>
      <c r="G112" s="86"/>
      <c r="H112" s="19"/>
      <c r="I112" s="19"/>
      <c r="J112" s="19"/>
      <c r="K112" s="19"/>
      <c r="L112" s="2"/>
      <c r="M112" s="19"/>
      <c r="N112" s="19"/>
      <c r="O112" s="19"/>
      <c r="P112" s="19"/>
      <c r="Q112" s="91"/>
      <c r="R112" s="91"/>
      <c r="S112" s="19"/>
    </row>
    <row r="113" spans="1:19" ht="15.75" customHeight="1" x14ac:dyDescent="0.25">
      <c r="A113" s="84"/>
      <c r="B113" s="19"/>
      <c r="C113" s="92"/>
      <c r="D113" s="90"/>
      <c r="E113" s="86"/>
      <c r="F113" s="86"/>
      <c r="G113" s="86"/>
      <c r="H113" s="19"/>
      <c r="I113" s="19"/>
      <c r="J113" s="19"/>
      <c r="K113" s="19"/>
      <c r="L113" s="2"/>
      <c r="M113" s="19"/>
      <c r="N113" s="19"/>
      <c r="O113" s="19"/>
      <c r="P113" s="19"/>
      <c r="Q113" s="91"/>
      <c r="R113" s="91"/>
      <c r="S113" s="19"/>
    </row>
    <row r="114" spans="1:19" ht="15.75" customHeight="1" x14ac:dyDescent="0.25">
      <c r="A114" s="84"/>
      <c r="B114" s="19"/>
      <c r="C114" s="92"/>
      <c r="D114" s="90"/>
      <c r="E114" s="86"/>
      <c r="F114" s="86"/>
      <c r="G114" s="86"/>
      <c r="H114" s="19"/>
      <c r="I114" s="19"/>
      <c r="J114" s="19"/>
      <c r="K114" s="19"/>
      <c r="L114" s="2"/>
      <c r="M114" s="19"/>
      <c r="N114" s="19"/>
      <c r="O114" s="19"/>
      <c r="P114" s="19"/>
      <c r="Q114" s="91"/>
      <c r="R114" s="91"/>
      <c r="S114" s="19"/>
    </row>
    <row r="115" spans="1:19" ht="15.75" customHeight="1" x14ac:dyDescent="0.25">
      <c r="A115" s="84"/>
      <c r="B115" s="19"/>
      <c r="C115" s="92"/>
      <c r="D115" s="90"/>
      <c r="E115" s="86"/>
      <c r="F115" s="86"/>
      <c r="G115" s="86"/>
      <c r="H115" s="19"/>
      <c r="I115" s="19"/>
      <c r="J115" s="19"/>
      <c r="K115" s="19"/>
      <c r="L115" s="2"/>
      <c r="M115" s="19"/>
      <c r="N115" s="19"/>
      <c r="O115" s="19"/>
      <c r="P115" s="19"/>
      <c r="Q115" s="91"/>
      <c r="R115" s="91"/>
      <c r="S115" s="19"/>
    </row>
    <row r="116" spans="1:19" ht="15.75" customHeight="1" x14ac:dyDescent="0.25">
      <c r="A116" s="84"/>
      <c r="B116" s="19"/>
      <c r="C116" s="92"/>
      <c r="D116" s="90"/>
      <c r="E116" s="86"/>
      <c r="F116" s="86"/>
      <c r="G116" s="86"/>
      <c r="H116" s="19"/>
      <c r="I116" s="19"/>
      <c r="J116" s="19"/>
      <c r="K116" s="19"/>
      <c r="L116" s="2"/>
      <c r="M116" s="19"/>
      <c r="N116" s="19"/>
      <c r="O116" s="19"/>
      <c r="P116" s="19"/>
      <c r="Q116" s="91"/>
      <c r="R116" s="91"/>
      <c r="S116" s="19"/>
    </row>
    <row r="117" spans="1:19" ht="15.75" customHeight="1" x14ac:dyDescent="0.25">
      <c r="A117" s="84"/>
      <c r="B117" s="19"/>
      <c r="C117" s="92"/>
      <c r="D117" s="90"/>
      <c r="E117" s="86"/>
      <c r="F117" s="86"/>
      <c r="G117" s="86"/>
      <c r="H117" s="19"/>
      <c r="I117" s="19"/>
      <c r="J117" s="19"/>
      <c r="K117" s="19"/>
      <c r="L117" s="2"/>
      <c r="M117" s="19"/>
      <c r="N117" s="19"/>
      <c r="O117" s="19"/>
      <c r="P117" s="19"/>
      <c r="Q117" s="91"/>
      <c r="R117" s="91"/>
      <c r="S117" s="19"/>
    </row>
    <row r="118" spans="1:19" ht="15.75" customHeight="1" x14ac:dyDescent="0.25">
      <c r="A118" s="84"/>
      <c r="B118" s="19"/>
      <c r="C118" s="92"/>
      <c r="D118" s="90"/>
      <c r="E118" s="86"/>
      <c r="F118" s="86"/>
      <c r="G118" s="86"/>
      <c r="H118" s="19"/>
      <c r="I118" s="19"/>
      <c r="J118" s="19"/>
      <c r="K118" s="19"/>
      <c r="L118" s="2"/>
      <c r="M118" s="19"/>
      <c r="N118" s="19"/>
      <c r="O118" s="19"/>
      <c r="P118" s="19"/>
      <c r="Q118" s="91"/>
      <c r="R118" s="91"/>
      <c r="S118" s="19"/>
    </row>
    <row r="119" spans="1:19" ht="15.75" customHeight="1" x14ac:dyDescent="0.25">
      <c r="A119" s="84"/>
      <c r="B119" s="19"/>
      <c r="C119" s="92"/>
      <c r="D119" s="90"/>
      <c r="E119" s="86"/>
      <c r="F119" s="86"/>
      <c r="G119" s="86"/>
      <c r="H119" s="19"/>
      <c r="I119" s="19"/>
      <c r="J119" s="19"/>
      <c r="K119" s="19"/>
      <c r="L119" s="2"/>
      <c r="M119" s="19"/>
      <c r="N119" s="19"/>
      <c r="O119" s="19"/>
      <c r="P119" s="19"/>
      <c r="Q119" s="91"/>
      <c r="R119" s="91"/>
      <c r="S119" s="19"/>
    </row>
    <row r="120" spans="1:19" ht="15.75" customHeight="1" x14ac:dyDescent="0.25">
      <c r="A120" s="84"/>
      <c r="B120" s="19"/>
      <c r="C120" s="92"/>
      <c r="D120" s="90"/>
      <c r="E120" s="86"/>
      <c r="F120" s="86"/>
      <c r="G120" s="86"/>
      <c r="H120" s="19"/>
      <c r="I120" s="19"/>
      <c r="J120" s="19"/>
      <c r="K120" s="19"/>
      <c r="L120" s="2"/>
      <c r="M120" s="19"/>
      <c r="N120" s="19"/>
      <c r="O120" s="19"/>
      <c r="P120" s="19"/>
      <c r="Q120" s="91"/>
      <c r="R120" s="91"/>
      <c r="S120" s="19"/>
    </row>
    <row r="121" spans="1:19" ht="15.75" customHeight="1" x14ac:dyDescent="0.25">
      <c r="A121" s="84"/>
      <c r="B121" s="19"/>
      <c r="C121" s="92"/>
      <c r="D121" s="90"/>
      <c r="E121" s="86"/>
      <c r="F121" s="86"/>
      <c r="G121" s="86"/>
      <c r="H121" s="19"/>
      <c r="I121" s="19"/>
      <c r="J121" s="19"/>
      <c r="K121" s="19"/>
      <c r="L121" s="2"/>
      <c r="M121" s="19"/>
      <c r="N121" s="19"/>
      <c r="O121" s="19"/>
      <c r="P121" s="19"/>
      <c r="Q121" s="91"/>
      <c r="R121" s="91"/>
      <c r="S121" s="19"/>
    </row>
    <row r="122" spans="1:19" ht="15.75" customHeight="1" x14ac:dyDescent="0.25">
      <c r="A122" s="84"/>
      <c r="B122" s="19"/>
      <c r="C122" s="92"/>
      <c r="D122" s="90"/>
      <c r="E122" s="86"/>
      <c r="F122" s="86"/>
      <c r="G122" s="86"/>
      <c r="H122" s="19"/>
      <c r="I122" s="19"/>
      <c r="J122" s="19"/>
      <c r="K122" s="19"/>
      <c r="L122" s="2"/>
      <c r="M122" s="19"/>
      <c r="N122" s="19"/>
      <c r="O122" s="19"/>
      <c r="P122" s="19"/>
      <c r="Q122" s="91"/>
      <c r="R122" s="91"/>
      <c r="S122" s="19"/>
    </row>
    <row r="123" spans="1:19" ht="15.75" customHeight="1" x14ac:dyDescent="0.25">
      <c r="A123" s="84"/>
      <c r="B123" s="19"/>
      <c r="C123" s="92"/>
      <c r="D123" s="90"/>
      <c r="E123" s="86"/>
      <c r="F123" s="86"/>
      <c r="G123" s="86"/>
      <c r="H123" s="19"/>
      <c r="I123" s="19"/>
      <c r="J123" s="19"/>
      <c r="K123" s="19"/>
      <c r="L123" s="2"/>
      <c r="M123" s="19"/>
      <c r="N123" s="19"/>
      <c r="O123" s="19"/>
      <c r="P123" s="19"/>
      <c r="Q123" s="91"/>
      <c r="R123" s="91"/>
      <c r="S123" s="19"/>
    </row>
    <row r="124" spans="1:19" ht="15.75" customHeight="1" x14ac:dyDescent="0.25">
      <c r="A124" s="84"/>
      <c r="B124" s="19"/>
      <c r="C124" s="92"/>
      <c r="D124" s="90"/>
      <c r="E124" s="86"/>
      <c r="F124" s="86"/>
      <c r="G124" s="86"/>
      <c r="H124" s="19"/>
      <c r="I124" s="19"/>
      <c r="J124" s="19"/>
      <c r="K124" s="19"/>
      <c r="L124" s="2"/>
      <c r="M124" s="19"/>
      <c r="N124" s="19"/>
      <c r="O124" s="19"/>
      <c r="P124" s="19"/>
      <c r="Q124" s="91"/>
      <c r="R124" s="91"/>
      <c r="S124" s="19"/>
    </row>
    <row r="125" spans="1:19" ht="15.75" customHeight="1" x14ac:dyDescent="0.25">
      <c r="A125" s="84"/>
      <c r="B125" s="19"/>
      <c r="C125" s="92"/>
      <c r="D125" s="90"/>
      <c r="E125" s="86"/>
      <c r="F125" s="86"/>
      <c r="G125" s="86"/>
      <c r="H125" s="19"/>
      <c r="I125" s="19"/>
      <c r="J125" s="19"/>
      <c r="K125" s="19"/>
      <c r="L125" s="2"/>
      <c r="M125" s="19"/>
      <c r="N125" s="19"/>
      <c r="O125" s="19"/>
      <c r="P125" s="19"/>
      <c r="Q125" s="91"/>
      <c r="R125" s="91"/>
      <c r="S125" s="19"/>
    </row>
    <row r="126" spans="1:19" ht="15.75" customHeight="1" x14ac:dyDescent="0.25">
      <c r="A126" s="84"/>
      <c r="B126" s="19"/>
      <c r="C126" s="92"/>
      <c r="D126" s="90"/>
      <c r="E126" s="86"/>
      <c r="F126" s="86"/>
      <c r="G126" s="86"/>
      <c r="H126" s="19"/>
      <c r="I126" s="19"/>
      <c r="J126" s="19"/>
      <c r="K126" s="19"/>
      <c r="L126" s="2"/>
      <c r="M126" s="19"/>
      <c r="N126" s="19"/>
      <c r="O126" s="19"/>
      <c r="P126" s="19"/>
      <c r="Q126" s="91"/>
      <c r="R126" s="91"/>
      <c r="S126" s="19"/>
    </row>
    <row r="127" spans="1:19" ht="15.75" customHeight="1" x14ac:dyDescent="0.25">
      <c r="A127" s="84"/>
      <c r="B127" s="19"/>
      <c r="C127" s="92"/>
      <c r="D127" s="90"/>
      <c r="E127" s="86"/>
      <c r="F127" s="86"/>
      <c r="G127" s="86"/>
      <c r="H127" s="19"/>
      <c r="I127" s="19"/>
      <c r="J127" s="19"/>
      <c r="K127" s="19"/>
      <c r="L127" s="2"/>
      <c r="M127" s="19"/>
      <c r="N127" s="19"/>
      <c r="O127" s="19"/>
      <c r="P127" s="19"/>
      <c r="Q127" s="91"/>
      <c r="R127" s="91"/>
      <c r="S127" s="19"/>
    </row>
    <row r="128" spans="1:19" ht="15.75" customHeight="1" x14ac:dyDescent="0.25">
      <c r="A128" s="84"/>
      <c r="B128" s="19"/>
      <c r="C128" s="92"/>
      <c r="D128" s="90"/>
      <c r="E128" s="86"/>
      <c r="F128" s="86"/>
      <c r="G128" s="86"/>
      <c r="H128" s="19"/>
      <c r="I128" s="19"/>
      <c r="J128" s="19"/>
      <c r="K128" s="19"/>
      <c r="L128" s="2"/>
      <c r="M128" s="19"/>
      <c r="N128" s="19"/>
      <c r="O128" s="19"/>
      <c r="P128" s="19"/>
      <c r="Q128" s="91"/>
      <c r="R128" s="91"/>
      <c r="S128" s="19"/>
    </row>
    <row r="129" spans="1:19" ht="15.75" customHeight="1" x14ac:dyDescent="0.25">
      <c r="A129" s="84"/>
      <c r="B129" s="19"/>
      <c r="C129" s="92"/>
      <c r="D129" s="90"/>
      <c r="E129" s="86"/>
      <c r="F129" s="86"/>
      <c r="G129" s="86"/>
      <c r="H129" s="19"/>
      <c r="I129" s="19"/>
      <c r="J129" s="19"/>
      <c r="K129" s="19"/>
      <c r="L129" s="2"/>
      <c r="M129" s="19"/>
      <c r="N129" s="19"/>
      <c r="O129" s="19"/>
      <c r="P129" s="19"/>
      <c r="Q129" s="91"/>
      <c r="R129" s="91"/>
      <c r="S129" s="19"/>
    </row>
    <row r="130" spans="1:19" ht="15.75" customHeight="1" x14ac:dyDescent="0.25">
      <c r="A130" s="84"/>
      <c r="B130" s="19"/>
      <c r="C130" s="92"/>
      <c r="D130" s="90"/>
      <c r="E130" s="86"/>
      <c r="F130" s="86"/>
      <c r="G130" s="86"/>
      <c r="H130" s="19"/>
      <c r="I130" s="19"/>
      <c r="J130" s="19"/>
      <c r="K130" s="19"/>
      <c r="L130" s="2"/>
      <c r="M130" s="19"/>
      <c r="N130" s="19"/>
      <c r="O130" s="19"/>
      <c r="P130" s="19"/>
      <c r="Q130" s="91"/>
      <c r="R130" s="91"/>
      <c r="S130" s="19"/>
    </row>
    <row r="131" spans="1:19" ht="15.75" customHeight="1" x14ac:dyDescent="0.25">
      <c r="A131" s="84"/>
      <c r="B131" s="19"/>
      <c r="C131" s="92"/>
      <c r="D131" s="90"/>
      <c r="E131" s="86"/>
      <c r="F131" s="86"/>
      <c r="G131" s="86"/>
      <c r="H131" s="19"/>
      <c r="I131" s="19"/>
      <c r="J131" s="19"/>
      <c r="K131" s="19"/>
      <c r="L131" s="2"/>
      <c r="M131" s="19"/>
      <c r="N131" s="19"/>
      <c r="O131" s="19"/>
      <c r="P131" s="19"/>
      <c r="Q131" s="91"/>
      <c r="R131" s="91"/>
      <c r="S131" s="19"/>
    </row>
    <row r="132" spans="1:19" ht="15.75" customHeight="1" x14ac:dyDescent="0.25">
      <c r="A132" s="84"/>
      <c r="B132" s="19"/>
      <c r="C132" s="92"/>
      <c r="D132" s="90"/>
      <c r="E132" s="86"/>
      <c r="F132" s="86"/>
      <c r="G132" s="86"/>
      <c r="H132" s="19"/>
      <c r="I132" s="19"/>
      <c r="J132" s="19"/>
      <c r="K132" s="19"/>
      <c r="L132" s="2"/>
      <c r="M132" s="19"/>
      <c r="N132" s="19"/>
      <c r="O132" s="19"/>
      <c r="P132" s="19"/>
      <c r="Q132" s="91"/>
      <c r="R132" s="91"/>
      <c r="S132" s="19"/>
    </row>
    <row r="133" spans="1:19" ht="15.75" customHeight="1" x14ac:dyDescent="0.25">
      <c r="A133" s="84"/>
      <c r="B133" s="19"/>
      <c r="C133" s="92"/>
      <c r="D133" s="90"/>
      <c r="E133" s="86"/>
      <c r="F133" s="86"/>
      <c r="G133" s="86"/>
      <c r="H133" s="19"/>
      <c r="I133" s="19"/>
      <c r="J133" s="19"/>
      <c r="K133" s="19"/>
      <c r="L133" s="2"/>
      <c r="M133" s="19"/>
      <c r="N133" s="19"/>
      <c r="O133" s="19"/>
      <c r="P133" s="19"/>
      <c r="Q133" s="91"/>
      <c r="R133" s="91"/>
      <c r="S133" s="19"/>
    </row>
    <row r="134" spans="1:19" ht="15.75" customHeight="1" x14ac:dyDescent="0.25">
      <c r="A134" s="84"/>
      <c r="B134" s="19"/>
      <c r="C134" s="92"/>
      <c r="D134" s="90"/>
      <c r="E134" s="86"/>
      <c r="F134" s="86"/>
      <c r="G134" s="86"/>
      <c r="H134" s="19"/>
      <c r="I134" s="19"/>
      <c r="J134" s="19"/>
      <c r="K134" s="19"/>
      <c r="L134" s="2"/>
      <c r="M134" s="19"/>
      <c r="N134" s="19"/>
      <c r="O134" s="19"/>
      <c r="P134" s="19"/>
      <c r="Q134" s="91"/>
      <c r="R134" s="91"/>
      <c r="S134" s="19"/>
    </row>
    <row r="135" spans="1:19" ht="15.75" customHeight="1" x14ac:dyDescent="0.25">
      <c r="A135" s="84"/>
      <c r="B135" s="19"/>
      <c r="C135" s="92"/>
      <c r="D135" s="90"/>
      <c r="E135" s="86"/>
      <c r="F135" s="86"/>
      <c r="G135" s="86"/>
      <c r="H135" s="19"/>
      <c r="I135" s="19"/>
      <c r="J135" s="19"/>
      <c r="K135" s="19"/>
      <c r="L135" s="2"/>
      <c r="M135" s="19"/>
      <c r="N135" s="19"/>
      <c r="O135" s="19"/>
      <c r="P135" s="19"/>
      <c r="Q135" s="91"/>
      <c r="R135" s="91"/>
      <c r="S135" s="19"/>
    </row>
    <row r="136" spans="1:19" ht="15.75" customHeight="1" x14ac:dyDescent="0.25">
      <c r="A136" s="84"/>
      <c r="B136" s="19"/>
      <c r="C136" s="92"/>
      <c r="D136" s="90"/>
      <c r="E136" s="86"/>
      <c r="F136" s="86"/>
      <c r="G136" s="86"/>
      <c r="H136" s="19"/>
      <c r="I136" s="19"/>
      <c r="J136" s="19"/>
      <c r="K136" s="19"/>
      <c r="L136" s="2"/>
      <c r="M136" s="19"/>
      <c r="N136" s="19"/>
      <c r="O136" s="19"/>
      <c r="P136" s="19"/>
      <c r="Q136" s="91"/>
      <c r="R136" s="91"/>
      <c r="S136" s="19"/>
    </row>
    <row r="137" spans="1:19" ht="15.75" customHeight="1" x14ac:dyDescent="0.25">
      <c r="A137" s="84"/>
      <c r="B137" s="19"/>
      <c r="C137" s="92"/>
      <c r="D137" s="90"/>
      <c r="E137" s="86"/>
      <c r="F137" s="86"/>
      <c r="G137" s="86"/>
      <c r="H137" s="19"/>
      <c r="I137" s="19"/>
      <c r="J137" s="19"/>
      <c r="K137" s="19"/>
      <c r="L137" s="2"/>
      <c r="M137" s="19"/>
      <c r="N137" s="19"/>
      <c r="O137" s="19"/>
      <c r="P137" s="19"/>
      <c r="Q137" s="91"/>
      <c r="R137" s="91"/>
      <c r="S137" s="19"/>
    </row>
    <row r="138" spans="1:19" ht="15.75" customHeight="1" x14ac:dyDescent="0.25">
      <c r="A138" s="84"/>
      <c r="B138" s="19"/>
      <c r="C138" s="92"/>
      <c r="D138" s="90"/>
      <c r="E138" s="86"/>
      <c r="F138" s="86"/>
      <c r="G138" s="86"/>
      <c r="H138" s="19"/>
      <c r="I138" s="19"/>
      <c r="J138" s="19"/>
      <c r="K138" s="19"/>
      <c r="L138" s="2"/>
      <c r="M138" s="19"/>
      <c r="N138" s="19"/>
      <c r="O138" s="19"/>
      <c r="P138" s="19"/>
      <c r="Q138" s="91"/>
      <c r="R138" s="91"/>
      <c r="S138" s="19"/>
    </row>
    <row r="139" spans="1:19" ht="15.75" customHeight="1" x14ac:dyDescent="0.25">
      <c r="A139" s="84"/>
      <c r="B139" s="19"/>
      <c r="C139" s="92"/>
      <c r="D139" s="90"/>
      <c r="E139" s="86"/>
      <c r="F139" s="86"/>
      <c r="G139" s="86"/>
      <c r="H139" s="19"/>
      <c r="I139" s="19"/>
      <c r="J139" s="19"/>
      <c r="K139" s="19"/>
      <c r="L139" s="2"/>
      <c r="M139" s="19"/>
      <c r="N139" s="19"/>
      <c r="O139" s="19"/>
      <c r="P139" s="19"/>
      <c r="Q139" s="91"/>
      <c r="R139" s="91"/>
      <c r="S139" s="19"/>
    </row>
    <row r="140" spans="1:19" ht="15.75" customHeight="1" x14ac:dyDescent="0.25">
      <c r="A140" s="84"/>
      <c r="B140" s="19"/>
      <c r="C140" s="92"/>
      <c r="D140" s="90"/>
      <c r="E140" s="86"/>
      <c r="F140" s="86"/>
      <c r="G140" s="86"/>
      <c r="H140" s="19"/>
      <c r="I140" s="19"/>
      <c r="J140" s="19"/>
      <c r="K140" s="19"/>
      <c r="L140" s="2"/>
      <c r="M140" s="19"/>
      <c r="N140" s="19"/>
      <c r="O140" s="19"/>
      <c r="P140" s="19"/>
      <c r="Q140" s="91"/>
      <c r="R140" s="91"/>
      <c r="S140" s="19"/>
    </row>
    <row r="141" spans="1:19" ht="15.75" customHeight="1" x14ac:dyDescent="0.25">
      <c r="A141" s="84"/>
      <c r="B141" s="19"/>
      <c r="C141" s="92"/>
      <c r="D141" s="90"/>
      <c r="E141" s="86"/>
      <c r="F141" s="86"/>
      <c r="G141" s="86"/>
      <c r="H141" s="19"/>
      <c r="I141" s="19"/>
      <c r="J141" s="19"/>
      <c r="K141" s="19"/>
      <c r="L141" s="2"/>
      <c r="M141" s="19"/>
      <c r="N141" s="19"/>
      <c r="O141" s="19"/>
      <c r="P141" s="19"/>
      <c r="Q141" s="91"/>
      <c r="R141" s="91"/>
      <c r="S141" s="19"/>
    </row>
    <row r="142" spans="1:19" ht="15.75" customHeight="1" x14ac:dyDescent="0.25">
      <c r="A142" s="84"/>
      <c r="B142" s="19"/>
      <c r="C142" s="92"/>
      <c r="D142" s="90"/>
      <c r="E142" s="86"/>
      <c r="F142" s="86"/>
      <c r="G142" s="86"/>
      <c r="H142" s="19"/>
      <c r="I142" s="19"/>
      <c r="J142" s="19"/>
      <c r="K142" s="19"/>
      <c r="L142" s="2"/>
      <c r="M142" s="19"/>
      <c r="N142" s="19"/>
      <c r="O142" s="19"/>
      <c r="P142" s="19"/>
      <c r="Q142" s="91"/>
      <c r="R142" s="91"/>
      <c r="S142" s="19"/>
    </row>
    <row r="143" spans="1:19" ht="15.75" customHeight="1" x14ac:dyDescent="0.25">
      <c r="A143" s="84"/>
      <c r="B143" s="19"/>
      <c r="C143" s="92"/>
      <c r="D143" s="90"/>
      <c r="E143" s="86"/>
      <c r="F143" s="86"/>
      <c r="G143" s="86"/>
      <c r="H143" s="19"/>
      <c r="I143" s="19"/>
      <c r="J143" s="19"/>
      <c r="K143" s="19"/>
      <c r="L143" s="2"/>
      <c r="M143" s="19"/>
      <c r="N143" s="19"/>
      <c r="O143" s="19"/>
      <c r="P143" s="19"/>
      <c r="Q143" s="91"/>
      <c r="R143" s="91"/>
      <c r="S143" s="19"/>
    </row>
    <row r="144" spans="1:19" ht="15.75" customHeight="1" x14ac:dyDescent="0.25">
      <c r="A144" s="84"/>
      <c r="B144" s="19"/>
      <c r="C144" s="92"/>
      <c r="D144" s="90"/>
      <c r="E144" s="86"/>
      <c r="F144" s="86"/>
      <c r="G144" s="86"/>
      <c r="H144" s="19"/>
      <c r="I144" s="19"/>
      <c r="J144" s="19"/>
      <c r="K144" s="19"/>
      <c r="L144" s="2"/>
      <c r="M144" s="19"/>
      <c r="N144" s="19"/>
      <c r="O144" s="19"/>
      <c r="P144" s="19"/>
      <c r="Q144" s="91"/>
      <c r="R144" s="91"/>
      <c r="S144" s="19"/>
    </row>
    <row r="145" spans="1:19" ht="15.75" customHeight="1" x14ac:dyDescent="0.25">
      <c r="A145" s="84"/>
      <c r="B145" s="19"/>
      <c r="C145" s="92"/>
      <c r="D145" s="90"/>
      <c r="E145" s="86"/>
      <c r="F145" s="86"/>
      <c r="G145" s="86"/>
      <c r="H145" s="19"/>
      <c r="I145" s="19"/>
      <c r="J145" s="19"/>
      <c r="K145" s="19"/>
      <c r="L145" s="2"/>
      <c r="M145" s="19"/>
      <c r="N145" s="19"/>
      <c r="O145" s="19"/>
      <c r="P145" s="19"/>
      <c r="Q145" s="91"/>
      <c r="R145" s="91"/>
      <c r="S145" s="19"/>
    </row>
    <row r="146" spans="1:19" ht="15.75" customHeight="1" x14ac:dyDescent="0.25">
      <c r="A146" s="84"/>
      <c r="B146" s="19"/>
      <c r="C146" s="92"/>
      <c r="D146" s="90"/>
      <c r="E146" s="86"/>
      <c r="F146" s="86"/>
      <c r="G146" s="86"/>
      <c r="H146" s="19"/>
      <c r="I146" s="19"/>
      <c r="J146" s="19"/>
      <c r="K146" s="19"/>
      <c r="L146" s="2"/>
      <c r="M146" s="19"/>
      <c r="N146" s="19"/>
      <c r="O146" s="19"/>
      <c r="P146" s="19"/>
      <c r="Q146" s="91"/>
      <c r="R146" s="91"/>
      <c r="S146" s="19"/>
    </row>
    <row r="147" spans="1:19" ht="15.75" customHeight="1" x14ac:dyDescent="0.25">
      <c r="A147" s="84"/>
      <c r="B147" s="19"/>
      <c r="C147" s="92"/>
      <c r="D147" s="90"/>
      <c r="E147" s="86"/>
      <c r="F147" s="86"/>
      <c r="G147" s="86"/>
      <c r="H147" s="19"/>
      <c r="I147" s="19"/>
      <c r="J147" s="19"/>
      <c r="K147" s="19"/>
      <c r="L147" s="2"/>
      <c r="M147" s="19"/>
      <c r="N147" s="19"/>
      <c r="O147" s="19"/>
      <c r="P147" s="19"/>
      <c r="Q147" s="91"/>
      <c r="R147" s="91"/>
      <c r="S147" s="19"/>
    </row>
    <row r="148" spans="1:19" ht="15.75" customHeight="1" x14ac:dyDescent="0.25">
      <c r="A148" s="84"/>
      <c r="B148" s="19"/>
      <c r="C148" s="92"/>
      <c r="D148" s="90"/>
      <c r="E148" s="86"/>
      <c r="F148" s="86"/>
      <c r="G148" s="86"/>
      <c r="H148" s="19"/>
      <c r="I148" s="19"/>
      <c r="J148" s="19"/>
      <c r="K148" s="19"/>
      <c r="L148" s="2"/>
      <c r="M148" s="19"/>
      <c r="N148" s="19"/>
      <c r="O148" s="19"/>
      <c r="P148" s="19"/>
      <c r="Q148" s="91"/>
      <c r="R148" s="91"/>
      <c r="S148" s="19"/>
    </row>
    <row r="149" spans="1:19" ht="15.75" customHeight="1" x14ac:dyDescent="0.25">
      <c r="A149" s="84"/>
      <c r="B149" s="19"/>
      <c r="C149" s="92"/>
      <c r="D149" s="90"/>
      <c r="E149" s="86"/>
      <c r="F149" s="86"/>
      <c r="G149" s="86"/>
      <c r="H149" s="19"/>
      <c r="I149" s="19"/>
      <c r="J149" s="19"/>
      <c r="K149" s="19"/>
      <c r="L149" s="2"/>
      <c r="M149" s="19"/>
      <c r="N149" s="19"/>
      <c r="O149" s="19"/>
      <c r="P149" s="19"/>
      <c r="Q149" s="91"/>
      <c r="R149" s="91"/>
      <c r="S149" s="19"/>
    </row>
    <row r="150" spans="1:19" ht="15.75" customHeight="1" x14ac:dyDescent="0.25">
      <c r="A150" s="84"/>
      <c r="B150" s="19"/>
      <c r="C150" s="92"/>
      <c r="D150" s="90"/>
      <c r="E150" s="86"/>
      <c r="F150" s="86"/>
      <c r="G150" s="86"/>
      <c r="H150" s="19"/>
      <c r="I150" s="19"/>
      <c r="J150" s="19"/>
      <c r="K150" s="19"/>
      <c r="L150" s="2"/>
      <c r="M150" s="19"/>
      <c r="N150" s="19"/>
      <c r="O150" s="19"/>
      <c r="P150" s="19"/>
      <c r="Q150" s="91"/>
      <c r="R150" s="91"/>
      <c r="S150" s="19"/>
    </row>
    <row r="151" spans="1:19" ht="15.75" customHeight="1" x14ac:dyDescent="0.25">
      <c r="A151" s="84"/>
      <c r="B151" s="19"/>
      <c r="C151" s="92"/>
      <c r="D151" s="90"/>
      <c r="E151" s="86"/>
      <c r="F151" s="86"/>
      <c r="G151" s="86"/>
      <c r="H151" s="19"/>
      <c r="I151" s="19"/>
      <c r="J151" s="19"/>
      <c r="K151" s="19"/>
      <c r="L151" s="2"/>
      <c r="M151" s="19"/>
      <c r="N151" s="19"/>
      <c r="O151" s="19"/>
      <c r="P151" s="19"/>
      <c r="Q151" s="91"/>
      <c r="R151" s="91"/>
      <c r="S151" s="19"/>
    </row>
    <row r="152" spans="1:19" ht="15.75" customHeight="1" x14ac:dyDescent="0.25">
      <c r="A152" s="84"/>
      <c r="B152" s="19"/>
      <c r="C152" s="92"/>
      <c r="D152" s="90"/>
      <c r="E152" s="86"/>
      <c r="F152" s="86"/>
      <c r="G152" s="86"/>
      <c r="H152" s="19"/>
      <c r="I152" s="19"/>
      <c r="J152" s="19"/>
      <c r="K152" s="19"/>
      <c r="L152" s="2"/>
      <c r="M152" s="19"/>
      <c r="N152" s="19"/>
      <c r="O152" s="19"/>
      <c r="P152" s="19"/>
      <c r="Q152" s="91"/>
      <c r="R152" s="91"/>
      <c r="S152" s="19"/>
    </row>
    <row r="153" spans="1:19" ht="15.75" customHeight="1" x14ac:dyDescent="0.25">
      <c r="A153" s="84"/>
      <c r="B153" s="19"/>
      <c r="C153" s="92"/>
      <c r="D153" s="90"/>
      <c r="E153" s="86"/>
      <c r="F153" s="86"/>
      <c r="G153" s="86"/>
      <c r="H153" s="19"/>
      <c r="I153" s="19"/>
      <c r="J153" s="19"/>
      <c r="K153" s="19"/>
      <c r="L153" s="2"/>
      <c r="M153" s="19"/>
      <c r="N153" s="19"/>
      <c r="O153" s="19"/>
      <c r="P153" s="19"/>
      <c r="Q153" s="91"/>
      <c r="R153" s="91"/>
      <c r="S153" s="19"/>
    </row>
    <row r="154" spans="1:19" ht="15.75" customHeight="1" x14ac:dyDescent="0.25">
      <c r="A154" s="84"/>
      <c r="B154" s="19"/>
      <c r="C154" s="92"/>
      <c r="D154" s="90"/>
      <c r="E154" s="86"/>
      <c r="F154" s="86"/>
      <c r="G154" s="86"/>
      <c r="H154" s="19"/>
      <c r="I154" s="19"/>
      <c r="J154" s="19"/>
      <c r="K154" s="19"/>
      <c r="L154" s="2"/>
      <c r="M154" s="19"/>
      <c r="N154" s="19"/>
      <c r="O154" s="19"/>
      <c r="P154" s="19"/>
      <c r="Q154" s="91"/>
      <c r="R154" s="91"/>
      <c r="S154" s="19"/>
    </row>
    <row r="155" spans="1:19" ht="15.75" customHeight="1" x14ac:dyDescent="0.25">
      <c r="A155" s="84"/>
      <c r="B155" s="19"/>
      <c r="C155" s="92"/>
      <c r="D155" s="90"/>
      <c r="E155" s="86"/>
      <c r="F155" s="86"/>
      <c r="G155" s="86"/>
      <c r="H155" s="19"/>
      <c r="I155" s="19"/>
      <c r="J155" s="19"/>
      <c r="K155" s="19"/>
      <c r="L155" s="2"/>
      <c r="M155" s="19"/>
      <c r="N155" s="19"/>
      <c r="O155" s="19"/>
      <c r="P155" s="19"/>
      <c r="Q155" s="91"/>
      <c r="R155" s="91"/>
      <c r="S155" s="19"/>
    </row>
    <row r="156" spans="1:19" ht="15.75" customHeight="1" x14ac:dyDescent="0.25">
      <c r="A156" s="84"/>
      <c r="B156" s="19"/>
      <c r="C156" s="92"/>
      <c r="D156" s="90"/>
      <c r="E156" s="86"/>
      <c r="F156" s="86"/>
      <c r="G156" s="86"/>
      <c r="H156" s="19"/>
      <c r="I156" s="19"/>
      <c r="J156" s="19"/>
      <c r="K156" s="19"/>
      <c r="L156" s="2"/>
      <c r="M156" s="19"/>
      <c r="N156" s="19"/>
      <c r="O156" s="19"/>
      <c r="P156" s="19"/>
      <c r="Q156" s="91"/>
      <c r="R156" s="91"/>
      <c r="S156" s="19"/>
    </row>
    <row r="157" spans="1:19" ht="15.75" customHeight="1" x14ac:dyDescent="0.25">
      <c r="A157" s="84"/>
      <c r="B157" s="19"/>
      <c r="C157" s="92"/>
      <c r="D157" s="90"/>
      <c r="E157" s="86"/>
      <c r="F157" s="86"/>
      <c r="G157" s="86"/>
      <c r="H157" s="19"/>
      <c r="I157" s="19"/>
      <c r="J157" s="19"/>
      <c r="K157" s="19"/>
      <c r="L157" s="2"/>
      <c r="M157" s="19"/>
      <c r="N157" s="19"/>
      <c r="O157" s="19"/>
      <c r="P157" s="19"/>
      <c r="Q157" s="91"/>
      <c r="R157" s="91"/>
      <c r="S157" s="19"/>
    </row>
    <row r="158" spans="1:19" ht="15.75" customHeight="1" x14ac:dyDescent="0.25">
      <c r="A158" s="84"/>
      <c r="B158" s="19"/>
      <c r="C158" s="92"/>
      <c r="D158" s="90"/>
      <c r="E158" s="86"/>
      <c r="F158" s="86"/>
      <c r="G158" s="86"/>
      <c r="H158" s="19"/>
      <c r="I158" s="19"/>
      <c r="J158" s="19"/>
      <c r="K158" s="19"/>
      <c r="L158" s="2"/>
      <c r="M158" s="19"/>
      <c r="N158" s="19"/>
      <c r="O158" s="19"/>
      <c r="P158" s="19"/>
      <c r="Q158" s="91"/>
      <c r="R158" s="91"/>
      <c r="S158" s="19"/>
    </row>
    <row r="159" spans="1:19" ht="15.75" customHeight="1" x14ac:dyDescent="0.25">
      <c r="A159" s="84"/>
      <c r="B159" s="19"/>
      <c r="C159" s="92"/>
      <c r="D159" s="90"/>
      <c r="E159" s="86"/>
      <c r="F159" s="86"/>
      <c r="G159" s="86"/>
      <c r="H159" s="19"/>
      <c r="I159" s="19"/>
      <c r="J159" s="19"/>
      <c r="K159" s="19"/>
      <c r="L159" s="2"/>
      <c r="M159" s="19"/>
      <c r="N159" s="19"/>
      <c r="O159" s="19"/>
      <c r="P159" s="19"/>
      <c r="Q159" s="91"/>
      <c r="R159" s="91"/>
      <c r="S159" s="19"/>
    </row>
    <row r="160" spans="1:19" ht="15.75" customHeight="1" x14ac:dyDescent="0.25">
      <c r="A160" s="84"/>
      <c r="B160" s="19"/>
      <c r="C160" s="92"/>
      <c r="D160" s="90"/>
      <c r="E160" s="86"/>
      <c r="F160" s="86"/>
      <c r="G160" s="86"/>
      <c r="H160" s="19"/>
      <c r="I160" s="19"/>
      <c r="J160" s="19"/>
      <c r="K160" s="19"/>
      <c r="L160" s="2"/>
      <c r="M160" s="19"/>
      <c r="N160" s="19"/>
      <c r="O160" s="19"/>
      <c r="P160" s="19"/>
      <c r="Q160" s="91"/>
      <c r="R160" s="91"/>
      <c r="S160" s="19"/>
    </row>
    <row r="161" spans="1:19" ht="15.75" customHeight="1" x14ac:dyDescent="0.25">
      <c r="A161" s="84"/>
      <c r="B161" s="19"/>
      <c r="C161" s="92"/>
      <c r="D161" s="90"/>
      <c r="E161" s="86"/>
      <c r="F161" s="86"/>
      <c r="G161" s="86"/>
      <c r="H161" s="19"/>
      <c r="I161" s="19"/>
      <c r="J161" s="19"/>
      <c r="K161" s="19"/>
      <c r="L161" s="2"/>
      <c r="M161" s="19"/>
      <c r="N161" s="19"/>
      <c r="O161" s="19"/>
      <c r="P161" s="19"/>
      <c r="Q161" s="91"/>
      <c r="R161" s="91"/>
      <c r="S161" s="19"/>
    </row>
    <row r="162" spans="1:19" ht="15.75" customHeight="1" x14ac:dyDescent="0.25">
      <c r="A162" s="84"/>
      <c r="B162" s="19"/>
      <c r="C162" s="92"/>
      <c r="D162" s="90"/>
      <c r="E162" s="86"/>
      <c r="F162" s="86"/>
      <c r="G162" s="86"/>
      <c r="H162" s="19"/>
      <c r="I162" s="19"/>
      <c r="J162" s="19"/>
      <c r="K162" s="19"/>
      <c r="L162" s="2"/>
      <c r="M162" s="19"/>
      <c r="N162" s="19"/>
      <c r="O162" s="19"/>
      <c r="P162" s="19"/>
      <c r="Q162" s="91"/>
      <c r="R162" s="91"/>
      <c r="S162" s="19"/>
    </row>
    <row r="163" spans="1:19" ht="15.75" customHeight="1" x14ac:dyDescent="0.25">
      <c r="A163" s="84"/>
      <c r="B163" s="19"/>
      <c r="C163" s="92"/>
      <c r="D163" s="90"/>
      <c r="E163" s="86"/>
      <c r="F163" s="86"/>
      <c r="G163" s="86"/>
      <c r="H163" s="19"/>
      <c r="I163" s="19"/>
      <c r="J163" s="19"/>
      <c r="K163" s="19"/>
      <c r="L163" s="2"/>
      <c r="M163" s="19"/>
      <c r="N163" s="19"/>
      <c r="O163" s="19"/>
      <c r="P163" s="19"/>
      <c r="Q163" s="91"/>
      <c r="R163" s="91"/>
      <c r="S163" s="19"/>
    </row>
    <row r="164" spans="1:19" ht="15.75" customHeight="1" x14ac:dyDescent="0.25">
      <c r="A164" s="84"/>
      <c r="B164" s="19"/>
      <c r="C164" s="92"/>
      <c r="D164" s="90"/>
      <c r="E164" s="86"/>
      <c r="F164" s="86"/>
      <c r="G164" s="86"/>
      <c r="H164" s="19"/>
      <c r="I164" s="19"/>
      <c r="J164" s="19"/>
      <c r="K164" s="19"/>
      <c r="L164" s="2"/>
      <c r="M164" s="19"/>
      <c r="N164" s="19"/>
      <c r="O164" s="19"/>
      <c r="P164" s="19"/>
      <c r="Q164" s="91"/>
      <c r="R164" s="91"/>
      <c r="S164" s="19"/>
    </row>
    <row r="165" spans="1:19" ht="15.75" customHeight="1" x14ac:dyDescent="0.25">
      <c r="A165" s="84"/>
      <c r="B165" s="19"/>
      <c r="C165" s="92"/>
      <c r="D165" s="90"/>
      <c r="E165" s="86"/>
      <c r="F165" s="86"/>
      <c r="G165" s="86"/>
      <c r="H165" s="19"/>
      <c r="I165" s="19"/>
      <c r="J165" s="19"/>
      <c r="K165" s="19"/>
      <c r="L165" s="2"/>
      <c r="M165" s="19"/>
      <c r="N165" s="19"/>
      <c r="O165" s="19"/>
      <c r="P165" s="19"/>
      <c r="Q165" s="91"/>
      <c r="R165" s="91"/>
      <c r="S165" s="19"/>
    </row>
    <row r="166" spans="1:19" ht="15.75" customHeight="1" x14ac:dyDescent="0.25">
      <c r="A166" s="84"/>
      <c r="B166" s="19"/>
      <c r="C166" s="92"/>
      <c r="D166" s="90"/>
      <c r="E166" s="86"/>
      <c r="F166" s="86"/>
      <c r="G166" s="86"/>
      <c r="H166" s="19"/>
      <c r="I166" s="19"/>
      <c r="J166" s="19"/>
      <c r="K166" s="19"/>
      <c r="L166" s="2"/>
      <c r="M166" s="19"/>
      <c r="N166" s="19"/>
      <c r="O166" s="19"/>
      <c r="P166" s="19"/>
      <c r="Q166" s="91"/>
      <c r="R166" s="91"/>
      <c r="S166" s="19"/>
    </row>
    <row r="167" spans="1:19" ht="15.75" customHeight="1" x14ac:dyDescent="0.25">
      <c r="A167" s="84"/>
      <c r="B167" s="19"/>
      <c r="C167" s="92"/>
      <c r="D167" s="90"/>
      <c r="E167" s="86"/>
      <c r="F167" s="86"/>
      <c r="G167" s="86"/>
      <c r="H167" s="19"/>
      <c r="I167" s="19"/>
      <c r="J167" s="19"/>
      <c r="K167" s="19"/>
      <c r="L167" s="2"/>
      <c r="M167" s="19"/>
      <c r="N167" s="19"/>
      <c r="O167" s="19"/>
      <c r="P167" s="19"/>
      <c r="Q167" s="91"/>
      <c r="R167" s="91"/>
      <c r="S167" s="19"/>
    </row>
    <row r="168" spans="1:19" ht="15.75" customHeight="1" x14ac:dyDescent="0.25">
      <c r="A168" s="84"/>
      <c r="B168" s="19"/>
      <c r="C168" s="92"/>
      <c r="D168" s="90"/>
      <c r="E168" s="86"/>
      <c r="F168" s="86"/>
      <c r="G168" s="86"/>
      <c r="H168" s="19"/>
      <c r="I168" s="19"/>
      <c r="J168" s="19"/>
      <c r="K168" s="19"/>
      <c r="L168" s="2"/>
      <c r="M168" s="19"/>
      <c r="N168" s="19"/>
      <c r="O168" s="19"/>
      <c r="P168" s="19"/>
      <c r="Q168" s="91"/>
      <c r="R168" s="91"/>
      <c r="S168" s="19"/>
    </row>
    <row r="169" spans="1:19" ht="15.75" customHeight="1" x14ac:dyDescent="0.25">
      <c r="A169" s="84"/>
      <c r="B169" s="19"/>
      <c r="C169" s="92"/>
      <c r="D169" s="90"/>
      <c r="E169" s="86"/>
      <c r="F169" s="86"/>
      <c r="G169" s="86"/>
      <c r="H169" s="19"/>
      <c r="I169" s="19"/>
      <c r="J169" s="19"/>
      <c r="K169" s="19"/>
      <c r="L169" s="2"/>
      <c r="M169" s="19"/>
      <c r="N169" s="19"/>
      <c r="O169" s="19"/>
      <c r="P169" s="19"/>
      <c r="Q169" s="91"/>
      <c r="R169" s="91"/>
      <c r="S169" s="19"/>
    </row>
    <row r="170" spans="1:19" ht="15.75" customHeight="1" x14ac:dyDescent="0.25">
      <c r="A170" s="84"/>
      <c r="B170" s="19"/>
      <c r="C170" s="92"/>
      <c r="D170" s="90"/>
      <c r="E170" s="86"/>
      <c r="F170" s="86"/>
      <c r="G170" s="86"/>
      <c r="H170" s="19"/>
      <c r="I170" s="19"/>
      <c r="J170" s="19"/>
      <c r="K170" s="19"/>
      <c r="L170" s="2"/>
      <c r="M170" s="19"/>
      <c r="N170" s="19"/>
      <c r="O170" s="19"/>
      <c r="P170" s="19"/>
      <c r="Q170" s="91"/>
      <c r="R170" s="91"/>
      <c r="S170" s="19"/>
    </row>
    <row r="171" spans="1:19" ht="15.75" customHeight="1" x14ac:dyDescent="0.25">
      <c r="A171" s="84"/>
      <c r="B171" s="19"/>
      <c r="C171" s="92"/>
      <c r="D171" s="90"/>
      <c r="E171" s="86"/>
      <c r="F171" s="86"/>
      <c r="G171" s="86"/>
      <c r="H171" s="19"/>
      <c r="I171" s="19"/>
      <c r="J171" s="19"/>
      <c r="K171" s="19"/>
      <c r="L171" s="2"/>
      <c r="M171" s="19"/>
      <c r="N171" s="19"/>
      <c r="O171" s="19"/>
      <c r="P171" s="19"/>
      <c r="Q171" s="91"/>
      <c r="R171" s="91"/>
      <c r="S171" s="19"/>
    </row>
    <row r="172" spans="1:19" ht="15.75" customHeight="1" x14ac:dyDescent="0.25">
      <c r="A172" s="84"/>
      <c r="B172" s="19"/>
      <c r="C172" s="92"/>
      <c r="D172" s="90"/>
      <c r="E172" s="86"/>
      <c r="F172" s="86"/>
      <c r="G172" s="86"/>
      <c r="H172" s="19"/>
      <c r="I172" s="19"/>
      <c r="J172" s="19"/>
      <c r="K172" s="19"/>
      <c r="L172" s="2"/>
      <c r="M172" s="19"/>
      <c r="N172" s="19"/>
      <c r="O172" s="19"/>
      <c r="P172" s="19"/>
      <c r="Q172" s="91"/>
      <c r="R172" s="91"/>
      <c r="S172" s="19"/>
    </row>
    <row r="173" spans="1:19" ht="15.75" customHeight="1" x14ac:dyDescent="0.25">
      <c r="A173" s="84"/>
      <c r="B173" s="19"/>
      <c r="C173" s="92"/>
      <c r="D173" s="90"/>
      <c r="E173" s="86"/>
      <c r="F173" s="86"/>
      <c r="G173" s="86"/>
      <c r="H173" s="19"/>
      <c r="I173" s="19"/>
      <c r="J173" s="19"/>
      <c r="K173" s="19"/>
      <c r="L173" s="2"/>
      <c r="M173" s="19"/>
      <c r="N173" s="19"/>
      <c r="O173" s="19"/>
      <c r="P173" s="19"/>
      <c r="Q173" s="91"/>
      <c r="R173" s="91"/>
      <c r="S173" s="19"/>
    </row>
    <row r="174" spans="1:19" ht="15.75" customHeight="1" x14ac:dyDescent="0.25">
      <c r="A174" s="84"/>
      <c r="B174" s="19"/>
      <c r="C174" s="92"/>
      <c r="D174" s="90"/>
      <c r="E174" s="86"/>
      <c r="F174" s="86"/>
      <c r="G174" s="86"/>
      <c r="H174" s="19"/>
      <c r="I174" s="19"/>
      <c r="J174" s="19"/>
      <c r="K174" s="19"/>
      <c r="L174" s="2"/>
      <c r="M174" s="19"/>
      <c r="N174" s="19"/>
      <c r="O174" s="19"/>
      <c r="P174" s="19"/>
      <c r="Q174" s="91"/>
      <c r="R174" s="91"/>
      <c r="S174" s="19"/>
    </row>
    <row r="175" spans="1:19" ht="15.75" customHeight="1" x14ac:dyDescent="0.25">
      <c r="A175" s="84"/>
      <c r="B175" s="19"/>
      <c r="C175" s="92"/>
      <c r="D175" s="90"/>
      <c r="E175" s="86"/>
      <c r="F175" s="86"/>
      <c r="G175" s="86"/>
      <c r="H175" s="19"/>
      <c r="I175" s="19"/>
      <c r="J175" s="19"/>
      <c r="K175" s="19"/>
      <c r="L175" s="2"/>
      <c r="M175" s="19"/>
      <c r="N175" s="19"/>
      <c r="O175" s="19"/>
      <c r="P175" s="19"/>
      <c r="Q175" s="91"/>
      <c r="R175" s="91"/>
      <c r="S175" s="19"/>
    </row>
    <row r="176" spans="1:19" ht="15.75" customHeight="1" x14ac:dyDescent="0.25">
      <c r="A176" s="84"/>
      <c r="B176" s="19"/>
      <c r="C176" s="92"/>
      <c r="D176" s="90"/>
      <c r="E176" s="86"/>
      <c r="F176" s="86"/>
      <c r="G176" s="86"/>
      <c r="H176" s="19"/>
      <c r="I176" s="19"/>
      <c r="J176" s="19"/>
      <c r="K176" s="19"/>
      <c r="L176" s="2"/>
      <c r="M176" s="19"/>
      <c r="N176" s="19"/>
      <c r="O176" s="19"/>
      <c r="P176" s="19"/>
      <c r="Q176" s="91"/>
      <c r="R176" s="91"/>
      <c r="S176" s="19"/>
    </row>
    <row r="177" spans="1:19" ht="15.75" customHeight="1" x14ac:dyDescent="0.25">
      <c r="A177" s="84"/>
      <c r="B177" s="19"/>
      <c r="C177" s="92"/>
      <c r="D177" s="90"/>
      <c r="E177" s="86"/>
      <c r="F177" s="86"/>
      <c r="G177" s="86"/>
      <c r="H177" s="19"/>
      <c r="I177" s="19"/>
      <c r="J177" s="19"/>
      <c r="K177" s="19"/>
      <c r="L177" s="2"/>
      <c r="M177" s="19"/>
      <c r="N177" s="19"/>
      <c r="O177" s="19"/>
      <c r="P177" s="19"/>
      <c r="Q177" s="91"/>
      <c r="R177" s="91"/>
      <c r="S177" s="19"/>
    </row>
    <row r="178" spans="1:19" ht="15.75" customHeight="1" x14ac:dyDescent="0.25">
      <c r="A178" s="84"/>
      <c r="B178" s="19"/>
      <c r="C178" s="92"/>
      <c r="D178" s="90"/>
      <c r="E178" s="86"/>
      <c r="F178" s="86"/>
      <c r="G178" s="86"/>
      <c r="H178" s="19"/>
      <c r="I178" s="19"/>
      <c r="J178" s="19"/>
      <c r="K178" s="19"/>
      <c r="L178" s="2"/>
      <c r="M178" s="19"/>
      <c r="N178" s="19"/>
      <c r="O178" s="19"/>
      <c r="P178" s="19"/>
      <c r="Q178" s="91"/>
      <c r="R178" s="91"/>
      <c r="S178" s="19"/>
    </row>
    <row r="179" spans="1:19" ht="15.75" customHeight="1" x14ac:dyDescent="0.25">
      <c r="A179" s="84"/>
      <c r="B179" s="19"/>
      <c r="C179" s="92"/>
      <c r="D179" s="90"/>
      <c r="E179" s="86"/>
      <c r="F179" s="86"/>
      <c r="G179" s="86"/>
      <c r="H179" s="19"/>
      <c r="I179" s="19"/>
      <c r="J179" s="19"/>
      <c r="K179" s="19"/>
      <c r="L179" s="2"/>
      <c r="M179" s="19"/>
      <c r="N179" s="19"/>
      <c r="O179" s="19"/>
      <c r="P179" s="19"/>
      <c r="Q179" s="91"/>
      <c r="R179" s="91"/>
      <c r="S179" s="19"/>
    </row>
    <row r="180" spans="1:19" ht="15.75" customHeight="1" x14ac:dyDescent="0.25">
      <c r="A180" s="84"/>
      <c r="B180" s="19"/>
      <c r="C180" s="92"/>
      <c r="D180" s="90"/>
      <c r="E180" s="86"/>
      <c r="F180" s="86"/>
      <c r="G180" s="86"/>
      <c r="H180" s="19"/>
      <c r="I180" s="19"/>
      <c r="J180" s="19"/>
      <c r="K180" s="19"/>
      <c r="L180" s="2"/>
      <c r="M180" s="19"/>
      <c r="N180" s="19"/>
      <c r="O180" s="19"/>
      <c r="P180" s="19"/>
      <c r="Q180" s="91"/>
      <c r="R180" s="91"/>
      <c r="S180" s="19"/>
    </row>
    <row r="181" spans="1:19" ht="15.75" customHeight="1" x14ac:dyDescent="0.25">
      <c r="A181" s="84"/>
      <c r="B181" s="19"/>
      <c r="C181" s="92"/>
      <c r="D181" s="90"/>
      <c r="E181" s="86"/>
      <c r="F181" s="86"/>
      <c r="G181" s="86"/>
      <c r="H181" s="19"/>
      <c r="I181" s="19"/>
      <c r="J181" s="19"/>
      <c r="K181" s="19"/>
      <c r="L181" s="2"/>
      <c r="M181" s="19"/>
      <c r="N181" s="19"/>
      <c r="O181" s="19"/>
      <c r="P181" s="19"/>
      <c r="Q181" s="91"/>
      <c r="R181" s="91"/>
      <c r="S181" s="19"/>
    </row>
    <row r="182" spans="1:19" ht="15.75" customHeight="1" x14ac:dyDescent="0.25">
      <c r="A182" s="84"/>
      <c r="B182" s="19"/>
      <c r="C182" s="92"/>
      <c r="D182" s="90"/>
      <c r="E182" s="86"/>
      <c r="F182" s="86"/>
      <c r="G182" s="86"/>
      <c r="H182" s="19"/>
      <c r="I182" s="19"/>
      <c r="J182" s="19"/>
      <c r="K182" s="19"/>
      <c r="L182" s="2"/>
      <c r="M182" s="19"/>
      <c r="N182" s="19"/>
      <c r="O182" s="19"/>
      <c r="P182" s="19"/>
      <c r="Q182" s="91"/>
      <c r="R182" s="91"/>
      <c r="S182" s="19"/>
    </row>
    <row r="183" spans="1:19" ht="15.75" customHeight="1" x14ac:dyDescent="0.25">
      <c r="A183" s="84"/>
      <c r="B183" s="19"/>
      <c r="C183" s="92"/>
      <c r="D183" s="90"/>
      <c r="E183" s="86"/>
      <c r="F183" s="86"/>
      <c r="G183" s="86"/>
      <c r="H183" s="19"/>
      <c r="I183" s="19"/>
      <c r="J183" s="19"/>
      <c r="K183" s="19"/>
      <c r="L183" s="2"/>
      <c r="M183" s="19"/>
      <c r="N183" s="19"/>
      <c r="O183" s="19"/>
      <c r="P183" s="19"/>
      <c r="Q183" s="91"/>
      <c r="R183" s="91"/>
      <c r="S183" s="19"/>
    </row>
    <row r="184" spans="1:19" ht="15.75" customHeight="1" x14ac:dyDescent="0.25">
      <c r="A184" s="84"/>
      <c r="B184" s="19"/>
      <c r="C184" s="92"/>
      <c r="D184" s="90"/>
      <c r="E184" s="86"/>
      <c r="F184" s="86"/>
      <c r="G184" s="86"/>
      <c r="H184" s="19"/>
      <c r="I184" s="19"/>
      <c r="J184" s="19"/>
      <c r="K184" s="19"/>
      <c r="L184" s="2"/>
      <c r="M184" s="19"/>
      <c r="N184" s="19"/>
      <c r="O184" s="19"/>
      <c r="P184" s="19"/>
      <c r="Q184" s="91"/>
      <c r="R184" s="91"/>
      <c r="S184" s="19"/>
    </row>
    <row r="185" spans="1:19" ht="15.75" customHeight="1" x14ac:dyDescent="0.25">
      <c r="A185" s="84"/>
      <c r="B185" s="19"/>
      <c r="C185" s="92"/>
      <c r="D185" s="90"/>
      <c r="E185" s="86"/>
      <c r="F185" s="86"/>
      <c r="G185" s="86"/>
      <c r="H185" s="19"/>
      <c r="I185" s="19"/>
      <c r="J185" s="19"/>
      <c r="K185" s="19"/>
      <c r="L185" s="2"/>
      <c r="M185" s="19"/>
      <c r="N185" s="19"/>
      <c r="O185" s="19"/>
      <c r="P185" s="19"/>
      <c r="Q185" s="91"/>
      <c r="R185" s="91"/>
      <c r="S185" s="19"/>
    </row>
    <row r="186" spans="1:19" ht="15.75" customHeight="1" x14ac:dyDescent="0.25">
      <c r="A186" s="84"/>
      <c r="B186" s="19"/>
      <c r="C186" s="92"/>
      <c r="D186" s="90"/>
      <c r="E186" s="86"/>
      <c r="F186" s="86"/>
      <c r="G186" s="86"/>
      <c r="H186" s="19"/>
      <c r="I186" s="19"/>
      <c r="J186" s="19"/>
      <c r="K186" s="19"/>
      <c r="L186" s="2"/>
      <c r="M186" s="19"/>
      <c r="N186" s="19"/>
      <c r="O186" s="19"/>
      <c r="P186" s="19"/>
      <c r="Q186" s="91"/>
      <c r="R186" s="91"/>
      <c r="S186" s="19"/>
    </row>
    <row r="187" spans="1:19" ht="15.75" customHeight="1" x14ac:dyDescent="0.25">
      <c r="A187" s="84"/>
      <c r="B187" s="19"/>
      <c r="C187" s="92"/>
      <c r="D187" s="90"/>
      <c r="E187" s="86"/>
      <c r="F187" s="86"/>
      <c r="G187" s="86"/>
      <c r="H187" s="19"/>
      <c r="I187" s="19"/>
      <c r="J187" s="19"/>
      <c r="K187" s="19"/>
      <c r="L187" s="2"/>
      <c r="M187" s="19"/>
      <c r="N187" s="19"/>
      <c r="O187" s="19"/>
      <c r="P187" s="19"/>
      <c r="Q187" s="91"/>
      <c r="R187" s="91"/>
      <c r="S187" s="19"/>
    </row>
    <row r="188" spans="1:19" ht="15.75" customHeight="1" x14ac:dyDescent="0.25">
      <c r="A188" s="84"/>
      <c r="B188" s="19"/>
      <c r="C188" s="92"/>
      <c r="D188" s="90"/>
      <c r="E188" s="86"/>
      <c r="F188" s="86"/>
      <c r="G188" s="86"/>
      <c r="H188" s="19"/>
      <c r="I188" s="19"/>
      <c r="J188" s="19"/>
      <c r="K188" s="19"/>
      <c r="L188" s="2"/>
      <c r="M188" s="19"/>
      <c r="N188" s="19"/>
      <c r="O188" s="19"/>
      <c r="P188" s="19"/>
      <c r="Q188" s="91"/>
      <c r="R188" s="91"/>
      <c r="S188" s="19"/>
    </row>
    <row r="189" spans="1:19" ht="15.75" customHeight="1" x14ac:dyDescent="0.25">
      <c r="A189" s="84"/>
      <c r="B189" s="19"/>
      <c r="C189" s="92"/>
      <c r="D189" s="90"/>
      <c r="E189" s="86"/>
      <c r="F189" s="86"/>
      <c r="G189" s="86"/>
      <c r="H189" s="19"/>
      <c r="I189" s="19"/>
      <c r="J189" s="19"/>
      <c r="K189" s="19"/>
      <c r="L189" s="2"/>
      <c r="M189" s="19"/>
      <c r="N189" s="19"/>
      <c r="O189" s="19"/>
      <c r="P189" s="19"/>
      <c r="Q189" s="91"/>
      <c r="R189" s="91"/>
      <c r="S189" s="19"/>
    </row>
    <row r="190" spans="1:19" ht="15.75" customHeight="1" x14ac:dyDescent="0.25">
      <c r="A190" s="84"/>
      <c r="B190" s="19"/>
      <c r="C190" s="92"/>
      <c r="D190" s="90"/>
      <c r="E190" s="86"/>
      <c r="F190" s="86"/>
      <c r="G190" s="86"/>
      <c r="H190" s="19"/>
      <c r="I190" s="19"/>
      <c r="J190" s="19"/>
      <c r="K190" s="19"/>
      <c r="L190" s="2"/>
      <c r="M190" s="19"/>
      <c r="N190" s="19"/>
      <c r="O190" s="19"/>
      <c r="P190" s="19"/>
      <c r="Q190" s="91"/>
      <c r="R190" s="91"/>
      <c r="S190" s="19"/>
    </row>
    <row r="191" spans="1:19" ht="15.75" customHeight="1" x14ac:dyDescent="0.25">
      <c r="A191" s="84"/>
      <c r="B191" s="19"/>
      <c r="C191" s="92"/>
      <c r="D191" s="90"/>
      <c r="E191" s="86"/>
      <c r="F191" s="86"/>
      <c r="G191" s="86"/>
      <c r="H191" s="19"/>
      <c r="I191" s="19"/>
      <c r="J191" s="19"/>
      <c r="K191" s="19"/>
      <c r="L191" s="2"/>
      <c r="M191" s="19"/>
      <c r="N191" s="19"/>
      <c r="O191" s="19"/>
      <c r="P191" s="19"/>
      <c r="Q191" s="91"/>
      <c r="R191" s="91"/>
      <c r="S191" s="19"/>
    </row>
    <row r="192" spans="1:19" ht="15.75" customHeight="1" x14ac:dyDescent="0.25">
      <c r="A192" s="84"/>
      <c r="B192" s="19"/>
      <c r="C192" s="92"/>
      <c r="D192" s="90"/>
      <c r="E192" s="86"/>
      <c r="F192" s="86"/>
      <c r="G192" s="86"/>
      <c r="H192" s="19"/>
      <c r="I192" s="19"/>
      <c r="J192" s="19"/>
      <c r="K192" s="19"/>
      <c r="L192" s="2"/>
      <c r="M192" s="19"/>
      <c r="N192" s="19"/>
      <c r="O192" s="19"/>
      <c r="P192" s="19"/>
      <c r="Q192" s="91"/>
      <c r="R192" s="91"/>
      <c r="S192" s="19"/>
    </row>
    <row r="193" spans="1:19" ht="15.75" customHeight="1" x14ac:dyDescent="0.25">
      <c r="A193" s="84"/>
      <c r="B193" s="19"/>
      <c r="C193" s="92"/>
      <c r="D193" s="90"/>
      <c r="E193" s="86"/>
      <c r="F193" s="86"/>
      <c r="G193" s="86"/>
      <c r="H193" s="19"/>
      <c r="I193" s="19"/>
      <c r="J193" s="19"/>
      <c r="K193" s="19"/>
      <c r="L193" s="2"/>
      <c r="M193" s="19"/>
      <c r="N193" s="19"/>
      <c r="O193" s="19"/>
      <c r="P193" s="19"/>
      <c r="Q193" s="91"/>
      <c r="R193" s="91"/>
      <c r="S193" s="19"/>
    </row>
    <row r="194" spans="1:19" ht="15.75" customHeight="1" x14ac:dyDescent="0.25">
      <c r="A194" s="84"/>
      <c r="B194" s="19"/>
      <c r="C194" s="92"/>
      <c r="D194" s="90"/>
      <c r="E194" s="86"/>
      <c r="F194" s="86"/>
      <c r="G194" s="86"/>
      <c r="H194" s="19"/>
      <c r="I194" s="19"/>
      <c r="J194" s="19"/>
      <c r="K194" s="19"/>
      <c r="L194" s="2"/>
      <c r="M194" s="19"/>
      <c r="N194" s="19"/>
      <c r="O194" s="19"/>
      <c r="P194" s="19"/>
      <c r="Q194" s="91"/>
      <c r="R194" s="91"/>
      <c r="S194" s="19"/>
    </row>
    <row r="195" spans="1:19" ht="15.75" customHeight="1" x14ac:dyDescent="0.25">
      <c r="A195" s="84"/>
      <c r="B195" s="19"/>
      <c r="C195" s="92"/>
      <c r="D195" s="90"/>
      <c r="E195" s="86"/>
      <c r="F195" s="86"/>
      <c r="G195" s="86"/>
      <c r="H195" s="19"/>
      <c r="I195" s="19"/>
      <c r="J195" s="19"/>
      <c r="K195" s="19"/>
      <c r="L195" s="2"/>
      <c r="M195" s="19"/>
      <c r="N195" s="19"/>
      <c r="O195" s="19"/>
      <c r="P195" s="19"/>
      <c r="Q195" s="91"/>
      <c r="R195" s="91"/>
      <c r="S195" s="19"/>
    </row>
    <row r="196" spans="1:19" ht="15.75" customHeight="1" x14ac:dyDescent="0.25">
      <c r="A196" s="84"/>
      <c r="B196" s="19"/>
      <c r="C196" s="92"/>
      <c r="D196" s="90"/>
      <c r="E196" s="86"/>
      <c r="F196" s="86"/>
      <c r="G196" s="86"/>
      <c r="H196" s="19"/>
      <c r="I196" s="19"/>
      <c r="J196" s="19"/>
      <c r="K196" s="19"/>
      <c r="L196" s="2"/>
      <c r="M196" s="19"/>
      <c r="N196" s="19"/>
      <c r="O196" s="19"/>
      <c r="P196" s="19"/>
      <c r="Q196" s="91"/>
      <c r="R196" s="91"/>
      <c r="S196" s="19"/>
    </row>
    <row r="197" spans="1:19" ht="15.75" customHeight="1" x14ac:dyDescent="0.25">
      <c r="A197" s="84"/>
      <c r="B197" s="19"/>
      <c r="C197" s="92"/>
      <c r="D197" s="90"/>
      <c r="E197" s="86"/>
      <c r="F197" s="86"/>
      <c r="G197" s="86"/>
      <c r="H197" s="19"/>
      <c r="I197" s="19"/>
      <c r="J197" s="19"/>
      <c r="K197" s="19"/>
      <c r="L197" s="2"/>
      <c r="M197" s="19"/>
      <c r="N197" s="19"/>
      <c r="O197" s="19"/>
      <c r="P197" s="19"/>
      <c r="Q197" s="91"/>
      <c r="R197" s="91"/>
      <c r="S197" s="19"/>
    </row>
    <row r="198" spans="1:19" ht="15.75" customHeight="1" x14ac:dyDescent="0.25">
      <c r="A198" s="84"/>
      <c r="B198" s="19"/>
      <c r="C198" s="92"/>
      <c r="D198" s="90"/>
      <c r="E198" s="86"/>
      <c r="F198" s="86"/>
      <c r="G198" s="86"/>
      <c r="H198" s="19"/>
      <c r="I198" s="19"/>
      <c r="J198" s="19"/>
      <c r="K198" s="19"/>
      <c r="L198" s="2"/>
      <c r="M198" s="19"/>
      <c r="N198" s="19"/>
      <c r="O198" s="19"/>
      <c r="P198" s="19"/>
      <c r="Q198" s="91"/>
      <c r="R198" s="91"/>
      <c r="S198" s="19"/>
    </row>
    <row r="199" spans="1:19" ht="15.75" customHeight="1" x14ac:dyDescent="0.25">
      <c r="A199" s="84"/>
      <c r="B199" s="19"/>
      <c r="C199" s="92"/>
      <c r="D199" s="90"/>
      <c r="E199" s="86"/>
      <c r="F199" s="86"/>
      <c r="G199" s="86"/>
      <c r="H199" s="19"/>
      <c r="I199" s="19"/>
      <c r="J199" s="19"/>
      <c r="K199" s="19"/>
      <c r="L199" s="2"/>
      <c r="M199" s="19"/>
      <c r="N199" s="19"/>
      <c r="O199" s="19"/>
      <c r="P199" s="19"/>
      <c r="Q199" s="91"/>
      <c r="R199" s="91"/>
      <c r="S199" s="19"/>
    </row>
    <row r="200" spans="1:19" ht="15.75" customHeight="1" x14ac:dyDescent="0.25">
      <c r="A200" s="84"/>
      <c r="B200" s="19"/>
      <c r="C200" s="92"/>
      <c r="D200" s="90"/>
      <c r="E200" s="86"/>
      <c r="F200" s="86"/>
      <c r="G200" s="86"/>
      <c r="H200" s="19"/>
      <c r="I200" s="19"/>
      <c r="J200" s="19"/>
      <c r="K200" s="19"/>
      <c r="L200" s="2"/>
      <c r="M200" s="19"/>
      <c r="N200" s="19"/>
      <c r="O200" s="19"/>
      <c r="P200" s="19"/>
      <c r="Q200" s="91"/>
      <c r="R200" s="91"/>
      <c r="S200" s="19"/>
    </row>
    <row r="201" spans="1:19" ht="15.75" customHeight="1" x14ac:dyDescent="0.25">
      <c r="A201" s="84"/>
      <c r="B201" s="19"/>
      <c r="C201" s="92"/>
      <c r="D201" s="90"/>
      <c r="E201" s="86"/>
      <c r="F201" s="86"/>
      <c r="G201" s="86"/>
      <c r="H201" s="19"/>
      <c r="I201" s="19"/>
      <c r="J201" s="19"/>
      <c r="K201" s="19"/>
      <c r="L201" s="2"/>
      <c r="M201" s="19"/>
      <c r="N201" s="19"/>
      <c r="O201" s="19"/>
      <c r="P201" s="19"/>
      <c r="Q201" s="91"/>
      <c r="R201" s="91"/>
      <c r="S201" s="19"/>
    </row>
    <row r="202" spans="1:19" ht="15.75" customHeight="1" x14ac:dyDescent="0.25">
      <c r="A202" s="84"/>
      <c r="B202" s="19"/>
      <c r="C202" s="92"/>
      <c r="D202" s="90"/>
      <c r="E202" s="86"/>
      <c r="F202" s="86"/>
      <c r="G202" s="86"/>
      <c r="H202" s="19"/>
      <c r="I202" s="19"/>
      <c r="J202" s="19"/>
      <c r="K202" s="19"/>
      <c r="L202" s="2"/>
      <c r="M202" s="19"/>
      <c r="N202" s="19"/>
      <c r="O202" s="19"/>
      <c r="P202" s="19"/>
      <c r="Q202" s="91"/>
      <c r="R202" s="91"/>
      <c r="S202" s="19"/>
    </row>
    <row r="203" spans="1:19" ht="15.75" customHeight="1" x14ac:dyDescent="0.25">
      <c r="A203" s="84"/>
      <c r="B203" s="19"/>
      <c r="C203" s="92"/>
      <c r="D203" s="90"/>
      <c r="E203" s="86"/>
      <c r="F203" s="86"/>
      <c r="G203" s="86"/>
      <c r="H203" s="19"/>
      <c r="I203" s="19"/>
      <c r="J203" s="19"/>
      <c r="K203" s="19"/>
      <c r="L203" s="2"/>
      <c r="M203" s="19"/>
      <c r="N203" s="19"/>
      <c r="O203" s="19"/>
      <c r="P203" s="19"/>
      <c r="Q203" s="91"/>
      <c r="R203" s="91"/>
      <c r="S203" s="19"/>
    </row>
    <row r="204" spans="1:19" ht="15.75" customHeight="1" x14ac:dyDescent="0.25">
      <c r="A204" s="84"/>
      <c r="B204" s="19"/>
      <c r="C204" s="92"/>
      <c r="D204" s="90"/>
      <c r="E204" s="86"/>
      <c r="F204" s="86"/>
      <c r="G204" s="86"/>
      <c r="H204" s="19"/>
      <c r="I204" s="19"/>
      <c r="J204" s="19"/>
      <c r="K204" s="19"/>
      <c r="L204" s="2"/>
      <c r="M204" s="19"/>
      <c r="N204" s="19"/>
      <c r="O204" s="19"/>
      <c r="P204" s="19"/>
      <c r="Q204" s="91"/>
      <c r="R204" s="91"/>
      <c r="S204" s="19"/>
    </row>
    <row r="205" spans="1:19" ht="15.75" customHeight="1" x14ac:dyDescent="0.25">
      <c r="A205" s="84"/>
      <c r="B205" s="19"/>
      <c r="C205" s="92"/>
      <c r="D205" s="90"/>
      <c r="E205" s="86"/>
      <c r="F205" s="86"/>
      <c r="G205" s="86"/>
      <c r="H205" s="19"/>
      <c r="I205" s="19"/>
      <c r="J205" s="19"/>
      <c r="K205" s="19"/>
      <c r="L205" s="2"/>
      <c r="M205" s="19"/>
      <c r="N205" s="19"/>
      <c r="O205" s="19"/>
      <c r="P205" s="19"/>
      <c r="Q205" s="91"/>
      <c r="R205" s="91"/>
      <c r="S205" s="19"/>
    </row>
    <row r="206" spans="1:19" ht="15.75" customHeight="1" x14ac:dyDescent="0.25">
      <c r="A206" s="84"/>
      <c r="B206" s="19"/>
      <c r="C206" s="92"/>
      <c r="D206" s="90"/>
      <c r="E206" s="86"/>
      <c r="F206" s="86"/>
      <c r="G206" s="86"/>
      <c r="H206" s="19"/>
      <c r="I206" s="19"/>
      <c r="J206" s="19"/>
      <c r="K206" s="19"/>
      <c r="L206" s="2"/>
      <c r="M206" s="19"/>
      <c r="N206" s="19"/>
      <c r="O206" s="19"/>
      <c r="P206" s="19"/>
      <c r="Q206" s="91"/>
      <c r="R206" s="91"/>
      <c r="S206" s="19"/>
    </row>
    <row r="207" spans="1:19" ht="15.75" customHeight="1" x14ac:dyDescent="0.25">
      <c r="A207" s="84"/>
      <c r="B207" s="19"/>
      <c r="C207" s="92"/>
      <c r="D207" s="90"/>
      <c r="E207" s="86"/>
      <c r="F207" s="86"/>
      <c r="G207" s="86"/>
      <c r="H207" s="19"/>
      <c r="I207" s="19"/>
      <c r="J207" s="19"/>
      <c r="K207" s="19"/>
      <c r="L207" s="2"/>
      <c r="M207" s="19"/>
      <c r="N207" s="19"/>
      <c r="O207" s="19"/>
      <c r="P207" s="19"/>
      <c r="Q207" s="91"/>
      <c r="R207" s="91"/>
      <c r="S207" s="19"/>
    </row>
    <row r="208" spans="1:19" ht="15.75" customHeight="1" x14ac:dyDescent="0.25">
      <c r="A208" s="84"/>
      <c r="B208" s="19"/>
      <c r="C208" s="92"/>
      <c r="D208" s="90"/>
      <c r="E208" s="86"/>
      <c r="F208" s="86"/>
      <c r="G208" s="86"/>
      <c r="H208" s="19"/>
      <c r="I208" s="19"/>
      <c r="J208" s="19"/>
      <c r="K208" s="19"/>
      <c r="L208" s="2"/>
      <c r="M208" s="19"/>
      <c r="N208" s="19"/>
      <c r="O208" s="19"/>
      <c r="P208" s="19"/>
      <c r="Q208" s="91"/>
      <c r="R208" s="91"/>
      <c r="S208" s="19"/>
    </row>
    <row r="209" spans="1:19" ht="15.75" customHeight="1" x14ac:dyDescent="0.25">
      <c r="A209" s="84"/>
      <c r="B209" s="19"/>
      <c r="C209" s="92"/>
      <c r="D209" s="90"/>
      <c r="E209" s="86"/>
      <c r="F209" s="86"/>
      <c r="G209" s="86"/>
      <c r="H209" s="19"/>
      <c r="I209" s="19"/>
      <c r="J209" s="19"/>
      <c r="K209" s="19"/>
      <c r="L209" s="2"/>
      <c r="M209" s="19"/>
      <c r="N209" s="19"/>
      <c r="O209" s="19"/>
      <c r="P209" s="19"/>
      <c r="Q209" s="91"/>
      <c r="R209" s="91"/>
      <c r="S209" s="19"/>
    </row>
    <row r="210" spans="1:19" ht="15.75" customHeight="1" x14ac:dyDescent="0.25">
      <c r="A210" s="84"/>
      <c r="B210" s="19"/>
      <c r="C210" s="92"/>
      <c r="D210" s="90"/>
      <c r="E210" s="86"/>
      <c r="F210" s="86"/>
      <c r="G210" s="86"/>
      <c r="H210" s="19"/>
      <c r="I210" s="19"/>
      <c r="J210" s="19"/>
      <c r="K210" s="19"/>
      <c r="L210" s="2"/>
      <c r="M210" s="19"/>
      <c r="N210" s="19"/>
      <c r="O210" s="19"/>
      <c r="P210" s="19"/>
      <c r="Q210" s="91"/>
      <c r="R210" s="91"/>
      <c r="S210" s="19"/>
    </row>
    <row r="211" spans="1:19" ht="15.75" customHeight="1" x14ac:dyDescent="0.25">
      <c r="A211" s="84"/>
      <c r="B211" s="19"/>
      <c r="C211" s="92"/>
      <c r="D211" s="90"/>
      <c r="E211" s="86"/>
      <c r="F211" s="86"/>
      <c r="G211" s="86"/>
      <c r="H211" s="19"/>
      <c r="I211" s="19"/>
      <c r="J211" s="19"/>
      <c r="K211" s="19"/>
      <c r="L211" s="2"/>
      <c r="M211" s="19"/>
      <c r="N211" s="19"/>
      <c r="O211" s="19"/>
      <c r="P211" s="19"/>
      <c r="Q211" s="91"/>
      <c r="R211" s="91"/>
      <c r="S211" s="19"/>
    </row>
    <row r="212" spans="1:19" ht="15.75" customHeight="1" x14ac:dyDescent="0.25">
      <c r="A212" s="84"/>
      <c r="B212" s="19"/>
      <c r="C212" s="92"/>
      <c r="D212" s="90"/>
      <c r="E212" s="86"/>
      <c r="F212" s="86"/>
      <c r="G212" s="86"/>
      <c r="H212" s="19"/>
      <c r="I212" s="19"/>
      <c r="J212" s="19"/>
      <c r="K212" s="19"/>
      <c r="L212" s="2"/>
      <c r="M212" s="19"/>
      <c r="N212" s="19"/>
      <c r="O212" s="19"/>
      <c r="P212" s="19"/>
      <c r="Q212" s="91"/>
      <c r="R212" s="91"/>
      <c r="S212" s="19"/>
    </row>
    <row r="213" spans="1:19" ht="15.75" customHeight="1" x14ac:dyDescent="0.25">
      <c r="A213" s="84"/>
      <c r="B213" s="19"/>
      <c r="C213" s="92"/>
      <c r="D213" s="90"/>
      <c r="E213" s="86"/>
      <c r="F213" s="86"/>
      <c r="G213" s="86"/>
      <c r="H213" s="19"/>
      <c r="I213" s="19"/>
      <c r="J213" s="19"/>
      <c r="K213" s="19"/>
      <c r="L213" s="2"/>
      <c r="M213" s="19"/>
      <c r="N213" s="19"/>
      <c r="O213" s="19"/>
      <c r="P213" s="19"/>
      <c r="Q213" s="91"/>
      <c r="R213" s="91"/>
      <c r="S213" s="19"/>
    </row>
    <row r="214" spans="1:19" ht="15.75" customHeight="1" x14ac:dyDescent="0.25">
      <c r="A214" s="84"/>
      <c r="B214" s="19"/>
      <c r="C214" s="92"/>
      <c r="D214" s="90"/>
      <c r="E214" s="86"/>
      <c r="F214" s="86"/>
      <c r="G214" s="86"/>
      <c r="H214" s="19"/>
      <c r="I214" s="19"/>
      <c r="J214" s="19"/>
      <c r="K214" s="19"/>
      <c r="L214" s="2"/>
      <c r="M214" s="19"/>
      <c r="N214" s="19"/>
      <c r="O214" s="19"/>
      <c r="P214" s="19"/>
      <c r="Q214" s="91"/>
      <c r="R214" s="91"/>
      <c r="S214" s="19"/>
    </row>
    <row r="215" spans="1:19" ht="15.75" customHeight="1" x14ac:dyDescent="0.25">
      <c r="A215" s="84"/>
      <c r="B215" s="19"/>
      <c r="C215" s="92"/>
      <c r="D215" s="90"/>
      <c r="E215" s="86"/>
      <c r="F215" s="86"/>
      <c r="G215" s="86"/>
      <c r="H215" s="19"/>
      <c r="I215" s="19"/>
      <c r="J215" s="19"/>
      <c r="K215" s="19"/>
      <c r="L215" s="2"/>
      <c r="M215" s="19"/>
      <c r="N215" s="19"/>
      <c r="O215" s="19"/>
      <c r="P215" s="19"/>
      <c r="Q215" s="91"/>
      <c r="R215" s="91"/>
      <c r="S215" s="19"/>
    </row>
    <row r="216" spans="1:19" ht="15.75" customHeight="1" x14ac:dyDescent="0.25">
      <c r="A216" s="84"/>
      <c r="B216" s="19"/>
      <c r="C216" s="92"/>
      <c r="D216" s="90"/>
      <c r="E216" s="86"/>
      <c r="F216" s="86"/>
      <c r="G216" s="86"/>
      <c r="H216" s="19"/>
      <c r="I216" s="19"/>
      <c r="J216" s="19"/>
      <c r="K216" s="19"/>
      <c r="L216" s="2"/>
      <c r="M216" s="19"/>
      <c r="N216" s="19"/>
      <c r="O216" s="19"/>
      <c r="P216" s="19"/>
      <c r="Q216" s="91"/>
      <c r="R216" s="91"/>
      <c r="S216" s="19"/>
    </row>
    <row r="217" spans="1:19" ht="15.75" customHeight="1" x14ac:dyDescent="0.25">
      <c r="A217" s="84"/>
      <c r="B217" s="19"/>
      <c r="C217" s="92"/>
      <c r="D217" s="90"/>
      <c r="E217" s="86"/>
      <c r="F217" s="86"/>
      <c r="G217" s="86"/>
      <c r="H217" s="19"/>
      <c r="I217" s="19"/>
      <c r="J217" s="19"/>
      <c r="K217" s="19"/>
      <c r="L217" s="2"/>
      <c r="M217" s="19"/>
      <c r="N217" s="19"/>
      <c r="O217" s="19"/>
      <c r="P217" s="19"/>
      <c r="Q217" s="91"/>
      <c r="R217" s="91"/>
      <c r="S217" s="19"/>
    </row>
    <row r="218" spans="1:19" ht="15.75" customHeight="1" x14ac:dyDescent="0.25">
      <c r="A218" s="84"/>
      <c r="B218" s="19"/>
      <c r="C218" s="92"/>
      <c r="D218" s="90"/>
      <c r="E218" s="86"/>
      <c r="F218" s="86"/>
      <c r="G218" s="86"/>
      <c r="H218" s="19"/>
      <c r="I218" s="19"/>
      <c r="J218" s="19"/>
      <c r="K218" s="19"/>
      <c r="L218" s="2"/>
      <c r="M218" s="19"/>
      <c r="N218" s="19"/>
      <c r="O218" s="19"/>
      <c r="P218" s="19"/>
      <c r="Q218" s="91"/>
      <c r="R218" s="91"/>
      <c r="S218" s="19"/>
    </row>
    <row r="219" spans="1:19" ht="15.75" customHeight="1" x14ac:dyDescent="0.25">
      <c r="A219" s="84"/>
      <c r="B219" s="19"/>
      <c r="C219" s="92"/>
      <c r="D219" s="90"/>
      <c r="E219" s="86"/>
      <c r="F219" s="86"/>
      <c r="G219" s="86"/>
      <c r="H219" s="19"/>
      <c r="I219" s="19"/>
      <c r="J219" s="19"/>
      <c r="K219" s="19"/>
      <c r="L219" s="2"/>
      <c r="M219" s="19"/>
      <c r="N219" s="19"/>
      <c r="O219" s="19"/>
      <c r="P219" s="19"/>
      <c r="Q219" s="91"/>
      <c r="R219" s="91"/>
      <c r="S219" s="19"/>
    </row>
    <row r="220" spans="1:19" ht="15.75" customHeight="1" x14ac:dyDescent="0.25">
      <c r="A220" s="84"/>
      <c r="B220" s="19"/>
      <c r="C220" s="92"/>
      <c r="D220" s="90"/>
      <c r="E220" s="86"/>
      <c r="F220" s="86"/>
      <c r="G220" s="86"/>
      <c r="H220" s="19"/>
      <c r="I220" s="19"/>
      <c r="J220" s="19"/>
      <c r="K220" s="19"/>
      <c r="L220" s="2"/>
      <c r="M220" s="19"/>
      <c r="N220" s="19"/>
      <c r="O220" s="19"/>
      <c r="P220" s="19"/>
      <c r="Q220" s="91"/>
      <c r="R220" s="91"/>
      <c r="S220" s="19"/>
    </row>
    <row r="221" spans="1:19" ht="15.75" customHeight="1" x14ac:dyDescent="0.25">
      <c r="A221" s="84"/>
      <c r="B221" s="19"/>
      <c r="C221" s="92"/>
      <c r="D221" s="90"/>
      <c r="E221" s="86"/>
      <c r="F221" s="86"/>
      <c r="G221" s="86"/>
      <c r="H221" s="19"/>
      <c r="I221" s="19"/>
      <c r="J221" s="19"/>
      <c r="K221" s="19"/>
      <c r="L221" s="2"/>
      <c r="M221" s="19"/>
      <c r="N221" s="19"/>
      <c r="O221" s="19"/>
      <c r="P221" s="19"/>
      <c r="Q221" s="91"/>
      <c r="R221" s="91"/>
      <c r="S221" s="19"/>
    </row>
    <row r="222" spans="1:19" ht="15.75" customHeight="1" x14ac:dyDescent="0.25">
      <c r="A222" s="84"/>
      <c r="B222" s="19"/>
      <c r="C222" s="92"/>
      <c r="D222" s="90"/>
      <c r="E222" s="86"/>
      <c r="F222" s="86"/>
      <c r="G222" s="86"/>
      <c r="H222" s="19"/>
      <c r="I222" s="19"/>
      <c r="J222" s="19"/>
      <c r="K222" s="19"/>
      <c r="L222" s="2"/>
      <c r="M222" s="19"/>
      <c r="N222" s="19"/>
      <c r="O222" s="19"/>
      <c r="P222" s="19"/>
      <c r="Q222" s="91"/>
      <c r="R222" s="91"/>
      <c r="S222" s="19"/>
    </row>
    <row r="223" spans="1:19" ht="15.75" customHeight="1" x14ac:dyDescent="0.25">
      <c r="A223" s="84"/>
      <c r="B223" s="19"/>
      <c r="C223" s="92"/>
      <c r="D223" s="90"/>
      <c r="E223" s="86"/>
      <c r="F223" s="86"/>
      <c r="G223" s="86"/>
      <c r="H223" s="19"/>
      <c r="I223" s="19"/>
      <c r="J223" s="19"/>
      <c r="K223" s="19"/>
      <c r="L223" s="2"/>
      <c r="M223" s="19"/>
      <c r="N223" s="19"/>
      <c r="O223" s="19"/>
      <c r="P223" s="19"/>
      <c r="Q223" s="91"/>
      <c r="R223" s="91"/>
      <c r="S223" s="19"/>
    </row>
    <row r="224" spans="1:19" ht="15.75" customHeight="1" x14ac:dyDescent="0.25">
      <c r="A224" s="84"/>
      <c r="B224" s="19"/>
      <c r="C224" s="92"/>
      <c r="D224" s="90"/>
      <c r="E224" s="86"/>
      <c r="F224" s="86"/>
      <c r="G224" s="86"/>
      <c r="H224" s="19"/>
      <c r="I224" s="19"/>
      <c r="J224" s="19"/>
      <c r="K224" s="19"/>
      <c r="L224" s="2"/>
      <c r="M224" s="19"/>
      <c r="N224" s="19"/>
      <c r="O224" s="19"/>
      <c r="P224" s="19"/>
      <c r="Q224" s="91"/>
      <c r="R224" s="91"/>
      <c r="S224" s="19"/>
    </row>
    <row r="225" spans="1:19" ht="15.75" customHeight="1" x14ac:dyDescent="0.25">
      <c r="A225" s="84"/>
      <c r="B225" s="19"/>
      <c r="C225" s="92"/>
      <c r="D225" s="90"/>
      <c r="E225" s="86"/>
      <c r="F225" s="86"/>
      <c r="G225" s="86"/>
      <c r="H225" s="19"/>
      <c r="I225" s="19"/>
      <c r="J225" s="19"/>
      <c r="K225" s="19"/>
      <c r="L225" s="2"/>
      <c r="M225" s="19"/>
      <c r="N225" s="19"/>
      <c r="O225" s="19"/>
      <c r="P225" s="19"/>
      <c r="Q225" s="91"/>
      <c r="R225" s="91"/>
      <c r="S225" s="19"/>
    </row>
    <row r="226" spans="1:19" ht="15.75" customHeight="1" x14ac:dyDescent="0.25">
      <c r="A226" s="84"/>
      <c r="B226" s="19"/>
      <c r="C226" s="92"/>
      <c r="D226" s="90"/>
      <c r="E226" s="86"/>
      <c r="F226" s="86"/>
      <c r="G226" s="86"/>
      <c r="H226" s="19"/>
      <c r="I226" s="19"/>
      <c r="J226" s="19"/>
      <c r="K226" s="19"/>
      <c r="L226" s="2"/>
      <c r="M226" s="19"/>
      <c r="N226" s="19"/>
      <c r="O226" s="19"/>
      <c r="P226" s="19"/>
      <c r="Q226" s="91"/>
      <c r="R226" s="91"/>
      <c r="S226" s="19"/>
    </row>
    <row r="227" spans="1:19" ht="15.75" customHeight="1" x14ac:dyDescent="0.25">
      <c r="A227" s="84"/>
      <c r="B227" s="19"/>
      <c r="C227" s="92"/>
      <c r="D227" s="90"/>
      <c r="E227" s="86"/>
      <c r="F227" s="86"/>
      <c r="G227" s="86"/>
      <c r="H227" s="19"/>
      <c r="I227" s="19"/>
      <c r="J227" s="19"/>
      <c r="K227" s="19"/>
      <c r="L227" s="2"/>
      <c r="M227" s="19"/>
      <c r="N227" s="19"/>
      <c r="O227" s="19"/>
      <c r="P227" s="19"/>
      <c r="Q227" s="91"/>
      <c r="R227" s="91"/>
      <c r="S227" s="19"/>
    </row>
    <row r="228" spans="1:19" ht="15.75" customHeight="1" x14ac:dyDescent="0.25">
      <c r="A228" s="84"/>
      <c r="B228" s="19"/>
      <c r="C228" s="92"/>
      <c r="D228" s="90"/>
      <c r="E228" s="86"/>
      <c r="F228" s="86"/>
      <c r="G228" s="86"/>
      <c r="H228" s="19"/>
      <c r="I228" s="19"/>
      <c r="J228" s="19"/>
      <c r="K228" s="19"/>
      <c r="L228" s="2"/>
      <c r="M228" s="19"/>
      <c r="N228" s="19"/>
      <c r="O228" s="19"/>
      <c r="P228" s="19"/>
      <c r="Q228" s="91"/>
      <c r="R228" s="91"/>
      <c r="S228" s="19"/>
    </row>
    <row r="229" spans="1:19" ht="15.75" customHeight="1" x14ac:dyDescent="0.25">
      <c r="A229" s="84"/>
      <c r="B229" s="19"/>
      <c r="C229" s="92"/>
      <c r="D229" s="90"/>
      <c r="E229" s="86"/>
      <c r="F229" s="86"/>
      <c r="G229" s="86"/>
      <c r="H229" s="19"/>
      <c r="I229" s="19"/>
      <c r="J229" s="19"/>
      <c r="K229" s="19"/>
      <c r="L229" s="2"/>
      <c r="M229" s="19"/>
      <c r="N229" s="19"/>
      <c r="O229" s="19"/>
      <c r="P229" s="19"/>
      <c r="Q229" s="91"/>
      <c r="R229" s="91"/>
      <c r="S229" s="19"/>
    </row>
    <row r="230" spans="1:19" ht="15.75" customHeight="1" x14ac:dyDescent="0.25">
      <c r="A230" s="84"/>
      <c r="B230" s="19"/>
      <c r="C230" s="92"/>
      <c r="D230" s="90"/>
      <c r="E230" s="86"/>
      <c r="F230" s="86"/>
      <c r="G230" s="86"/>
      <c r="H230" s="19"/>
      <c r="I230" s="19"/>
      <c r="J230" s="19"/>
      <c r="K230" s="19"/>
      <c r="L230" s="2"/>
      <c r="M230" s="19"/>
      <c r="N230" s="19"/>
      <c r="O230" s="19"/>
      <c r="P230" s="19"/>
      <c r="Q230" s="91"/>
      <c r="R230" s="91"/>
      <c r="S230" s="19"/>
    </row>
    <row r="231" spans="1:19" ht="15.75" customHeight="1" x14ac:dyDescent="0.25">
      <c r="A231" s="84"/>
      <c r="B231" s="19"/>
      <c r="C231" s="92"/>
      <c r="D231" s="90"/>
      <c r="E231" s="86"/>
      <c r="F231" s="86"/>
      <c r="G231" s="86"/>
      <c r="H231" s="19"/>
      <c r="I231" s="19"/>
      <c r="J231" s="19"/>
      <c r="K231" s="19"/>
      <c r="L231" s="2"/>
      <c r="M231" s="19"/>
      <c r="N231" s="19"/>
      <c r="O231" s="19"/>
      <c r="P231" s="19"/>
      <c r="Q231" s="91"/>
      <c r="R231" s="91"/>
      <c r="S231" s="19"/>
    </row>
    <row r="232" spans="1:19" ht="15.75" customHeight="1" x14ac:dyDescent="0.25">
      <c r="A232" s="84"/>
      <c r="B232" s="19"/>
      <c r="C232" s="92"/>
      <c r="D232" s="90"/>
      <c r="E232" s="86"/>
      <c r="F232" s="86"/>
      <c r="G232" s="86"/>
      <c r="H232" s="19"/>
      <c r="I232" s="19"/>
      <c r="J232" s="19"/>
      <c r="K232" s="19"/>
      <c r="L232" s="2"/>
      <c r="M232" s="19"/>
      <c r="N232" s="19"/>
      <c r="O232" s="19"/>
      <c r="P232" s="19"/>
      <c r="Q232" s="91"/>
      <c r="R232" s="91"/>
      <c r="S232" s="19"/>
    </row>
    <row r="233" spans="1:19" ht="15.75" customHeight="1" x14ac:dyDescent="0.25">
      <c r="A233" s="84"/>
      <c r="B233" s="19"/>
      <c r="C233" s="92"/>
      <c r="D233" s="90"/>
      <c r="E233" s="86"/>
      <c r="F233" s="86"/>
      <c r="G233" s="86"/>
      <c r="H233" s="19"/>
      <c r="I233" s="19"/>
      <c r="J233" s="19"/>
      <c r="K233" s="19"/>
      <c r="L233" s="2"/>
      <c r="M233" s="19"/>
      <c r="N233" s="19"/>
      <c r="O233" s="19"/>
      <c r="P233" s="19"/>
      <c r="Q233" s="91"/>
      <c r="R233" s="91"/>
      <c r="S233" s="19"/>
    </row>
    <row r="234" spans="1:19" ht="15.75" customHeight="1" x14ac:dyDescent="0.25">
      <c r="A234" s="84"/>
      <c r="B234" s="19"/>
      <c r="C234" s="92"/>
      <c r="D234" s="90"/>
      <c r="E234" s="86"/>
      <c r="F234" s="86"/>
      <c r="G234" s="86"/>
      <c r="H234" s="19"/>
      <c r="I234" s="19"/>
      <c r="J234" s="19"/>
      <c r="K234" s="19"/>
      <c r="L234" s="2"/>
      <c r="M234" s="19"/>
      <c r="N234" s="19"/>
      <c r="O234" s="19"/>
      <c r="P234" s="19"/>
      <c r="Q234" s="91"/>
      <c r="R234" s="91"/>
      <c r="S234" s="19"/>
    </row>
    <row r="235" spans="1:19" ht="15.75" customHeight="1" x14ac:dyDescent="0.25">
      <c r="A235" s="84"/>
      <c r="B235" s="19"/>
      <c r="C235" s="92"/>
      <c r="D235" s="90"/>
      <c r="E235" s="86"/>
      <c r="F235" s="86"/>
      <c r="G235" s="86"/>
      <c r="H235" s="19"/>
      <c r="I235" s="19"/>
      <c r="J235" s="19"/>
      <c r="K235" s="19"/>
      <c r="L235" s="2"/>
      <c r="M235" s="19"/>
      <c r="N235" s="19"/>
      <c r="O235" s="19"/>
      <c r="P235" s="19"/>
      <c r="Q235" s="91"/>
      <c r="R235" s="91"/>
      <c r="S235" s="19"/>
    </row>
    <row r="236" spans="1:19" ht="15.75" customHeight="1" x14ac:dyDescent="0.25">
      <c r="A236" s="84"/>
      <c r="B236" s="19"/>
      <c r="C236" s="92"/>
      <c r="D236" s="90"/>
      <c r="E236" s="86"/>
      <c r="F236" s="86"/>
      <c r="G236" s="86"/>
      <c r="H236" s="19"/>
      <c r="I236" s="19"/>
      <c r="J236" s="19"/>
      <c r="K236" s="19"/>
      <c r="L236" s="2"/>
      <c r="M236" s="19"/>
      <c r="N236" s="19"/>
      <c r="O236" s="19"/>
      <c r="P236" s="19"/>
      <c r="Q236" s="91"/>
      <c r="R236" s="91"/>
      <c r="S236" s="19"/>
    </row>
    <row r="237" spans="1:19" ht="15.75" customHeight="1" x14ac:dyDescent="0.25">
      <c r="A237" s="84"/>
      <c r="B237" s="19"/>
      <c r="C237" s="92"/>
      <c r="D237" s="90"/>
      <c r="E237" s="86"/>
      <c r="F237" s="86"/>
      <c r="G237" s="86"/>
      <c r="H237" s="19"/>
      <c r="I237" s="19"/>
      <c r="J237" s="19"/>
      <c r="K237" s="19"/>
      <c r="L237" s="2"/>
      <c r="M237" s="19"/>
      <c r="N237" s="19"/>
      <c r="O237" s="19"/>
      <c r="P237" s="19"/>
      <c r="Q237" s="91"/>
      <c r="R237" s="91"/>
      <c r="S237" s="19"/>
    </row>
    <row r="238" spans="1:19" ht="15.75" customHeight="1" x14ac:dyDescent="0.25">
      <c r="A238" s="84"/>
      <c r="B238" s="19"/>
      <c r="C238" s="92"/>
      <c r="D238" s="90"/>
      <c r="E238" s="86"/>
      <c r="F238" s="86"/>
      <c r="G238" s="86"/>
      <c r="H238" s="19"/>
      <c r="I238" s="19"/>
      <c r="J238" s="19"/>
      <c r="K238" s="19"/>
      <c r="L238" s="2"/>
      <c r="M238" s="19"/>
      <c r="N238" s="19"/>
      <c r="O238" s="19"/>
      <c r="P238" s="19"/>
      <c r="Q238" s="91"/>
      <c r="R238" s="91"/>
      <c r="S238" s="19"/>
    </row>
    <row r="239" spans="1:19" ht="15.75" customHeight="1" x14ac:dyDescent="0.25">
      <c r="A239" s="84"/>
      <c r="B239" s="19"/>
      <c r="C239" s="92"/>
      <c r="D239" s="90"/>
      <c r="E239" s="86"/>
      <c r="F239" s="86"/>
      <c r="G239" s="86"/>
      <c r="H239" s="19"/>
      <c r="I239" s="19"/>
      <c r="J239" s="19"/>
      <c r="K239" s="19"/>
      <c r="L239" s="2"/>
      <c r="M239" s="19"/>
      <c r="N239" s="19"/>
      <c r="O239" s="19"/>
      <c r="P239" s="19"/>
      <c r="Q239" s="91"/>
      <c r="R239" s="91"/>
      <c r="S239" s="19"/>
    </row>
    <row r="240" spans="1:19" ht="15.75" customHeight="1" x14ac:dyDescent="0.25">
      <c r="A240" s="84"/>
      <c r="B240" s="19"/>
      <c r="C240" s="92"/>
      <c r="D240" s="90"/>
      <c r="E240" s="86"/>
      <c r="F240" s="86"/>
      <c r="G240" s="86"/>
      <c r="H240" s="19"/>
      <c r="I240" s="19"/>
      <c r="J240" s="19"/>
      <c r="K240" s="19"/>
      <c r="L240" s="2"/>
      <c r="M240" s="19"/>
      <c r="N240" s="19"/>
      <c r="O240" s="19"/>
      <c r="P240" s="19"/>
      <c r="Q240" s="91"/>
      <c r="R240" s="91"/>
      <c r="S240" s="19"/>
    </row>
    <row r="241" spans="1:19" ht="15.75" customHeight="1" x14ac:dyDescent="0.25">
      <c r="A241" s="84"/>
      <c r="B241" s="19"/>
      <c r="C241" s="92"/>
      <c r="D241" s="90"/>
      <c r="E241" s="86"/>
      <c r="F241" s="86"/>
      <c r="G241" s="86"/>
      <c r="H241" s="19"/>
      <c r="I241" s="19"/>
      <c r="J241" s="19"/>
      <c r="K241" s="19"/>
      <c r="L241" s="2"/>
      <c r="M241" s="19"/>
      <c r="N241" s="19"/>
      <c r="O241" s="19"/>
      <c r="P241" s="19"/>
      <c r="Q241" s="91"/>
      <c r="R241" s="91"/>
      <c r="S241" s="19"/>
    </row>
    <row r="242" spans="1:19" ht="15.75" customHeight="1" x14ac:dyDescent="0.25">
      <c r="A242" s="84"/>
      <c r="B242" s="19"/>
      <c r="C242" s="92"/>
      <c r="D242" s="90"/>
      <c r="E242" s="86"/>
      <c r="F242" s="86"/>
      <c r="G242" s="86"/>
      <c r="H242" s="19"/>
      <c r="I242" s="19"/>
      <c r="J242" s="19"/>
      <c r="K242" s="19"/>
      <c r="L242" s="2"/>
      <c r="M242" s="19"/>
      <c r="N242" s="19"/>
      <c r="O242" s="19"/>
      <c r="P242" s="19"/>
      <c r="Q242" s="91"/>
      <c r="R242" s="91"/>
      <c r="S242" s="19"/>
    </row>
    <row r="243" spans="1:19" ht="15.75" customHeight="1" x14ac:dyDescent="0.25">
      <c r="A243" s="84"/>
      <c r="B243" s="19"/>
      <c r="C243" s="92"/>
      <c r="D243" s="90"/>
      <c r="E243" s="86"/>
      <c r="F243" s="86"/>
      <c r="G243" s="86"/>
      <c r="H243" s="19"/>
      <c r="I243" s="19"/>
      <c r="J243" s="19"/>
      <c r="K243" s="19"/>
      <c r="L243" s="2"/>
      <c r="M243" s="19"/>
      <c r="N243" s="19"/>
      <c r="O243" s="19"/>
      <c r="P243" s="19"/>
      <c r="Q243" s="91"/>
      <c r="R243" s="91"/>
      <c r="S243" s="19"/>
    </row>
    <row r="244" spans="1:19" ht="15.75" customHeight="1" x14ac:dyDescent="0.25">
      <c r="A244" s="84"/>
      <c r="B244" s="19"/>
      <c r="C244" s="92"/>
      <c r="D244" s="90"/>
      <c r="E244" s="86"/>
      <c r="F244" s="86"/>
      <c r="G244" s="86"/>
      <c r="H244" s="19"/>
      <c r="I244" s="19"/>
      <c r="J244" s="19"/>
      <c r="K244" s="19"/>
      <c r="L244" s="2"/>
      <c r="M244" s="19"/>
      <c r="N244" s="19"/>
      <c r="O244" s="19"/>
      <c r="P244" s="19"/>
      <c r="Q244" s="91"/>
      <c r="R244" s="91"/>
      <c r="S244" s="19"/>
    </row>
    <row r="245" spans="1:19" ht="15.75" customHeight="1" x14ac:dyDescent="0.25">
      <c r="A245" s="84"/>
      <c r="B245" s="19"/>
      <c r="C245" s="92"/>
      <c r="D245" s="90"/>
      <c r="E245" s="86"/>
      <c r="F245" s="86"/>
      <c r="G245" s="86"/>
      <c r="H245" s="19"/>
      <c r="I245" s="19"/>
      <c r="J245" s="19"/>
      <c r="K245" s="19"/>
      <c r="L245" s="2"/>
      <c r="M245" s="19"/>
      <c r="N245" s="19"/>
      <c r="O245" s="19"/>
      <c r="P245" s="19"/>
      <c r="Q245" s="91"/>
      <c r="R245" s="91"/>
      <c r="S245" s="19"/>
    </row>
    <row r="246" spans="1:19" ht="15.75" customHeight="1" x14ac:dyDescent="0.25">
      <c r="A246" s="84"/>
      <c r="B246" s="19"/>
      <c r="C246" s="92"/>
      <c r="D246" s="90"/>
      <c r="E246" s="86"/>
      <c r="F246" s="86"/>
      <c r="G246" s="86"/>
      <c r="H246" s="19"/>
      <c r="I246" s="19"/>
      <c r="J246" s="19"/>
      <c r="K246" s="19"/>
      <c r="L246" s="2"/>
      <c r="M246" s="19"/>
      <c r="N246" s="19"/>
      <c r="O246" s="19"/>
      <c r="P246" s="19"/>
      <c r="Q246" s="91"/>
      <c r="R246" s="91"/>
      <c r="S246" s="19"/>
    </row>
    <row r="247" spans="1:19" ht="15.75" customHeight="1" x14ac:dyDescent="0.25">
      <c r="A247" s="84"/>
      <c r="B247" s="19"/>
      <c r="C247" s="92"/>
      <c r="D247" s="90"/>
      <c r="E247" s="86"/>
      <c r="F247" s="86"/>
      <c r="G247" s="86"/>
      <c r="H247" s="19"/>
      <c r="I247" s="19"/>
      <c r="J247" s="19"/>
      <c r="K247" s="19"/>
      <c r="L247" s="2"/>
      <c r="M247" s="19"/>
      <c r="N247" s="19"/>
      <c r="O247" s="19"/>
      <c r="P247" s="19"/>
      <c r="Q247" s="91"/>
      <c r="R247" s="91"/>
      <c r="S247" s="19"/>
    </row>
    <row r="248" spans="1:19" ht="15.75" customHeight="1" x14ac:dyDescent="0.25">
      <c r="A248" s="84"/>
      <c r="B248" s="19"/>
      <c r="C248" s="92"/>
      <c r="D248" s="90"/>
      <c r="E248" s="86"/>
      <c r="F248" s="86"/>
      <c r="G248" s="86"/>
      <c r="H248" s="19"/>
      <c r="I248" s="19"/>
      <c r="J248" s="19"/>
      <c r="K248" s="19"/>
      <c r="L248" s="2"/>
      <c r="M248" s="19"/>
      <c r="N248" s="19"/>
      <c r="O248" s="19"/>
      <c r="P248" s="19"/>
      <c r="Q248" s="91"/>
      <c r="R248" s="91"/>
      <c r="S248" s="19"/>
    </row>
    <row r="249" spans="1:19" ht="15.75" customHeight="1" x14ac:dyDescent="0.25">
      <c r="A249" s="84"/>
      <c r="B249" s="19"/>
      <c r="C249" s="92"/>
      <c r="D249" s="90"/>
      <c r="E249" s="86"/>
      <c r="F249" s="86"/>
      <c r="G249" s="86"/>
      <c r="H249" s="19"/>
      <c r="I249" s="19"/>
      <c r="J249" s="19"/>
      <c r="K249" s="19"/>
      <c r="L249" s="2"/>
      <c r="M249" s="19"/>
      <c r="N249" s="19"/>
      <c r="O249" s="19"/>
      <c r="P249" s="19"/>
      <c r="Q249" s="91"/>
      <c r="R249" s="91"/>
      <c r="S249" s="19"/>
    </row>
    <row r="250" spans="1:19" ht="15.75" customHeight="1" x14ac:dyDescent="0.25">
      <c r="A250" s="84"/>
      <c r="B250" s="19"/>
      <c r="C250" s="92"/>
      <c r="D250" s="90"/>
      <c r="E250" s="86"/>
      <c r="F250" s="86"/>
      <c r="G250" s="86"/>
      <c r="H250" s="19"/>
      <c r="I250" s="19"/>
      <c r="J250" s="19"/>
      <c r="K250" s="19"/>
      <c r="L250" s="2"/>
      <c r="M250" s="19"/>
      <c r="N250" s="19"/>
      <c r="O250" s="19"/>
      <c r="P250" s="19"/>
      <c r="Q250" s="91"/>
      <c r="R250" s="91"/>
      <c r="S250" s="19"/>
    </row>
    <row r="251" spans="1:19" ht="15.75" customHeight="1" x14ac:dyDescent="0.25">
      <c r="A251" s="84"/>
      <c r="B251" s="19"/>
      <c r="C251" s="92"/>
      <c r="D251" s="90"/>
      <c r="E251" s="86"/>
      <c r="F251" s="86"/>
      <c r="G251" s="86"/>
      <c r="H251" s="19"/>
      <c r="I251" s="19"/>
      <c r="J251" s="19"/>
      <c r="K251" s="19"/>
      <c r="L251" s="2"/>
      <c r="M251" s="19"/>
      <c r="N251" s="19"/>
      <c r="O251" s="19"/>
      <c r="P251" s="19"/>
      <c r="Q251" s="91"/>
      <c r="R251" s="91"/>
      <c r="S251" s="19"/>
    </row>
    <row r="252" spans="1:19" ht="15.75" customHeight="1" x14ac:dyDescent="0.25">
      <c r="A252" s="84"/>
      <c r="B252" s="19"/>
      <c r="C252" s="92"/>
      <c r="D252" s="90"/>
      <c r="E252" s="86"/>
      <c r="F252" s="86"/>
      <c r="G252" s="86"/>
      <c r="H252" s="19"/>
      <c r="I252" s="19"/>
      <c r="J252" s="19"/>
      <c r="K252" s="19"/>
      <c r="L252" s="2"/>
      <c r="M252" s="19"/>
      <c r="N252" s="19"/>
      <c r="O252" s="19"/>
      <c r="P252" s="19"/>
      <c r="Q252" s="91"/>
      <c r="R252" s="91"/>
      <c r="S252" s="19"/>
    </row>
    <row r="253" spans="1:19" ht="15.75" customHeight="1" x14ac:dyDescent="0.25">
      <c r="A253" s="84"/>
      <c r="B253" s="19"/>
      <c r="C253" s="92"/>
      <c r="D253" s="90"/>
      <c r="E253" s="86"/>
      <c r="F253" s="86"/>
      <c r="G253" s="86"/>
      <c r="H253" s="19"/>
      <c r="I253" s="19"/>
      <c r="J253" s="19"/>
      <c r="K253" s="19"/>
      <c r="L253" s="2"/>
      <c r="M253" s="19"/>
      <c r="N253" s="19"/>
      <c r="O253" s="19"/>
      <c r="P253" s="19"/>
      <c r="Q253" s="91"/>
      <c r="R253" s="91"/>
      <c r="S253" s="19"/>
    </row>
    <row r="254" spans="1:19" ht="15.75" customHeight="1" x14ac:dyDescent="0.25">
      <c r="A254" s="84"/>
      <c r="B254" s="19"/>
      <c r="C254" s="92"/>
      <c r="D254" s="90"/>
      <c r="E254" s="86"/>
      <c r="F254" s="86"/>
      <c r="G254" s="86"/>
      <c r="H254" s="19"/>
      <c r="I254" s="19"/>
      <c r="J254" s="19"/>
      <c r="K254" s="19"/>
      <c r="L254" s="2"/>
      <c r="M254" s="19"/>
      <c r="N254" s="19"/>
      <c r="O254" s="19"/>
      <c r="P254" s="19"/>
      <c r="Q254" s="91"/>
      <c r="R254" s="91"/>
      <c r="S254" s="19"/>
    </row>
    <row r="255" spans="1:19" ht="15.75" customHeight="1" x14ac:dyDescent="0.25">
      <c r="A255" s="84"/>
      <c r="B255" s="19"/>
      <c r="C255" s="92"/>
      <c r="D255" s="90"/>
      <c r="E255" s="86"/>
      <c r="F255" s="86"/>
      <c r="G255" s="86"/>
      <c r="H255" s="19"/>
      <c r="I255" s="19"/>
      <c r="J255" s="19"/>
      <c r="K255" s="19"/>
      <c r="L255" s="2"/>
      <c r="M255" s="19"/>
      <c r="N255" s="19"/>
      <c r="O255" s="19"/>
      <c r="P255" s="19"/>
      <c r="Q255" s="91"/>
      <c r="R255" s="91"/>
      <c r="S255" s="19"/>
    </row>
    <row r="256" spans="1:19" ht="15.75" customHeight="1" x14ac:dyDescent="0.25">
      <c r="A256" s="84"/>
      <c r="B256" s="19"/>
      <c r="C256" s="92"/>
      <c r="D256" s="90"/>
      <c r="E256" s="86"/>
      <c r="F256" s="86"/>
      <c r="G256" s="86"/>
      <c r="H256" s="19"/>
      <c r="I256" s="19"/>
      <c r="J256" s="19"/>
      <c r="K256" s="19"/>
      <c r="L256" s="2"/>
      <c r="M256" s="19"/>
      <c r="N256" s="19"/>
      <c r="O256" s="19"/>
      <c r="P256" s="19"/>
      <c r="Q256" s="91"/>
      <c r="R256" s="91"/>
      <c r="S256" s="19"/>
    </row>
    <row r="257" spans="1:19" ht="15.75" customHeight="1" x14ac:dyDescent="0.25">
      <c r="A257" s="84"/>
      <c r="B257" s="19"/>
      <c r="C257" s="92"/>
      <c r="D257" s="90"/>
      <c r="E257" s="86"/>
      <c r="F257" s="86"/>
      <c r="G257" s="86"/>
      <c r="H257" s="19"/>
      <c r="I257" s="19"/>
      <c r="J257" s="19"/>
      <c r="K257" s="19"/>
      <c r="L257" s="2"/>
      <c r="M257" s="19"/>
      <c r="N257" s="19"/>
      <c r="O257" s="19"/>
      <c r="P257" s="19"/>
      <c r="Q257" s="91"/>
      <c r="R257" s="91"/>
      <c r="S257" s="19"/>
    </row>
    <row r="258" spans="1:19" ht="15.75" customHeight="1" x14ac:dyDescent="0.25">
      <c r="A258" s="84"/>
      <c r="B258" s="19"/>
      <c r="C258" s="92"/>
      <c r="D258" s="90"/>
      <c r="E258" s="86"/>
      <c r="F258" s="86"/>
      <c r="G258" s="86"/>
      <c r="H258" s="19"/>
      <c r="I258" s="19"/>
      <c r="J258" s="19"/>
      <c r="K258" s="19"/>
      <c r="L258" s="2"/>
      <c r="M258" s="19"/>
      <c r="N258" s="19"/>
      <c r="O258" s="19"/>
      <c r="P258" s="19"/>
      <c r="Q258" s="91"/>
      <c r="R258" s="91"/>
      <c r="S258" s="19"/>
    </row>
    <row r="259" spans="1:19" ht="15.75" customHeight="1" x14ac:dyDescent="0.25">
      <c r="A259" s="84"/>
      <c r="B259" s="19"/>
      <c r="C259" s="92"/>
      <c r="D259" s="90"/>
      <c r="E259" s="86"/>
      <c r="F259" s="86"/>
      <c r="G259" s="86"/>
      <c r="H259" s="19"/>
      <c r="I259" s="19"/>
      <c r="J259" s="19"/>
      <c r="K259" s="19"/>
      <c r="L259" s="2"/>
      <c r="M259" s="19"/>
      <c r="N259" s="19"/>
      <c r="O259" s="19"/>
      <c r="P259" s="19"/>
      <c r="Q259" s="91"/>
      <c r="R259" s="91"/>
      <c r="S259" s="19"/>
    </row>
    <row r="260" spans="1:19" ht="15.75" customHeight="1" x14ac:dyDescent="0.25">
      <c r="A260" s="84"/>
      <c r="B260" s="19"/>
      <c r="C260" s="92"/>
      <c r="D260" s="90"/>
      <c r="E260" s="86"/>
      <c r="F260" s="86"/>
      <c r="G260" s="86"/>
      <c r="H260" s="19"/>
      <c r="I260" s="19"/>
      <c r="J260" s="19"/>
      <c r="K260" s="19"/>
      <c r="L260" s="2"/>
      <c r="M260" s="19"/>
      <c r="N260" s="19"/>
      <c r="O260" s="19"/>
      <c r="P260" s="19"/>
      <c r="Q260" s="91"/>
      <c r="R260" s="91"/>
      <c r="S260" s="19"/>
    </row>
    <row r="261" spans="1:19" ht="15.75" customHeight="1" x14ac:dyDescent="0.25">
      <c r="A261" s="84"/>
      <c r="B261" s="19"/>
      <c r="C261" s="92"/>
      <c r="D261" s="90"/>
      <c r="E261" s="86"/>
      <c r="F261" s="86"/>
      <c r="G261" s="86"/>
      <c r="H261" s="19"/>
      <c r="I261" s="19"/>
      <c r="J261" s="19"/>
      <c r="K261" s="19"/>
      <c r="L261" s="2"/>
      <c r="M261" s="19"/>
      <c r="N261" s="19"/>
      <c r="O261" s="19"/>
      <c r="P261" s="19"/>
      <c r="Q261" s="91"/>
      <c r="R261" s="91"/>
      <c r="S261" s="19"/>
    </row>
    <row r="262" spans="1:19" ht="15.75" customHeight="1" x14ac:dyDescent="0.25">
      <c r="A262" s="84"/>
      <c r="B262" s="19"/>
      <c r="C262" s="92"/>
      <c r="D262" s="90"/>
      <c r="E262" s="86"/>
      <c r="F262" s="86"/>
      <c r="G262" s="86"/>
      <c r="H262" s="19"/>
      <c r="I262" s="19"/>
      <c r="J262" s="19"/>
      <c r="K262" s="19"/>
      <c r="L262" s="2"/>
      <c r="M262" s="19"/>
      <c r="N262" s="19"/>
      <c r="O262" s="19"/>
      <c r="P262" s="19"/>
      <c r="Q262" s="91"/>
      <c r="R262" s="91"/>
      <c r="S262" s="19"/>
    </row>
    <row r="263" spans="1:19" ht="15.75" customHeight="1" x14ac:dyDescent="0.25">
      <c r="A263" s="84"/>
      <c r="B263" s="19"/>
      <c r="C263" s="92"/>
      <c r="D263" s="90"/>
      <c r="E263" s="86"/>
      <c r="F263" s="86"/>
      <c r="G263" s="86"/>
      <c r="H263" s="19"/>
      <c r="I263" s="19"/>
      <c r="J263" s="19"/>
      <c r="K263" s="19"/>
      <c r="L263" s="2"/>
      <c r="M263" s="19"/>
      <c r="N263" s="19"/>
      <c r="O263" s="19"/>
      <c r="P263" s="19"/>
      <c r="Q263" s="91"/>
      <c r="R263" s="91"/>
      <c r="S263" s="19"/>
    </row>
    <row r="264" spans="1:19" ht="15.75" customHeight="1" x14ac:dyDescent="0.25">
      <c r="A264" s="84"/>
      <c r="B264" s="19"/>
      <c r="C264" s="92"/>
      <c r="D264" s="90"/>
      <c r="E264" s="86"/>
      <c r="F264" s="86"/>
      <c r="G264" s="86"/>
      <c r="H264" s="19"/>
      <c r="I264" s="19"/>
      <c r="J264" s="19"/>
      <c r="K264" s="19"/>
      <c r="L264" s="2"/>
      <c r="M264" s="19"/>
      <c r="N264" s="19"/>
      <c r="O264" s="19"/>
      <c r="P264" s="19"/>
      <c r="Q264" s="91"/>
      <c r="R264" s="91"/>
      <c r="S264" s="19"/>
    </row>
    <row r="265" spans="1:19" ht="15.75" customHeight="1" x14ac:dyDescent="0.25">
      <c r="A265" s="84"/>
      <c r="B265" s="19"/>
      <c r="C265" s="92"/>
      <c r="D265" s="90"/>
      <c r="E265" s="86"/>
      <c r="F265" s="86"/>
      <c r="G265" s="86"/>
      <c r="H265" s="19"/>
      <c r="I265" s="19"/>
      <c r="J265" s="19"/>
      <c r="K265" s="19"/>
      <c r="L265" s="2"/>
      <c r="M265" s="19"/>
      <c r="N265" s="19"/>
      <c r="O265" s="19"/>
      <c r="P265" s="19"/>
      <c r="Q265" s="91"/>
      <c r="R265" s="91"/>
      <c r="S265" s="19"/>
    </row>
    <row r="266" spans="1:19" ht="15.75" customHeight="1" x14ac:dyDescent="0.25">
      <c r="A266" s="84"/>
      <c r="B266" s="19"/>
      <c r="C266" s="92"/>
      <c r="D266" s="90"/>
      <c r="E266" s="86"/>
      <c r="F266" s="86"/>
      <c r="G266" s="86"/>
      <c r="H266" s="19"/>
      <c r="I266" s="19"/>
      <c r="J266" s="19"/>
      <c r="K266" s="19"/>
      <c r="L266" s="2"/>
      <c r="M266" s="19"/>
      <c r="N266" s="19"/>
      <c r="O266" s="19"/>
      <c r="P266" s="19"/>
      <c r="Q266" s="91"/>
      <c r="R266" s="91"/>
      <c r="S266" s="19"/>
    </row>
    <row r="267" spans="1:19" ht="15.75" customHeight="1" x14ac:dyDescent="0.25">
      <c r="A267" s="84"/>
      <c r="B267" s="19"/>
      <c r="C267" s="92"/>
      <c r="D267" s="90"/>
      <c r="E267" s="86"/>
      <c r="F267" s="86"/>
      <c r="G267" s="86"/>
      <c r="H267" s="19"/>
      <c r="I267" s="19"/>
      <c r="J267" s="19"/>
      <c r="K267" s="19"/>
      <c r="L267" s="2"/>
      <c r="M267" s="19"/>
      <c r="N267" s="19"/>
      <c r="O267" s="19"/>
      <c r="P267" s="19"/>
      <c r="Q267" s="91"/>
      <c r="R267" s="91"/>
      <c r="S267" s="19"/>
    </row>
    <row r="268" spans="1:19" ht="15.75" customHeight="1" x14ac:dyDescent="0.25">
      <c r="A268" s="84"/>
      <c r="B268" s="19"/>
      <c r="C268" s="92"/>
      <c r="D268" s="90"/>
      <c r="E268" s="86"/>
      <c r="F268" s="86"/>
      <c r="G268" s="86"/>
      <c r="H268" s="19"/>
      <c r="I268" s="19"/>
      <c r="J268" s="19"/>
      <c r="K268" s="19"/>
      <c r="L268" s="2"/>
      <c r="M268" s="19"/>
      <c r="N268" s="19"/>
      <c r="O268" s="19"/>
      <c r="P268" s="19"/>
      <c r="Q268" s="91"/>
      <c r="R268" s="91"/>
      <c r="S268" s="19"/>
    </row>
    <row r="269" spans="1:19" ht="15.75" customHeight="1" x14ac:dyDescent="0.25">
      <c r="A269" s="84"/>
      <c r="B269" s="19"/>
      <c r="C269" s="92"/>
      <c r="D269" s="90"/>
      <c r="E269" s="86"/>
      <c r="F269" s="86"/>
      <c r="G269" s="86"/>
      <c r="H269" s="19"/>
      <c r="I269" s="19"/>
      <c r="J269" s="19"/>
      <c r="K269" s="19"/>
      <c r="L269" s="2"/>
      <c r="M269" s="19"/>
      <c r="N269" s="19"/>
      <c r="O269" s="19"/>
      <c r="P269" s="19"/>
      <c r="Q269" s="91"/>
      <c r="R269" s="91"/>
      <c r="S269" s="19"/>
    </row>
    <row r="270" spans="1:19" ht="15.75" customHeight="1" x14ac:dyDescent="0.25">
      <c r="A270" s="84"/>
      <c r="B270" s="19"/>
      <c r="C270" s="92"/>
      <c r="D270" s="90"/>
      <c r="E270" s="86"/>
      <c r="F270" s="86"/>
      <c r="G270" s="86"/>
      <c r="H270" s="19"/>
      <c r="I270" s="19"/>
      <c r="J270" s="19"/>
      <c r="K270" s="19"/>
      <c r="L270" s="2"/>
      <c r="M270" s="19"/>
      <c r="N270" s="19"/>
      <c r="O270" s="19"/>
      <c r="P270" s="19"/>
      <c r="Q270" s="91"/>
      <c r="R270" s="91"/>
      <c r="S270" s="19"/>
    </row>
    <row r="271" spans="1:19" ht="15.75" customHeight="1" x14ac:dyDescent="0.25">
      <c r="A271" s="84"/>
      <c r="B271" s="19"/>
      <c r="C271" s="92"/>
      <c r="D271" s="90"/>
      <c r="E271" s="86"/>
      <c r="F271" s="86"/>
      <c r="G271" s="86"/>
      <c r="H271" s="19"/>
      <c r="I271" s="19"/>
      <c r="J271" s="19"/>
      <c r="K271" s="19"/>
      <c r="L271" s="2"/>
      <c r="M271" s="19"/>
      <c r="N271" s="19"/>
      <c r="O271" s="19"/>
      <c r="P271" s="19"/>
      <c r="Q271" s="91"/>
      <c r="R271" s="91"/>
      <c r="S271" s="19"/>
    </row>
    <row r="272" spans="1:19" ht="15.75" customHeight="1" x14ac:dyDescent="0.25">
      <c r="A272" s="84"/>
      <c r="B272" s="19"/>
      <c r="C272" s="92"/>
      <c r="D272" s="90"/>
      <c r="E272" s="86"/>
      <c r="F272" s="86"/>
      <c r="G272" s="86"/>
      <c r="H272" s="19"/>
      <c r="I272" s="19"/>
      <c r="J272" s="19"/>
      <c r="K272" s="19"/>
      <c r="L272" s="2"/>
      <c r="M272" s="19"/>
      <c r="N272" s="19"/>
      <c r="O272" s="19"/>
      <c r="P272" s="19"/>
      <c r="Q272" s="91"/>
      <c r="R272" s="91"/>
      <c r="S272" s="19"/>
    </row>
    <row r="273" spans="1:19" ht="15.75" customHeight="1" x14ac:dyDescent="0.25">
      <c r="A273" s="84"/>
      <c r="B273" s="19"/>
      <c r="C273" s="92"/>
      <c r="D273" s="90"/>
      <c r="E273" s="86"/>
      <c r="F273" s="86"/>
      <c r="G273" s="86"/>
      <c r="H273" s="19"/>
      <c r="I273" s="19"/>
      <c r="J273" s="19"/>
      <c r="K273" s="19"/>
      <c r="L273" s="2"/>
      <c r="M273" s="19"/>
      <c r="N273" s="19"/>
      <c r="O273" s="19"/>
      <c r="P273" s="19"/>
      <c r="Q273" s="91"/>
      <c r="R273" s="91"/>
      <c r="S273" s="19"/>
    </row>
    <row r="274" spans="1:19" ht="15.75" customHeight="1" x14ac:dyDescent="0.25">
      <c r="A274" s="84"/>
      <c r="B274" s="19"/>
      <c r="C274" s="92"/>
      <c r="D274" s="90"/>
      <c r="E274" s="86"/>
      <c r="F274" s="86"/>
      <c r="G274" s="86"/>
      <c r="H274" s="19"/>
      <c r="I274" s="19"/>
      <c r="J274" s="19"/>
      <c r="K274" s="19"/>
      <c r="L274" s="2"/>
      <c r="M274" s="19"/>
      <c r="N274" s="19"/>
      <c r="O274" s="19"/>
      <c r="P274" s="19"/>
      <c r="Q274" s="91"/>
      <c r="R274" s="91"/>
      <c r="S274" s="19"/>
    </row>
    <row r="275" spans="1:19" ht="15.75" customHeight="1" x14ac:dyDescent="0.25">
      <c r="A275" s="84"/>
      <c r="B275" s="19"/>
      <c r="C275" s="92"/>
      <c r="D275" s="90"/>
      <c r="E275" s="86"/>
      <c r="F275" s="86"/>
      <c r="G275" s="86"/>
      <c r="H275" s="19"/>
      <c r="I275" s="19"/>
      <c r="J275" s="19"/>
      <c r="K275" s="19"/>
      <c r="L275" s="2"/>
      <c r="M275" s="19"/>
      <c r="N275" s="19"/>
      <c r="O275" s="19"/>
      <c r="P275" s="19"/>
      <c r="Q275" s="91"/>
      <c r="R275" s="91"/>
      <c r="S275" s="19"/>
    </row>
    <row r="276" spans="1:19" ht="15.75" customHeight="1" x14ac:dyDescent="0.25">
      <c r="A276" s="84"/>
      <c r="B276" s="19"/>
      <c r="C276" s="92"/>
      <c r="D276" s="90"/>
      <c r="E276" s="86"/>
      <c r="F276" s="86"/>
      <c r="G276" s="86"/>
      <c r="H276" s="19"/>
      <c r="I276" s="19"/>
      <c r="J276" s="19"/>
      <c r="K276" s="19"/>
      <c r="L276" s="2"/>
      <c r="M276" s="19"/>
      <c r="N276" s="19"/>
      <c r="O276" s="19"/>
      <c r="P276" s="19"/>
      <c r="Q276" s="91"/>
      <c r="R276" s="91"/>
      <c r="S276" s="19"/>
    </row>
    <row r="277" spans="1:19" ht="15.75" customHeight="1" x14ac:dyDescent="0.25">
      <c r="A277" s="84"/>
      <c r="B277" s="19"/>
      <c r="C277" s="92"/>
      <c r="D277" s="90"/>
      <c r="E277" s="86"/>
      <c r="F277" s="86"/>
      <c r="G277" s="86"/>
      <c r="H277" s="19"/>
      <c r="I277" s="19"/>
      <c r="J277" s="19"/>
      <c r="K277" s="19"/>
      <c r="L277" s="2"/>
      <c r="M277" s="19"/>
      <c r="N277" s="19"/>
      <c r="O277" s="19"/>
      <c r="P277" s="19"/>
      <c r="Q277" s="91"/>
      <c r="R277" s="91"/>
      <c r="S277" s="19"/>
    </row>
    <row r="278" spans="1:19" ht="15.75" customHeight="1" x14ac:dyDescent="0.25">
      <c r="A278" s="84"/>
      <c r="B278" s="19"/>
      <c r="C278" s="92"/>
      <c r="D278" s="90"/>
      <c r="E278" s="86"/>
      <c r="F278" s="86"/>
      <c r="G278" s="86"/>
      <c r="H278" s="19"/>
      <c r="I278" s="19"/>
      <c r="J278" s="19"/>
      <c r="K278" s="19"/>
      <c r="L278" s="2"/>
      <c r="M278" s="19"/>
      <c r="N278" s="19"/>
      <c r="O278" s="19"/>
      <c r="P278" s="19"/>
      <c r="Q278" s="91"/>
      <c r="R278" s="91"/>
      <c r="S278" s="19"/>
    </row>
    <row r="279" spans="1:19" ht="15.75" customHeight="1" x14ac:dyDescent="0.25">
      <c r="A279" s="84"/>
      <c r="B279" s="19"/>
      <c r="C279" s="92"/>
      <c r="D279" s="90"/>
      <c r="E279" s="86"/>
      <c r="F279" s="86"/>
      <c r="G279" s="86"/>
      <c r="H279" s="19"/>
      <c r="I279" s="19"/>
      <c r="J279" s="19"/>
      <c r="K279" s="19"/>
      <c r="L279" s="2"/>
      <c r="M279" s="19"/>
      <c r="N279" s="19"/>
      <c r="O279" s="19"/>
      <c r="P279" s="19"/>
      <c r="Q279" s="91"/>
      <c r="R279" s="91"/>
      <c r="S279" s="19"/>
    </row>
    <row r="280" spans="1:19" ht="15.75" customHeight="1" x14ac:dyDescent="0.25">
      <c r="A280" s="84"/>
      <c r="B280" s="19"/>
      <c r="C280" s="92"/>
      <c r="D280" s="90"/>
      <c r="E280" s="86"/>
      <c r="F280" s="86"/>
      <c r="G280" s="86"/>
      <c r="H280" s="19"/>
      <c r="I280" s="19"/>
      <c r="J280" s="19"/>
      <c r="K280" s="19"/>
      <c r="L280" s="2"/>
      <c r="M280" s="19"/>
      <c r="N280" s="19"/>
      <c r="O280" s="19"/>
      <c r="P280" s="19"/>
      <c r="Q280" s="91"/>
      <c r="R280" s="91"/>
      <c r="S280" s="19"/>
    </row>
    <row r="281" spans="1:19" ht="15.75" customHeight="1" x14ac:dyDescent="0.25">
      <c r="A281" s="84"/>
      <c r="B281" s="19"/>
      <c r="C281" s="92"/>
      <c r="D281" s="90"/>
      <c r="E281" s="86"/>
      <c r="F281" s="86"/>
      <c r="G281" s="86"/>
      <c r="H281" s="19"/>
      <c r="I281" s="19"/>
      <c r="J281" s="19"/>
      <c r="K281" s="19"/>
      <c r="L281" s="2"/>
      <c r="M281" s="19"/>
      <c r="N281" s="19"/>
      <c r="O281" s="19"/>
      <c r="P281" s="19"/>
      <c r="Q281" s="91"/>
      <c r="R281" s="91"/>
      <c r="S281" s="19"/>
    </row>
    <row r="282" spans="1:19" ht="15.75" customHeight="1" x14ac:dyDescent="0.25">
      <c r="A282" s="84"/>
      <c r="B282" s="19"/>
      <c r="C282" s="92"/>
      <c r="D282" s="90"/>
      <c r="E282" s="86"/>
      <c r="F282" s="86"/>
      <c r="G282" s="86"/>
      <c r="H282" s="19"/>
      <c r="I282" s="19"/>
      <c r="J282" s="19"/>
      <c r="K282" s="19"/>
      <c r="L282" s="2"/>
      <c r="M282" s="19"/>
      <c r="N282" s="19"/>
      <c r="O282" s="19"/>
      <c r="P282" s="19"/>
      <c r="Q282" s="91"/>
      <c r="R282" s="91"/>
      <c r="S282" s="19"/>
    </row>
    <row r="283" spans="1:19" ht="15.75" customHeight="1" x14ac:dyDescent="0.25">
      <c r="A283" s="84"/>
      <c r="B283" s="19"/>
      <c r="C283" s="92"/>
      <c r="D283" s="90"/>
      <c r="E283" s="86"/>
      <c r="F283" s="86"/>
      <c r="G283" s="86"/>
      <c r="H283" s="19"/>
      <c r="I283" s="19"/>
      <c r="J283" s="19"/>
      <c r="K283" s="19"/>
      <c r="L283" s="2"/>
      <c r="M283" s="19"/>
      <c r="N283" s="19"/>
      <c r="O283" s="19"/>
      <c r="P283" s="19"/>
      <c r="Q283" s="91"/>
      <c r="R283" s="91"/>
      <c r="S283" s="19"/>
    </row>
    <row r="284" spans="1:19" ht="15.75" customHeight="1" x14ac:dyDescent="0.25">
      <c r="A284" s="84"/>
      <c r="B284" s="19"/>
      <c r="C284" s="92"/>
      <c r="D284" s="90"/>
      <c r="E284" s="86"/>
      <c r="F284" s="86"/>
      <c r="G284" s="86"/>
      <c r="H284" s="19"/>
      <c r="I284" s="19"/>
      <c r="J284" s="19"/>
      <c r="K284" s="19"/>
      <c r="L284" s="2"/>
      <c r="M284" s="19"/>
      <c r="N284" s="19"/>
      <c r="O284" s="19"/>
      <c r="P284" s="19"/>
      <c r="Q284" s="91"/>
      <c r="R284" s="91"/>
      <c r="S284" s="19"/>
    </row>
    <row r="285" spans="1:19" ht="15.75" customHeight="1" x14ac:dyDescent="0.25">
      <c r="A285" s="84"/>
      <c r="B285" s="19"/>
      <c r="C285" s="92"/>
      <c r="D285" s="90"/>
      <c r="E285" s="86"/>
      <c r="F285" s="86"/>
      <c r="G285" s="86"/>
      <c r="H285" s="19"/>
      <c r="I285" s="19"/>
      <c r="J285" s="19"/>
      <c r="K285" s="19"/>
      <c r="L285" s="2"/>
      <c r="M285" s="19"/>
      <c r="N285" s="19"/>
      <c r="O285" s="19"/>
      <c r="P285" s="19"/>
      <c r="Q285" s="91"/>
      <c r="R285" s="91"/>
      <c r="S285" s="19"/>
    </row>
    <row r="286" spans="1:19" ht="15.75" customHeight="1" x14ac:dyDescent="0.25">
      <c r="A286" s="84"/>
      <c r="B286" s="19"/>
      <c r="C286" s="92"/>
      <c r="D286" s="90"/>
      <c r="E286" s="86"/>
      <c r="F286" s="86"/>
      <c r="G286" s="86"/>
      <c r="H286" s="19"/>
      <c r="I286" s="19"/>
      <c r="J286" s="19"/>
      <c r="K286" s="19"/>
      <c r="L286" s="2"/>
      <c r="M286" s="19"/>
      <c r="N286" s="19"/>
      <c r="O286" s="19"/>
      <c r="P286" s="19"/>
      <c r="Q286" s="91"/>
      <c r="R286" s="91"/>
      <c r="S286" s="19"/>
    </row>
    <row r="287" spans="1:19" ht="15.75" customHeight="1" x14ac:dyDescent="0.25">
      <c r="A287" s="84"/>
      <c r="B287" s="19"/>
      <c r="C287" s="92"/>
      <c r="D287" s="90"/>
      <c r="E287" s="86"/>
      <c r="F287" s="86"/>
      <c r="G287" s="86"/>
      <c r="H287" s="19"/>
      <c r="I287" s="19"/>
      <c r="J287" s="19"/>
      <c r="K287" s="19"/>
      <c r="L287" s="2"/>
      <c r="M287" s="19"/>
      <c r="N287" s="19"/>
      <c r="O287" s="19"/>
      <c r="P287" s="19"/>
      <c r="Q287" s="91"/>
      <c r="R287" s="91"/>
      <c r="S287" s="19"/>
    </row>
    <row r="288" spans="1:19" ht="15.75" customHeight="1" x14ac:dyDescent="0.25">
      <c r="A288" s="84"/>
      <c r="B288" s="19"/>
      <c r="C288" s="92"/>
      <c r="D288" s="90"/>
      <c r="E288" s="86"/>
      <c r="F288" s="86"/>
      <c r="G288" s="86"/>
      <c r="H288" s="19"/>
      <c r="I288" s="19"/>
      <c r="J288" s="19"/>
      <c r="K288" s="19"/>
      <c r="L288" s="2"/>
      <c r="M288" s="19"/>
      <c r="N288" s="19"/>
      <c r="O288" s="19"/>
      <c r="P288" s="19"/>
      <c r="Q288" s="91"/>
      <c r="R288" s="91"/>
      <c r="S288" s="19"/>
    </row>
    <row r="289" spans="1:19" ht="15.75" customHeight="1" x14ac:dyDescent="0.25">
      <c r="A289" s="84"/>
      <c r="B289" s="19"/>
      <c r="C289" s="92"/>
      <c r="D289" s="90"/>
      <c r="E289" s="86"/>
      <c r="F289" s="86"/>
      <c r="G289" s="86"/>
      <c r="H289" s="19"/>
      <c r="I289" s="19"/>
      <c r="J289" s="19"/>
      <c r="K289" s="19"/>
      <c r="L289" s="2"/>
      <c r="M289" s="19"/>
      <c r="N289" s="19"/>
      <c r="O289" s="19"/>
      <c r="P289" s="19"/>
      <c r="Q289" s="91"/>
      <c r="R289" s="91"/>
      <c r="S289" s="19"/>
    </row>
    <row r="290" spans="1:19" ht="15.75" customHeight="1" x14ac:dyDescent="0.25">
      <c r="A290" s="84"/>
      <c r="B290" s="19"/>
      <c r="C290" s="92"/>
      <c r="D290" s="90"/>
      <c r="E290" s="86"/>
      <c r="F290" s="86"/>
      <c r="G290" s="86"/>
      <c r="H290" s="19"/>
      <c r="I290" s="19"/>
      <c r="J290" s="19"/>
      <c r="K290" s="19"/>
      <c r="L290" s="2"/>
      <c r="M290" s="19"/>
      <c r="N290" s="19"/>
      <c r="O290" s="19"/>
      <c r="P290" s="19"/>
      <c r="Q290" s="91"/>
      <c r="R290" s="91"/>
      <c r="S290" s="19"/>
    </row>
    <row r="291" spans="1:19" ht="15.75" customHeight="1" x14ac:dyDescent="0.25">
      <c r="A291" s="84"/>
      <c r="B291" s="19"/>
      <c r="C291" s="92"/>
      <c r="D291" s="90"/>
      <c r="E291" s="86"/>
      <c r="F291" s="86"/>
      <c r="G291" s="86"/>
      <c r="H291" s="19"/>
      <c r="I291" s="19"/>
      <c r="J291" s="19"/>
      <c r="K291" s="19"/>
      <c r="L291" s="2"/>
      <c r="M291" s="19"/>
      <c r="N291" s="19"/>
      <c r="O291" s="19"/>
      <c r="P291" s="19"/>
      <c r="Q291" s="91"/>
      <c r="R291" s="91"/>
      <c r="S291" s="19"/>
    </row>
    <row r="292" spans="1:19" ht="15.75" customHeight="1" x14ac:dyDescent="0.25">
      <c r="A292" s="84"/>
      <c r="B292" s="19"/>
      <c r="C292" s="92"/>
      <c r="D292" s="90"/>
      <c r="E292" s="86"/>
      <c r="F292" s="86"/>
      <c r="G292" s="86"/>
      <c r="H292" s="19"/>
      <c r="I292" s="19"/>
      <c r="J292" s="19"/>
      <c r="K292" s="19"/>
      <c r="L292" s="2"/>
      <c r="M292" s="19"/>
      <c r="N292" s="19"/>
      <c r="O292" s="19"/>
      <c r="P292" s="19"/>
      <c r="Q292" s="91"/>
      <c r="R292" s="91"/>
      <c r="S292" s="19"/>
    </row>
    <row r="293" spans="1:19" ht="15.75" customHeight="1" x14ac:dyDescent="0.25">
      <c r="A293" s="84"/>
      <c r="B293" s="19"/>
      <c r="C293" s="92"/>
      <c r="D293" s="90"/>
      <c r="E293" s="86"/>
      <c r="F293" s="86"/>
      <c r="G293" s="86"/>
      <c r="H293" s="19"/>
      <c r="I293" s="19"/>
      <c r="J293" s="19"/>
      <c r="K293" s="19"/>
      <c r="L293" s="2"/>
      <c r="M293" s="19"/>
      <c r="N293" s="19"/>
      <c r="O293" s="19"/>
      <c r="P293" s="19"/>
      <c r="Q293" s="91"/>
      <c r="R293" s="91"/>
      <c r="S293" s="19"/>
    </row>
    <row r="294" spans="1:19" ht="15.75" customHeight="1" x14ac:dyDescent="0.25">
      <c r="A294" s="84"/>
      <c r="B294" s="19"/>
      <c r="C294" s="92"/>
      <c r="D294" s="90"/>
      <c r="E294" s="86"/>
      <c r="F294" s="86"/>
      <c r="G294" s="86"/>
      <c r="H294" s="19"/>
      <c r="I294" s="19"/>
      <c r="J294" s="19"/>
      <c r="K294" s="19"/>
      <c r="L294" s="2"/>
      <c r="M294" s="19"/>
      <c r="N294" s="19"/>
      <c r="O294" s="19"/>
      <c r="P294" s="19"/>
      <c r="Q294" s="91"/>
      <c r="R294" s="91"/>
      <c r="S294" s="19"/>
    </row>
    <row r="295" spans="1:19" ht="15.75" customHeight="1" x14ac:dyDescent="0.25">
      <c r="A295" s="84"/>
      <c r="B295" s="19"/>
      <c r="C295" s="92"/>
      <c r="D295" s="90"/>
      <c r="E295" s="86"/>
      <c r="F295" s="86"/>
      <c r="G295" s="86"/>
      <c r="H295" s="19"/>
      <c r="I295" s="19"/>
      <c r="J295" s="19"/>
      <c r="K295" s="19"/>
      <c r="L295" s="2"/>
      <c r="M295" s="19"/>
      <c r="N295" s="19"/>
      <c r="O295" s="19"/>
      <c r="P295" s="19"/>
      <c r="Q295" s="91"/>
      <c r="R295" s="91"/>
      <c r="S295" s="19"/>
    </row>
    <row r="296" spans="1:19" ht="15.75" customHeight="1" x14ac:dyDescent="0.25">
      <c r="A296" s="84"/>
      <c r="B296" s="19"/>
      <c r="C296" s="92"/>
      <c r="D296" s="90"/>
      <c r="E296" s="86"/>
      <c r="F296" s="86"/>
      <c r="G296" s="86"/>
      <c r="H296" s="19"/>
      <c r="I296" s="19"/>
      <c r="J296" s="19"/>
      <c r="K296" s="19"/>
      <c r="L296" s="2"/>
      <c r="M296" s="19"/>
      <c r="N296" s="19"/>
      <c r="O296" s="19"/>
      <c r="P296" s="19"/>
      <c r="Q296" s="91"/>
      <c r="R296" s="91"/>
      <c r="S296" s="19"/>
    </row>
    <row r="297" spans="1:19" ht="15.75" customHeight="1" x14ac:dyDescent="0.25">
      <c r="A297" s="84"/>
      <c r="B297" s="19"/>
      <c r="C297" s="92"/>
      <c r="D297" s="90"/>
      <c r="E297" s="86"/>
      <c r="F297" s="86"/>
      <c r="G297" s="86"/>
      <c r="H297" s="19"/>
      <c r="I297" s="19"/>
      <c r="J297" s="19"/>
      <c r="K297" s="19"/>
      <c r="L297" s="2"/>
      <c r="M297" s="19"/>
      <c r="N297" s="19"/>
      <c r="O297" s="19"/>
      <c r="P297" s="19"/>
      <c r="Q297" s="91"/>
      <c r="R297" s="91"/>
      <c r="S297" s="19"/>
    </row>
    <row r="298" spans="1:19" ht="15.75" customHeight="1" x14ac:dyDescent="0.25">
      <c r="A298" s="84"/>
      <c r="B298" s="19"/>
      <c r="C298" s="92"/>
      <c r="D298" s="90"/>
      <c r="E298" s="86"/>
      <c r="F298" s="86"/>
      <c r="G298" s="86"/>
      <c r="H298" s="19"/>
      <c r="I298" s="19"/>
      <c r="J298" s="19"/>
      <c r="K298" s="19"/>
      <c r="L298" s="2"/>
      <c r="M298" s="19"/>
      <c r="N298" s="19"/>
      <c r="O298" s="19"/>
      <c r="P298" s="19"/>
      <c r="Q298" s="91"/>
      <c r="R298" s="91"/>
      <c r="S298" s="19"/>
    </row>
    <row r="299" spans="1:19" ht="15.75" customHeight="1" x14ac:dyDescent="0.25">
      <c r="A299" s="84"/>
      <c r="B299" s="19"/>
      <c r="C299" s="92"/>
      <c r="D299" s="90"/>
      <c r="E299" s="86"/>
      <c r="F299" s="86"/>
      <c r="G299" s="86"/>
      <c r="H299" s="19"/>
      <c r="I299" s="19"/>
      <c r="J299" s="19"/>
      <c r="K299" s="19"/>
      <c r="L299" s="2"/>
      <c r="M299" s="19"/>
      <c r="N299" s="19"/>
      <c r="O299" s="19"/>
      <c r="P299" s="19"/>
      <c r="Q299" s="91"/>
      <c r="R299" s="91"/>
      <c r="S299" s="19"/>
    </row>
    <row r="300" spans="1:19" ht="15.75" customHeight="1" x14ac:dyDescent="0.25">
      <c r="A300" s="84"/>
      <c r="B300" s="19"/>
      <c r="C300" s="92"/>
      <c r="D300" s="90"/>
      <c r="E300" s="86"/>
      <c r="F300" s="86"/>
      <c r="G300" s="86"/>
      <c r="H300" s="19"/>
      <c r="I300" s="19"/>
      <c r="J300" s="19"/>
      <c r="K300" s="19"/>
      <c r="L300" s="2"/>
      <c r="M300" s="19"/>
      <c r="N300" s="19"/>
      <c r="O300" s="19"/>
      <c r="P300" s="19"/>
      <c r="Q300" s="91"/>
      <c r="R300" s="91"/>
      <c r="S300" s="19"/>
    </row>
    <row r="301" spans="1:19" ht="15.75" customHeight="1" x14ac:dyDescent="0.25">
      <c r="A301" s="84"/>
      <c r="B301" s="19"/>
      <c r="C301" s="92"/>
      <c r="D301" s="90"/>
      <c r="E301" s="86"/>
      <c r="F301" s="86"/>
      <c r="G301" s="86"/>
      <c r="H301" s="19"/>
      <c r="I301" s="19"/>
      <c r="J301" s="19"/>
      <c r="K301" s="19"/>
      <c r="L301" s="2"/>
      <c r="M301" s="19"/>
      <c r="N301" s="19"/>
      <c r="O301" s="19"/>
      <c r="P301" s="19"/>
      <c r="Q301" s="91"/>
      <c r="R301" s="91"/>
      <c r="S301" s="19"/>
    </row>
    <row r="302" spans="1:19" ht="15.75" customHeight="1" x14ac:dyDescent="0.25">
      <c r="A302" s="84"/>
      <c r="B302" s="19"/>
      <c r="C302" s="92"/>
      <c r="D302" s="90"/>
      <c r="E302" s="86"/>
      <c r="F302" s="86"/>
      <c r="G302" s="86"/>
      <c r="H302" s="19"/>
      <c r="I302" s="19"/>
      <c r="J302" s="19"/>
      <c r="K302" s="19"/>
      <c r="L302" s="2"/>
      <c r="M302" s="19"/>
      <c r="N302" s="19"/>
      <c r="O302" s="19"/>
      <c r="P302" s="19"/>
      <c r="Q302" s="91"/>
      <c r="R302" s="91"/>
      <c r="S302" s="19"/>
    </row>
    <row r="303" spans="1:19" ht="15.75" customHeight="1" x14ac:dyDescent="0.25">
      <c r="A303" s="84"/>
      <c r="B303" s="19"/>
      <c r="C303" s="92"/>
      <c r="D303" s="90"/>
      <c r="E303" s="86"/>
      <c r="F303" s="86"/>
      <c r="G303" s="86"/>
      <c r="H303" s="19"/>
      <c r="I303" s="19"/>
      <c r="J303" s="19"/>
      <c r="K303" s="19"/>
      <c r="L303" s="2"/>
      <c r="M303" s="19"/>
      <c r="N303" s="19"/>
      <c r="O303" s="19"/>
      <c r="P303" s="19"/>
      <c r="Q303" s="91"/>
      <c r="R303" s="91"/>
      <c r="S303" s="19"/>
    </row>
    <row r="304" spans="1:19" ht="15.75" customHeight="1" x14ac:dyDescent="0.25">
      <c r="A304" s="84"/>
      <c r="B304" s="19"/>
      <c r="C304" s="92"/>
      <c r="D304" s="90"/>
      <c r="E304" s="86"/>
      <c r="F304" s="86"/>
      <c r="G304" s="86"/>
      <c r="H304" s="19"/>
      <c r="I304" s="19"/>
      <c r="J304" s="19"/>
      <c r="K304" s="19"/>
      <c r="L304" s="2"/>
      <c r="M304" s="19"/>
      <c r="N304" s="19"/>
      <c r="O304" s="19"/>
      <c r="P304" s="19"/>
      <c r="Q304" s="91"/>
      <c r="R304" s="91"/>
      <c r="S304" s="19"/>
    </row>
    <row r="305" spans="1:19" ht="15.75" customHeight="1" x14ac:dyDescent="0.25">
      <c r="A305" s="84"/>
      <c r="B305" s="19"/>
      <c r="C305" s="92"/>
      <c r="D305" s="90"/>
      <c r="E305" s="86"/>
      <c r="F305" s="86"/>
      <c r="G305" s="86"/>
      <c r="H305" s="19"/>
      <c r="I305" s="19"/>
      <c r="J305" s="19"/>
      <c r="K305" s="19"/>
      <c r="L305" s="2"/>
      <c r="M305" s="19"/>
      <c r="N305" s="19"/>
      <c r="O305" s="19"/>
      <c r="P305" s="19"/>
      <c r="Q305" s="91"/>
      <c r="R305" s="91"/>
      <c r="S305" s="19"/>
    </row>
    <row r="306" spans="1:19" ht="15.75" customHeight="1" x14ac:dyDescent="0.25">
      <c r="A306" s="84"/>
      <c r="B306" s="19"/>
      <c r="C306" s="92"/>
      <c r="D306" s="90"/>
      <c r="E306" s="86"/>
      <c r="F306" s="86"/>
      <c r="G306" s="86"/>
      <c r="H306" s="19"/>
      <c r="I306" s="19"/>
      <c r="J306" s="19"/>
      <c r="K306" s="19"/>
      <c r="L306" s="2"/>
      <c r="M306" s="19"/>
      <c r="N306" s="19"/>
      <c r="O306" s="19"/>
      <c r="P306" s="19"/>
      <c r="Q306" s="91"/>
      <c r="R306" s="91"/>
      <c r="S306" s="19"/>
    </row>
    <row r="307" spans="1:19" ht="15.75" customHeight="1" x14ac:dyDescent="0.25">
      <c r="A307" s="84"/>
      <c r="B307" s="19"/>
      <c r="C307" s="92"/>
      <c r="D307" s="90"/>
      <c r="E307" s="86"/>
      <c r="F307" s="86"/>
      <c r="G307" s="86"/>
      <c r="H307" s="19"/>
      <c r="I307" s="19"/>
      <c r="J307" s="19"/>
      <c r="K307" s="19"/>
      <c r="L307" s="2"/>
      <c r="M307" s="19"/>
      <c r="N307" s="19"/>
      <c r="O307" s="19"/>
      <c r="P307" s="19"/>
      <c r="Q307" s="91"/>
      <c r="R307" s="91"/>
      <c r="S307" s="19"/>
    </row>
    <row r="308" spans="1:19" ht="15.75" customHeight="1" x14ac:dyDescent="0.25">
      <c r="A308" s="84"/>
      <c r="B308" s="19"/>
      <c r="C308" s="92"/>
      <c r="D308" s="90"/>
      <c r="E308" s="86"/>
      <c r="F308" s="86"/>
      <c r="G308" s="86"/>
      <c r="H308" s="19"/>
      <c r="I308" s="19"/>
      <c r="J308" s="19"/>
      <c r="K308" s="19"/>
      <c r="L308" s="2"/>
      <c r="M308" s="19"/>
      <c r="N308" s="19"/>
      <c r="O308" s="19"/>
      <c r="P308" s="19"/>
      <c r="Q308" s="91"/>
      <c r="R308" s="91"/>
      <c r="S308" s="19"/>
    </row>
    <row r="309" spans="1:19" ht="15.75" customHeight="1" x14ac:dyDescent="0.25">
      <c r="A309" s="84"/>
      <c r="B309" s="19"/>
      <c r="C309" s="92"/>
      <c r="D309" s="90"/>
      <c r="E309" s="86"/>
      <c r="F309" s="86"/>
      <c r="G309" s="86"/>
      <c r="H309" s="19"/>
      <c r="I309" s="19"/>
      <c r="J309" s="19"/>
      <c r="K309" s="19"/>
      <c r="L309" s="2"/>
      <c r="M309" s="19"/>
      <c r="N309" s="19"/>
      <c r="O309" s="19"/>
      <c r="P309" s="19"/>
      <c r="Q309" s="91"/>
      <c r="R309" s="91"/>
      <c r="S309" s="19"/>
    </row>
    <row r="310" spans="1:19" ht="15.75" customHeight="1" x14ac:dyDescent="0.25">
      <c r="A310" s="84"/>
      <c r="B310" s="19"/>
      <c r="C310" s="92"/>
      <c r="D310" s="90"/>
      <c r="E310" s="86"/>
      <c r="F310" s="86"/>
      <c r="G310" s="86"/>
      <c r="H310" s="19"/>
      <c r="I310" s="19"/>
      <c r="J310" s="19"/>
      <c r="K310" s="19"/>
      <c r="L310" s="2"/>
      <c r="M310" s="19"/>
      <c r="N310" s="19"/>
      <c r="O310" s="19"/>
      <c r="P310" s="19"/>
      <c r="Q310" s="91"/>
      <c r="R310" s="91"/>
      <c r="S310" s="19"/>
    </row>
    <row r="311" spans="1:19" ht="15.75" customHeight="1" x14ac:dyDescent="0.25">
      <c r="A311" s="84"/>
      <c r="B311" s="19"/>
      <c r="C311" s="92"/>
      <c r="D311" s="90"/>
      <c r="E311" s="86"/>
      <c r="F311" s="86"/>
      <c r="G311" s="86"/>
      <c r="H311" s="19"/>
      <c r="I311" s="19"/>
      <c r="J311" s="19"/>
      <c r="K311" s="19"/>
      <c r="L311" s="2"/>
      <c r="M311" s="19"/>
      <c r="N311" s="19"/>
      <c r="O311" s="19"/>
      <c r="P311" s="19"/>
      <c r="Q311" s="91"/>
      <c r="R311" s="91"/>
      <c r="S311" s="19"/>
    </row>
    <row r="312" spans="1:19" ht="15.75" customHeight="1" x14ac:dyDescent="0.25">
      <c r="A312" s="84"/>
      <c r="B312" s="19"/>
      <c r="C312" s="92"/>
      <c r="D312" s="90"/>
      <c r="E312" s="86"/>
      <c r="F312" s="86"/>
      <c r="G312" s="86"/>
      <c r="H312" s="19"/>
      <c r="I312" s="19"/>
      <c r="J312" s="19"/>
      <c r="K312" s="19"/>
      <c r="L312" s="2"/>
      <c r="M312" s="19"/>
      <c r="N312" s="19"/>
      <c r="O312" s="19"/>
      <c r="P312" s="19"/>
      <c r="Q312" s="91"/>
      <c r="R312" s="91"/>
      <c r="S312" s="19"/>
    </row>
    <row r="313" spans="1:19" ht="15.75" customHeight="1" x14ac:dyDescent="0.25">
      <c r="A313" s="84"/>
      <c r="B313" s="19"/>
      <c r="C313" s="92"/>
      <c r="D313" s="90"/>
      <c r="E313" s="86"/>
      <c r="F313" s="86"/>
      <c r="G313" s="86"/>
      <c r="H313" s="19"/>
      <c r="I313" s="19"/>
      <c r="J313" s="19"/>
      <c r="K313" s="19"/>
      <c r="L313" s="2"/>
      <c r="M313" s="19"/>
      <c r="N313" s="19"/>
      <c r="O313" s="19"/>
      <c r="P313" s="19"/>
      <c r="Q313" s="91"/>
      <c r="R313" s="91"/>
      <c r="S313" s="19"/>
    </row>
    <row r="314" spans="1:19" ht="15.75" customHeight="1" x14ac:dyDescent="0.25">
      <c r="A314" s="84"/>
      <c r="B314" s="19"/>
      <c r="C314" s="92"/>
      <c r="D314" s="90"/>
      <c r="E314" s="86"/>
      <c r="F314" s="86"/>
      <c r="G314" s="86"/>
      <c r="H314" s="19"/>
      <c r="I314" s="19"/>
      <c r="J314" s="19"/>
      <c r="K314" s="19"/>
      <c r="L314" s="2"/>
      <c r="M314" s="19"/>
      <c r="N314" s="19"/>
      <c r="O314" s="19"/>
      <c r="P314" s="19"/>
      <c r="Q314" s="91"/>
      <c r="R314" s="91"/>
      <c r="S314" s="19"/>
    </row>
    <row r="315" spans="1:19" ht="15.75" customHeight="1" x14ac:dyDescent="0.25">
      <c r="A315" s="84"/>
      <c r="B315" s="19"/>
      <c r="C315" s="92"/>
      <c r="D315" s="90"/>
      <c r="E315" s="86"/>
      <c r="F315" s="86"/>
      <c r="G315" s="86"/>
      <c r="H315" s="19"/>
      <c r="I315" s="19"/>
      <c r="J315" s="19"/>
      <c r="K315" s="19"/>
      <c r="L315" s="2"/>
      <c r="M315" s="19"/>
      <c r="N315" s="19"/>
      <c r="O315" s="19"/>
      <c r="P315" s="19"/>
      <c r="Q315" s="91"/>
      <c r="R315" s="91"/>
      <c r="S315" s="19"/>
    </row>
    <row r="316" spans="1:19" ht="15.75" customHeight="1" x14ac:dyDescent="0.25">
      <c r="A316" s="84"/>
      <c r="B316" s="19"/>
      <c r="C316" s="92"/>
      <c r="D316" s="90"/>
      <c r="E316" s="86"/>
      <c r="F316" s="86"/>
      <c r="G316" s="86"/>
      <c r="H316" s="19"/>
      <c r="I316" s="19"/>
      <c r="J316" s="19"/>
      <c r="K316" s="19"/>
      <c r="L316" s="2"/>
      <c r="M316" s="19"/>
      <c r="N316" s="19"/>
      <c r="O316" s="19"/>
      <c r="P316" s="19"/>
      <c r="Q316" s="91"/>
      <c r="R316" s="91"/>
      <c r="S316" s="19"/>
    </row>
    <row r="317" spans="1:19" ht="15.75" customHeight="1" x14ac:dyDescent="0.25">
      <c r="A317" s="84"/>
      <c r="B317" s="19"/>
      <c r="C317" s="92"/>
      <c r="D317" s="90"/>
      <c r="E317" s="86"/>
      <c r="F317" s="86"/>
      <c r="G317" s="86"/>
      <c r="H317" s="19"/>
      <c r="I317" s="19"/>
      <c r="J317" s="19"/>
      <c r="K317" s="19"/>
      <c r="L317" s="2"/>
      <c r="M317" s="19"/>
      <c r="N317" s="19"/>
      <c r="O317" s="19"/>
      <c r="P317" s="19"/>
      <c r="Q317" s="91"/>
      <c r="R317" s="91"/>
      <c r="S317" s="19"/>
    </row>
    <row r="318" spans="1:19" ht="15.75" customHeight="1" x14ac:dyDescent="0.25">
      <c r="A318" s="84"/>
      <c r="B318" s="19"/>
      <c r="C318" s="92"/>
      <c r="D318" s="90"/>
      <c r="E318" s="86"/>
      <c r="F318" s="86"/>
      <c r="G318" s="86"/>
      <c r="H318" s="19"/>
      <c r="I318" s="19"/>
      <c r="J318" s="19"/>
      <c r="K318" s="19"/>
      <c r="L318" s="2"/>
      <c r="M318" s="19"/>
      <c r="N318" s="19"/>
      <c r="O318" s="19"/>
      <c r="P318" s="19"/>
      <c r="Q318" s="91"/>
      <c r="R318" s="91"/>
      <c r="S318" s="19"/>
    </row>
    <row r="319" spans="1:19" ht="15.75" customHeight="1" x14ac:dyDescent="0.25">
      <c r="A319" s="84"/>
      <c r="B319" s="19"/>
      <c r="C319" s="92"/>
      <c r="D319" s="90"/>
      <c r="E319" s="86"/>
      <c r="F319" s="86"/>
      <c r="G319" s="86"/>
      <c r="H319" s="19"/>
      <c r="I319" s="19"/>
      <c r="J319" s="19"/>
      <c r="K319" s="19"/>
      <c r="L319" s="2"/>
      <c r="M319" s="19"/>
      <c r="N319" s="19"/>
      <c r="O319" s="19"/>
      <c r="P319" s="19"/>
      <c r="Q319" s="91"/>
      <c r="R319" s="91"/>
      <c r="S319" s="19"/>
    </row>
    <row r="320" spans="1:19" ht="15.75" customHeight="1" x14ac:dyDescent="0.25">
      <c r="A320" s="84"/>
      <c r="B320" s="19"/>
      <c r="C320" s="92"/>
      <c r="D320" s="90"/>
      <c r="E320" s="86"/>
      <c r="F320" s="86"/>
      <c r="G320" s="86"/>
      <c r="H320" s="19"/>
      <c r="I320" s="19"/>
      <c r="J320" s="19"/>
      <c r="K320" s="19"/>
      <c r="L320" s="2"/>
      <c r="M320" s="19"/>
      <c r="N320" s="19"/>
      <c r="O320" s="19"/>
      <c r="P320" s="19"/>
      <c r="Q320" s="91"/>
      <c r="R320" s="91"/>
      <c r="S320" s="19"/>
    </row>
    <row r="321" spans="1:19" ht="15.75" customHeight="1" x14ac:dyDescent="0.25">
      <c r="A321" s="84"/>
      <c r="B321" s="19"/>
      <c r="C321" s="92"/>
      <c r="D321" s="90"/>
      <c r="E321" s="86"/>
      <c r="F321" s="86"/>
      <c r="G321" s="86"/>
      <c r="H321" s="19"/>
      <c r="I321" s="19"/>
      <c r="J321" s="19"/>
      <c r="K321" s="19"/>
      <c r="L321" s="2"/>
      <c r="M321" s="19"/>
      <c r="N321" s="19"/>
      <c r="O321" s="19"/>
      <c r="P321" s="19"/>
      <c r="Q321" s="91"/>
      <c r="R321" s="91"/>
      <c r="S321" s="19"/>
    </row>
    <row r="322" spans="1:19" ht="15.75" customHeight="1" x14ac:dyDescent="0.25">
      <c r="A322" s="84"/>
      <c r="B322" s="19"/>
      <c r="C322" s="92"/>
      <c r="D322" s="90"/>
      <c r="E322" s="86"/>
      <c r="F322" s="86"/>
      <c r="G322" s="86"/>
      <c r="H322" s="19"/>
      <c r="I322" s="19"/>
      <c r="J322" s="19"/>
      <c r="K322" s="19"/>
      <c r="L322" s="2"/>
      <c r="M322" s="19"/>
      <c r="N322" s="19"/>
      <c r="O322" s="19"/>
      <c r="P322" s="19"/>
      <c r="Q322" s="91"/>
      <c r="R322" s="91"/>
      <c r="S322" s="19"/>
    </row>
    <row r="323" spans="1:19" ht="15.75" customHeight="1" x14ac:dyDescent="0.25">
      <c r="A323" s="84"/>
      <c r="B323" s="19"/>
      <c r="C323" s="92"/>
      <c r="D323" s="90"/>
      <c r="E323" s="86"/>
      <c r="F323" s="86"/>
      <c r="G323" s="86"/>
      <c r="H323" s="19"/>
      <c r="I323" s="19"/>
      <c r="J323" s="19"/>
      <c r="K323" s="19"/>
      <c r="L323" s="2"/>
      <c r="M323" s="19"/>
      <c r="N323" s="19"/>
      <c r="O323" s="19"/>
      <c r="P323" s="19"/>
      <c r="Q323" s="91"/>
      <c r="R323" s="91"/>
      <c r="S323" s="19"/>
    </row>
    <row r="324" spans="1:19" ht="15.75" customHeight="1" x14ac:dyDescent="0.25">
      <c r="A324" s="84"/>
      <c r="B324" s="19"/>
      <c r="C324" s="92"/>
      <c r="D324" s="90"/>
      <c r="E324" s="86"/>
      <c r="F324" s="86"/>
      <c r="G324" s="86"/>
      <c r="H324" s="19"/>
      <c r="I324" s="19"/>
      <c r="J324" s="19"/>
      <c r="K324" s="19"/>
      <c r="L324" s="2"/>
      <c r="M324" s="19"/>
      <c r="N324" s="19"/>
      <c r="O324" s="19"/>
      <c r="P324" s="19"/>
      <c r="Q324" s="91"/>
      <c r="R324" s="91"/>
      <c r="S324" s="19"/>
    </row>
    <row r="325" spans="1:19" ht="15.75" customHeight="1" x14ac:dyDescent="0.25">
      <c r="A325" s="84"/>
      <c r="B325" s="19"/>
      <c r="C325" s="92"/>
      <c r="D325" s="90"/>
      <c r="E325" s="86"/>
      <c r="F325" s="86"/>
      <c r="G325" s="86"/>
      <c r="H325" s="19"/>
      <c r="I325" s="19"/>
      <c r="J325" s="19"/>
      <c r="K325" s="19"/>
      <c r="L325" s="2"/>
      <c r="M325" s="19"/>
      <c r="N325" s="19"/>
      <c r="O325" s="19"/>
      <c r="P325" s="19"/>
      <c r="Q325" s="91"/>
      <c r="R325" s="91"/>
      <c r="S325" s="19"/>
    </row>
    <row r="326" spans="1:19" ht="15.75" customHeight="1" x14ac:dyDescent="0.25">
      <c r="A326" s="84"/>
      <c r="B326" s="19"/>
      <c r="C326" s="92"/>
      <c r="D326" s="90"/>
      <c r="E326" s="86"/>
      <c r="F326" s="86"/>
      <c r="G326" s="86"/>
      <c r="H326" s="19"/>
      <c r="I326" s="19"/>
      <c r="J326" s="19"/>
      <c r="K326" s="19"/>
      <c r="L326" s="2"/>
      <c r="M326" s="19"/>
      <c r="N326" s="19"/>
      <c r="O326" s="19"/>
      <c r="P326" s="19"/>
      <c r="Q326" s="91"/>
      <c r="R326" s="91"/>
      <c r="S326" s="19"/>
    </row>
    <row r="327" spans="1:19" ht="15.75" customHeight="1" x14ac:dyDescent="0.25">
      <c r="A327" s="84"/>
      <c r="B327" s="19"/>
      <c r="C327" s="92"/>
      <c r="D327" s="90"/>
      <c r="E327" s="86"/>
      <c r="F327" s="86"/>
      <c r="G327" s="86"/>
      <c r="H327" s="19"/>
      <c r="I327" s="19"/>
      <c r="J327" s="19"/>
      <c r="K327" s="19"/>
      <c r="L327" s="2"/>
      <c r="M327" s="19"/>
      <c r="N327" s="19"/>
      <c r="O327" s="19"/>
      <c r="P327" s="19"/>
      <c r="Q327" s="91"/>
      <c r="R327" s="91"/>
      <c r="S327" s="19"/>
    </row>
    <row r="328" spans="1:19" ht="15.75" customHeight="1" x14ac:dyDescent="0.25">
      <c r="A328" s="84"/>
      <c r="B328" s="19"/>
      <c r="C328" s="92"/>
      <c r="D328" s="90"/>
      <c r="E328" s="86"/>
      <c r="F328" s="86"/>
      <c r="G328" s="86"/>
      <c r="H328" s="19"/>
      <c r="I328" s="19"/>
      <c r="J328" s="19"/>
      <c r="K328" s="19"/>
      <c r="L328" s="2"/>
      <c r="M328" s="19"/>
      <c r="N328" s="19"/>
      <c r="O328" s="19"/>
      <c r="P328" s="19"/>
      <c r="Q328" s="91"/>
      <c r="R328" s="91"/>
      <c r="S328" s="19"/>
    </row>
    <row r="329" spans="1:19" ht="15.75" customHeight="1" x14ac:dyDescent="0.25">
      <c r="A329" s="84"/>
      <c r="B329" s="19"/>
      <c r="C329" s="92"/>
      <c r="D329" s="90"/>
      <c r="E329" s="86"/>
      <c r="F329" s="86"/>
      <c r="G329" s="86"/>
      <c r="H329" s="19"/>
      <c r="I329" s="19"/>
      <c r="J329" s="19"/>
      <c r="K329" s="19"/>
      <c r="L329" s="2"/>
      <c r="M329" s="19"/>
      <c r="N329" s="19"/>
      <c r="O329" s="19"/>
      <c r="P329" s="19"/>
      <c r="Q329" s="91"/>
      <c r="R329" s="91"/>
      <c r="S329" s="19"/>
    </row>
    <row r="330" spans="1:19" ht="15.75" customHeight="1" x14ac:dyDescent="0.25">
      <c r="A330" s="84"/>
      <c r="B330" s="19"/>
      <c r="C330" s="92"/>
      <c r="D330" s="90"/>
      <c r="E330" s="86"/>
      <c r="F330" s="86"/>
      <c r="G330" s="86"/>
      <c r="H330" s="19"/>
      <c r="I330" s="19"/>
      <c r="J330" s="19"/>
      <c r="K330" s="19"/>
      <c r="L330" s="2"/>
      <c r="M330" s="19"/>
      <c r="N330" s="19"/>
      <c r="O330" s="19"/>
      <c r="P330" s="19"/>
      <c r="Q330" s="91"/>
      <c r="R330" s="91"/>
      <c r="S330" s="19"/>
    </row>
    <row r="331" spans="1:19" ht="15.75" customHeight="1" x14ac:dyDescent="0.25">
      <c r="A331" s="84"/>
      <c r="B331" s="19"/>
      <c r="C331" s="92"/>
      <c r="D331" s="90"/>
      <c r="E331" s="86"/>
      <c r="F331" s="86"/>
      <c r="G331" s="86"/>
      <c r="H331" s="19"/>
      <c r="I331" s="19"/>
      <c r="J331" s="19"/>
      <c r="K331" s="19"/>
      <c r="L331" s="2"/>
      <c r="M331" s="19"/>
      <c r="N331" s="19"/>
      <c r="O331" s="19"/>
      <c r="P331" s="19"/>
      <c r="Q331" s="91"/>
      <c r="R331" s="91"/>
      <c r="S331" s="19"/>
    </row>
    <row r="332" spans="1:19" ht="15.75" customHeight="1" x14ac:dyDescent="0.25">
      <c r="A332" s="84"/>
      <c r="B332" s="19"/>
      <c r="C332" s="92"/>
      <c r="D332" s="90"/>
      <c r="E332" s="86"/>
      <c r="F332" s="86"/>
      <c r="G332" s="86"/>
      <c r="H332" s="19"/>
      <c r="I332" s="19"/>
      <c r="J332" s="19"/>
      <c r="K332" s="19"/>
      <c r="L332" s="2"/>
      <c r="M332" s="19"/>
      <c r="N332" s="19"/>
      <c r="O332" s="19"/>
      <c r="P332" s="19"/>
      <c r="Q332" s="91"/>
      <c r="R332" s="91"/>
      <c r="S332" s="19"/>
    </row>
    <row r="333" spans="1:19" ht="15.75" customHeight="1" x14ac:dyDescent="0.25">
      <c r="A333" s="84"/>
      <c r="B333" s="19"/>
      <c r="C333" s="92"/>
      <c r="D333" s="90"/>
      <c r="E333" s="86"/>
      <c r="F333" s="86"/>
      <c r="G333" s="86"/>
      <c r="H333" s="19"/>
      <c r="I333" s="19"/>
      <c r="J333" s="19"/>
      <c r="K333" s="19"/>
      <c r="L333" s="2"/>
      <c r="M333" s="19"/>
      <c r="N333" s="19"/>
      <c r="O333" s="19"/>
      <c r="P333" s="19"/>
      <c r="Q333" s="91"/>
      <c r="R333" s="91"/>
      <c r="S333" s="19"/>
    </row>
    <row r="334" spans="1:19" ht="15.75" customHeight="1" x14ac:dyDescent="0.25">
      <c r="A334" s="84"/>
      <c r="B334" s="19"/>
      <c r="C334" s="92"/>
      <c r="D334" s="90"/>
      <c r="E334" s="86"/>
      <c r="F334" s="86"/>
      <c r="G334" s="86"/>
      <c r="H334" s="19"/>
      <c r="I334" s="19"/>
      <c r="J334" s="19"/>
      <c r="K334" s="19"/>
      <c r="L334" s="2"/>
      <c r="M334" s="19"/>
      <c r="N334" s="19"/>
      <c r="O334" s="19"/>
      <c r="P334" s="19"/>
      <c r="Q334" s="91"/>
      <c r="R334" s="91"/>
      <c r="S334" s="19"/>
    </row>
    <row r="335" spans="1:19" ht="15.75" customHeight="1" x14ac:dyDescent="0.25">
      <c r="A335" s="84"/>
      <c r="B335" s="19"/>
      <c r="C335" s="92"/>
      <c r="D335" s="90"/>
      <c r="E335" s="86"/>
      <c r="F335" s="86"/>
      <c r="G335" s="86"/>
      <c r="H335" s="19"/>
      <c r="I335" s="19"/>
      <c r="J335" s="19"/>
      <c r="K335" s="19"/>
      <c r="L335" s="2"/>
      <c r="M335" s="19"/>
      <c r="N335" s="19"/>
      <c r="O335" s="19"/>
      <c r="P335" s="19"/>
      <c r="Q335" s="91"/>
      <c r="R335" s="91"/>
      <c r="S335" s="19"/>
    </row>
    <row r="336" spans="1:19" ht="15.75" customHeight="1" x14ac:dyDescent="0.25">
      <c r="A336" s="84"/>
      <c r="B336" s="19"/>
      <c r="C336" s="92"/>
      <c r="D336" s="90"/>
      <c r="E336" s="86"/>
      <c r="F336" s="86"/>
      <c r="G336" s="86"/>
      <c r="H336" s="19"/>
      <c r="I336" s="19"/>
      <c r="J336" s="19"/>
      <c r="K336" s="19"/>
      <c r="L336" s="2"/>
      <c r="M336" s="19"/>
      <c r="N336" s="19"/>
      <c r="O336" s="19"/>
      <c r="P336" s="19"/>
      <c r="Q336" s="91"/>
      <c r="R336" s="91"/>
      <c r="S336" s="19"/>
    </row>
    <row r="337" spans="1:19" ht="15.75" customHeight="1" x14ac:dyDescent="0.25">
      <c r="A337" s="84"/>
      <c r="B337" s="19"/>
      <c r="C337" s="92"/>
      <c r="D337" s="90"/>
      <c r="E337" s="86"/>
      <c r="F337" s="86"/>
      <c r="G337" s="86"/>
      <c r="H337" s="19"/>
      <c r="I337" s="19"/>
      <c r="J337" s="19"/>
      <c r="K337" s="19"/>
      <c r="L337" s="2"/>
      <c r="M337" s="19"/>
      <c r="N337" s="19"/>
      <c r="O337" s="19"/>
      <c r="P337" s="19"/>
      <c r="Q337" s="91"/>
      <c r="R337" s="91"/>
      <c r="S337" s="19"/>
    </row>
    <row r="338" spans="1:19" ht="15.75" customHeight="1" x14ac:dyDescent="0.25">
      <c r="A338" s="84"/>
      <c r="B338" s="19"/>
      <c r="C338" s="92"/>
      <c r="D338" s="90"/>
      <c r="E338" s="86"/>
      <c r="F338" s="86"/>
      <c r="G338" s="86"/>
      <c r="H338" s="19"/>
      <c r="I338" s="19"/>
      <c r="J338" s="19"/>
      <c r="K338" s="19"/>
      <c r="L338" s="2"/>
      <c r="M338" s="19"/>
      <c r="N338" s="19"/>
      <c r="O338" s="19"/>
      <c r="P338" s="19"/>
      <c r="Q338" s="91"/>
      <c r="R338" s="91"/>
      <c r="S338" s="19"/>
    </row>
    <row r="339" spans="1:19" ht="15.75" customHeight="1" x14ac:dyDescent="0.25">
      <c r="A339" s="84"/>
      <c r="B339" s="19"/>
      <c r="C339" s="92"/>
      <c r="D339" s="90"/>
      <c r="E339" s="86"/>
      <c r="F339" s="86"/>
      <c r="G339" s="86"/>
      <c r="H339" s="19"/>
      <c r="I339" s="19"/>
      <c r="J339" s="19"/>
      <c r="K339" s="19"/>
      <c r="L339" s="2"/>
      <c r="M339" s="19"/>
      <c r="N339" s="19"/>
      <c r="O339" s="19"/>
      <c r="P339" s="19"/>
      <c r="Q339" s="91"/>
      <c r="R339" s="91"/>
      <c r="S339" s="19"/>
    </row>
    <row r="340" spans="1:19" ht="15.75" customHeight="1" x14ac:dyDescent="0.25">
      <c r="A340" s="84"/>
      <c r="B340" s="19"/>
      <c r="C340" s="92"/>
      <c r="D340" s="90"/>
      <c r="E340" s="86"/>
      <c r="F340" s="86"/>
      <c r="G340" s="86"/>
      <c r="H340" s="19"/>
      <c r="I340" s="19"/>
      <c r="J340" s="19"/>
      <c r="K340" s="19"/>
      <c r="L340" s="2"/>
      <c r="M340" s="19"/>
      <c r="N340" s="19"/>
      <c r="O340" s="19"/>
      <c r="P340" s="19"/>
      <c r="Q340" s="91"/>
      <c r="R340" s="91"/>
      <c r="S340" s="19"/>
    </row>
    <row r="341" spans="1:19" ht="15.75" customHeight="1" x14ac:dyDescent="0.25">
      <c r="A341" s="84"/>
      <c r="B341" s="19"/>
      <c r="C341" s="92"/>
      <c r="D341" s="90"/>
      <c r="E341" s="86"/>
      <c r="F341" s="86"/>
      <c r="G341" s="86"/>
      <c r="H341" s="19"/>
      <c r="I341" s="19"/>
      <c r="J341" s="19"/>
      <c r="K341" s="19"/>
      <c r="L341" s="2"/>
      <c r="M341" s="19"/>
      <c r="N341" s="19"/>
      <c r="O341" s="19"/>
      <c r="P341" s="19"/>
      <c r="Q341" s="91"/>
      <c r="R341" s="91"/>
      <c r="S341" s="19"/>
    </row>
    <row r="342" spans="1:19" ht="15.75" customHeight="1" x14ac:dyDescent="0.25">
      <c r="A342" s="84"/>
      <c r="B342" s="19"/>
      <c r="C342" s="92"/>
      <c r="D342" s="90"/>
      <c r="E342" s="86"/>
      <c r="F342" s="86"/>
      <c r="G342" s="86"/>
      <c r="H342" s="19"/>
      <c r="I342" s="19"/>
      <c r="J342" s="19"/>
      <c r="K342" s="19"/>
      <c r="L342" s="2"/>
      <c r="M342" s="19"/>
      <c r="N342" s="19"/>
      <c r="O342" s="19"/>
      <c r="P342" s="19"/>
      <c r="Q342" s="91"/>
      <c r="R342" s="91"/>
      <c r="S342" s="19"/>
    </row>
    <row r="343" spans="1:19" ht="15.75" customHeight="1" x14ac:dyDescent="0.25">
      <c r="A343" s="84"/>
      <c r="B343" s="19"/>
      <c r="C343" s="92"/>
      <c r="D343" s="90"/>
      <c r="E343" s="86"/>
      <c r="F343" s="86"/>
      <c r="G343" s="86"/>
      <c r="H343" s="19"/>
      <c r="I343" s="19"/>
      <c r="J343" s="19"/>
      <c r="K343" s="19"/>
      <c r="L343" s="2"/>
      <c r="M343" s="19"/>
      <c r="N343" s="19"/>
      <c r="O343" s="19"/>
      <c r="P343" s="19"/>
      <c r="Q343" s="91"/>
      <c r="R343" s="91"/>
      <c r="S343" s="19"/>
    </row>
    <row r="344" spans="1:19" ht="15.75" customHeight="1" x14ac:dyDescent="0.25">
      <c r="A344" s="84"/>
      <c r="B344" s="19"/>
      <c r="C344" s="92"/>
      <c r="D344" s="90"/>
      <c r="E344" s="86"/>
      <c r="F344" s="86"/>
      <c r="G344" s="86"/>
      <c r="H344" s="19"/>
      <c r="I344" s="19"/>
      <c r="J344" s="19"/>
      <c r="K344" s="19"/>
      <c r="L344" s="2"/>
      <c r="M344" s="19"/>
      <c r="N344" s="19"/>
      <c r="O344" s="19"/>
      <c r="P344" s="19"/>
      <c r="Q344" s="91"/>
      <c r="R344" s="91"/>
      <c r="S344" s="19"/>
    </row>
    <row r="345" spans="1:19" ht="15.75" customHeight="1" x14ac:dyDescent="0.25">
      <c r="A345" s="84"/>
      <c r="B345" s="19"/>
      <c r="C345" s="92"/>
      <c r="D345" s="90"/>
      <c r="E345" s="86"/>
      <c r="F345" s="86"/>
      <c r="G345" s="86"/>
      <c r="H345" s="19"/>
      <c r="I345" s="19"/>
      <c r="J345" s="19"/>
      <c r="K345" s="19"/>
      <c r="L345" s="2"/>
      <c r="M345" s="19"/>
      <c r="N345" s="19"/>
      <c r="O345" s="19"/>
      <c r="P345" s="19"/>
      <c r="Q345" s="91"/>
      <c r="R345" s="91"/>
      <c r="S345" s="19"/>
    </row>
    <row r="346" spans="1:19" ht="15.75" customHeight="1" x14ac:dyDescent="0.25">
      <c r="A346" s="84"/>
      <c r="B346" s="19"/>
      <c r="C346" s="92"/>
      <c r="D346" s="90"/>
      <c r="E346" s="86"/>
      <c r="F346" s="86"/>
      <c r="G346" s="86"/>
      <c r="H346" s="19"/>
      <c r="I346" s="19"/>
      <c r="J346" s="19"/>
      <c r="K346" s="19"/>
      <c r="L346" s="2"/>
      <c r="M346" s="19"/>
      <c r="N346" s="19"/>
      <c r="O346" s="19"/>
      <c r="P346" s="19"/>
      <c r="Q346" s="91"/>
      <c r="R346" s="91"/>
      <c r="S346" s="19"/>
    </row>
    <row r="347" spans="1:19" ht="15.75" customHeight="1" x14ac:dyDescent="0.25">
      <c r="A347" s="84"/>
      <c r="B347" s="19"/>
      <c r="C347" s="92"/>
      <c r="D347" s="90"/>
      <c r="E347" s="86"/>
      <c r="F347" s="86"/>
      <c r="G347" s="86"/>
      <c r="H347" s="19"/>
      <c r="I347" s="19"/>
      <c r="J347" s="19"/>
      <c r="K347" s="19"/>
      <c r="L347" s="2"/>
      <c r="M347" s="19"/>
      <c r="N347" s="19"/>
      <c r="O347" s="19"/>
      <c r="P347" s="19"/>
      <c r="Q347" s="91"/>
      <c r="R347" s="91"/>
      <c r="S347" s="19"/>
    </row>
    <row r="348" spans="1:19" ht="15.75" customHeight="1" x14ac:dyDescent="0.25">
      <c r="A348" s="84"/>
      <c r="B348" s="19"/>
      <c r="C348" s="92"/>
      <c r="D348" s="90"/>
      <c r="E348" s="86"/>
      <c r="F348" s="86"/>
      <c r="G348" s="86"/>
      <c r="H348" s="19"/>
      <c r="I348" s="19"/>
      <c r="J348" s="19"/>
      <c r="K348" s="19"/>
      <c r="L348" s="2"/>
      <c r="M348" s="19"/>
      <c r="N348" s="19"/>
      <c r="O348" s="19"/>
      <c r="P348" s="19"/>
      <c r="Q348" s="91"/>
      <c r="R348" s="91"/>
      <c r="S348" s="19"/>
    </row>
    <row r="349" spans="1:19" ht="15.75" customHeight="1" x14ac:dyDescent="0.25">
      <c r="A349" s="84"/>
      <c r="B349" s="19"/>
      <c r="C349" s="92"/>
      <c r="D349" s="90"/>
      <c r="E349" s="86"/>
      <c r="F349" s="86"/>
      <c r="G349" s="86"/>
      <c r="H349" s="19"/>
      <c r="I349" s="19"/>
      <c r="J349" s="19"/>
      <c r="K349" s="19"/>
      <c r="L349" s="2"/>
      <c r="M349" s="19"/>
      <c r="N349" s="19"/>
      <c r="O349" s="19"/>
      <c r="P349" s="19"/>
      <c r="Q349" s="91"/>
      <c r="R349" s="91"/>
      <c r="S349" s="19"/>
    </row>
    <row r="350" spans="1:19" ht="15.75" customHeight="1" x14ac:dyDescent="0.25">
      <c r="A350" s="84"/>
      <c r="B350" s="19"/>
      <c r="C350" s="92"/>
      <c r="D350" s="90"/>
      <c r="E350" s="86"/>
      <c r="F350" s="86"/>
      <c r="G350" s="86"/>
      <c r="H350" s="19"/>
      <c r="I350" s="19"/>
      <c r="J350" s="19"/>
      <c r="K350" s="19"/>
      <c r="L350" s="2"/>
      <c r="M350" s="19"/>
      <c r="N350" s="19"/>
      <c r="O350" s="19"/>
      <c r="P350" s="19"/>
      <c r="Q350" s="91"/>
      <c r="R350" s="91"/>
      <c r="S350" s="19"/>
    </row>
    <row r="351" spans="1:19" ht="15.75" customHeight="1" x14ac:dyDescent="0.25">
      <c r="A351" s="84"/>
      <c r="B351" s="19"/>
      <c r="C351" s="92"/>
      <c r="D351" s="90"/>
      <c r="E351" s="86"/>
      <c r="F351" s="86"/>
      <c r="G351" s="86"/>
      <c r="H351" s="19"/>
      <c r="I351" s="19"/>
      <c r="J351" s="19"/>
      <c r="K351" s="19"/>
      <c r="L351" s="2"/>
      <c r="M351" s="19"/>
      <c r="N351" s="19"/>
      <c r="O351" s="19"/>
      <c r="P351" s="19"/>
      <c r="Q351" s="91"/>
      <c r="R351" s="91"/>
      <c r="S351" s="19"/>
    </row>
    <row r="352" spans="1:19" ht="15.75" customHeight="1" x14ac:dyDescent="0.25">
      <c r="A352" s="84"/>
      <c r="B352" s="19"/>
      <c r="C352" s="92"/>
      <c r="D352" s="90"/>
      <c r="E352" s="86"/>
      <c r="F352" s="86"/>
      <c r="G352" s="86"/>
      <c r="H352" s="19"/>
      <c r="I352" s="19"/>
      <c r="J352" s="19"/>
      <c r="K352" s="19"/>
      <c r="L352" s="2"/>
      <c r="M352" s="19"/>
      <c r="N352" s="19"/>
      <c r="O352" s="19"/>
      <c r="P352" s="19"/>
      <c r="Q352" s="91"/>
      <c r="R352" s="91"/>
      <c r="S352" s="19"/>
    </row>
    <row r="353" spans="1:19" ht="15.75" customHeight="1" x14ac:dyDescent="0.25">
      <c r="A353" s="84"/>
      <c r="B353" s="19"/>
      <c r="C353" s="92"/>
      <c r="D353" s="90"/>
      <c r="E353" s="86"/>
      <c r="F353" s="86"/>
      <c r="G353" s="86"/>
      <c r="H353" s="19"/>
      <c r="I353" s="19"/>
      <c r="J353" s="19"/>
      <c r="K353" s="19"/>
      <c r="L353" s="2"/>
      <c r="M353" s="19"/>
      <c r="N353" s="19"/>
      <c r="O353" s="19"/>
      <c r="P353" s="19"/>
      <c r="Q353" s="91"/>
      <c r="R353" s="91"/>
      <c r="S353" s="19"/>
    </row>
    <row r="354" spans="1:19" ht="15.75" customHeight="1" x14ac:dyDescent="0.25">
      <c r="A354" s="84"/>
      <c r="B354" s="19"/>
      <c r="C354" s="92"/>
      <c r="D354" s="90"/>
      <c r="E354" s="86"/>
      <c r="F354" s="86"/>
      <c r="G354" s="86"/>
      <c r="H354" s="19"/>
      <c r="I354" s="19"/>
      <c r="J354" s="19"/>
      <c r="K354" s="19"/>
      <c r="L354" s="2"/>
      <c r="M354" s="19"/>
      <c r="N354" s="19"/>
      <c r="O354" s="19"/>
      <c r="P354" s="19"/>
      <c r="Q354" s="91"/>
      <c r="R354" s="91"/>
      <c r="S354" s="19"/>
    </row>
    <row r="355" spans="1:19" ht="15.75" customHeight="1" x14ac:dyDescent="0.25">
      <c r="A355" s="84"/>
      <c r="B355" s="19"/>
      <c r="C355" s="92"/>
      <c r="D355" s="90"/>
      <c r="E355" s="86"/>
      <c r="F355" s="86"/>
      <c r="G355" s="86"/>
      <c r="H355" s="19"/>
      <c r="I355" s="19"/>
      <c r="J355" s="19"/>
      <c r="K355" s="19"/>
      <c r="L355" s="2"/>
      <c r="M355" s="19"/>
      <c r="N355" s="19"/>
      <c r="O355" s="19"/>
      <c r="P355" s="19"/>
      <c r="Q355" s="91"/>
      <c r="R355" s="91"/>
      <c r="S355" s="19"/>
    </row>
    <row r="356" spans="1:19" ht="15.75" customHeight="1" x14ac:dyDescent="0.25">
      <c r="A356" s="84"/>
      <c r="B356" s="19"/>
      <c r="C356" s="92"/>
      <c r="D356" s="90"/>
      <c r="E356" s="86"/>
      <c r="F356" s="86"/>
      <c r="G356" s="86"/>
      <c r="H356" s="19"/>
      <c r="I356" s="19"/>
      <c r="J356" s="19"/>
      <c r="K356" s="19"/>
      <c r="L356" s="2"/>
      <c r="M356" s="19"/>
      <c r="N356" s="19"/>
      <c r="O356" s="19"/>
      <c r="P356" s="19"/>
      <c r="Q356" s="91"/>
      <c r="R356" s="91"/>
      <c r="S356" s="19"/>
    </row>
    <row r="357" spans="1:19" ht="15.75" customHeight="1" x14ac:dyDescent="0.25">
      <c r="A357" s="84"/>
      <c r="B357" s="19"/>
      <c r="C357" s="92"/>
      <c r="D357" s="90"/>
      <c r="E357" s="86"/>
      <c r="F357" s="86"/>
      <c r="G357" s="86"/>
      <c r="H357" s="19"/>
      <c r="I357" s="19"/>
      <c r="J357" s="19"/>
      <c r="K357" s="19"/>
      <c r="L357" s="2"/>
      <c r="M357" s="19"/>
      <c r="N357" s="19"/>
      <c r="O357" s="19"/>
      <c r="P357" s="19"/>
      <c r="Q357" s="91"/>
      <c r="R357" s="91"/>
      <c r="S357" s="19"/>
    </row>
    <row r="358" spans="1:19" ht="15.75" customHeight="1" x14ac:dyDescent="0.25">
      <c r="A358" s="84"/>
      <c r="B358" s="19"/>
      <c r="C358" s="92"/>
      <c r="D358" s="90"/>
      <c r="E358" s="86"/>
      <c r="F358" s="86"/>
      <c r="G358" s="86"/>
      <c r="H358" s="19"/>
      <c r="I358" s="19"/>
      <c r="J358" s="19"/>
      <c r="K358" s="19"/>
      <c r="L358" s="2"/>
      <c r="M358" s="19"/>
      <c r="N358" s="19"/>
      <c r="O358" s="19"/>
      <c r="P358" s="19"/>
      <c r="Q358" s="91"/>
      <c r="R358" s="91"/>
      <c r="S358" s="19"/>
    </row>
    <row r="359" spans="1:19" ht="15.75" customHeight="1" x14ac:dyDescent="0.25">
      <c r="A359" s="84"/>
      <c r="B359" s="19"/>
      <c r="C359" s="92"/>
      <c r="D359" s="90"/>
      <c r="E359" s="86"/>
      <c r="F359" s="86"/>
      <c r="G359" s="86"/>
      <c r="H359" s="19"/>
      <c r="I359" s="19"/>
      <c r="J359" s="19"/>
      <c r="K359" s="19"/>
      <c r="L359" s="2"/>
      <c r="M359" s="19"/>
      <c r="N359" s="19"/>
      <c r="O359" s="19"/>
      <c r="P359" s="19"/>
      <c r="Q359" s="91"/>
      <c r="R359" s="91"/>
      <c r="S359" s="19"/>
    </row>
    <row r="360" spans="1:19" ht="15.75" customHeight="1" x14ac:dyDescent="0.25">
      <c r="A360" s="84"/>
      <c r="B360" s="19"/>
      <c r="C360" s="92"/>
      <c r="D360" s="90"/>
      <c r="E360" s="86"/>
      <c r="F360" s="86"/>
      <c r="G360" s="86"/>
      <c r="H360" s="19"/>
      <c r="I360" s="19"/>
      <c r="J360" s="19"/>
      <c r="K360" s="19"/>
      <c r="L360" s="2"/>
      <c r="M360" s="19"/>
      <c r="N360" s="19"/>
      <c r="O360" s="19"/>
      <c r="P360" s="19"/>
      <c r="Q360" s="91"/>
      <c r="R360" s="91"/>
      <c r="S360" s="19"/>
    </row>
    <row r="361" spans="1:19" ht="15.75" customHeight="1" x14ac:dyDescent="0.25">
      <c r="A361" s="84"/>
      <c r="B361" s="19"/>
      <c r="C361" s="92"/>
      <c r="D361" s="90"/>
      <c r="E361" s="86"/>
      <c r="F361" s="86"/>
      <c r="G361" s="86"/>
      <c r="H361" s="19"/>
      <c r="I361" s="19"/>
      <c r="J361" s="19"/>
      <c r="K361" s="19"/>
      <c r="L361" s="2"/>
      <c r="M361" s="19"/>
      <c r="N361" s="19"/>
      <c r="O361" s="19"/>
      <c r="P361" s="19"/>
      <c r="Q361" s="91"/>
      <c r="R361" s="91"/>
      <c r="S361" s="19"/>
    </row>
    <row r="362" spans="1:19" ht="15.75" customHeight="1" x14ac:dyDescent="0.25">
      <c r="A362" s="84"/>
      <c r="B362" s="19"/>
      <c r="C362" s="92"/>
      <c r="D362" s="90"/>
      <c r="E362" s="86"/>
      <c r="F362" s="86"/>
      <c r="G362" s="86"/>
      <c r="H362" s="19"/>
      <c r="I362" s="19"/>
      <c r="J362" s="19"/>
      <c r="K362" s="19"/>
      <c r="L362" s="2"/>
      <c r="M362" s="19"/>
      <c r="N362" s="19"/>
      <c r="O362" s="19"/>
      <c r="P362" s="19"/>
      <c r="Q362" s="91"/>
      <c r="R362" s="91"/>
      <c r="S362" s="19"/>
    </row>
    <row r="363" spans="1:19" ht="15.75" customHeight="1" x14ac:dyDescent="0.25">
      <c r="A363" s="84"/>
      <c r="B363" s="19"/>
      <c r="C363" s="92"/>
      <c r="D363" s="90"/>
      <c r="E363" s="86"/>
      <c r="F363" s="86"/>
      <c r="G363" s="86"/>
      <c r="H363" s="19"/>
      <c r="I363" s="19"/>
      <c r="J363" s="19"/>
      <c r="K363" s="19"/>
      <c r="L363" s="2"/>
      <c r="M363" s="19"/>
      <c r="N363" s="19"/>
      <c r="O363" s="19"/>
      <c r="P363" s="19"/>
      <c r="Q363" s="91"/>
      <c r="R363" s="91"/>
      <c r="S363" s="19"/>
    </row>
    <row r="364" spans="1:19" ht="15.75" customHeight="1" x14ac:dyDescent="0.25">
      <c r="A364" s="84"/>
      <c r="B364" s="19"/>
      <c r="C364" s="92"/>
      <c r="D364" s="90"/>
      <c r="E364" s="86"/>
      <c r="F364" s="86"/>
      <c r="G364" s="86"/>
      <c r="H364" s="19"/>
      <c r="I364" s="19"/>
      <c r="J364" s="19"/>
      <c r="K364" s="19"/>
      <c r="L364" s="2"/>
      <c r="M364" s="19"/>
      <c r="N364" s="19"/>
      <c r="O364" s="19"/>
      <c r="P364" s="19"/>
      <c r="Q364" s="91"/>
      <c r="R364" s="91"/>
      <c r="S364" s="19"/>
    </row>
    <row r="365" spans="1:19" ht="15.75" customHeight="1" x14ac:dyDescent="0.25">
      <c r="A365" s="84"/>
      <c r="B365" s="19"/>
      <c r="C365" s="92"/>
      <c r="D365" s="90"/>
      <c r="E365" s="86"/>
      <c r="F365" s="86"/>
      <c r="G365" s="86"/>
      <c r="H365" s="19"/>
      <c r="I365" s="19"/>
      <c r="J365" s="19"/>
      <c r="K365" s="19"/>
      <c r="L365" s="2"/>
      <c r="M365" s="19"/>
      <c r="N365" s="19"/>
      <c r="O365" s="19"/>
      <c r="P365" s="19"/>
      <c r="Q365" s="91"/>
      <c r="R365" s="91"/>
      <c r="S365" s="19"/>
    </row>
    <row r="366" spans="1:19" ht="15.75" customHeight="1" x14ac:dyDescent="0.25">
      <c r="A366" s="84"/>
      <c r="B366" s="19"/>
      <c r="C366" s="92"/>
      <c r="D366" s="90"/>
      <c r="E366" s="86"/>
      <c r="F366" s="86"/>
      <c r="G366" s="86"/>
      <c r="H366" s="19"/>
      <c r="I366" s="19"/>
      <c r="J366" s="19"/>
      <c r="K366" s="19"/>
      <c r="L366" s="2"/>
      <c r="M366" s="19"/>
      <c r="N366" s="19"/>
      <c r="O366" s="19"/>
      <c r="P366" s="19"/>
      <c r="Q366" s="91"/>
      <c r="R366" s="91"/>
      <c r="S366" s="19"/>
    </row>
    <row r="367" spans="1:19" ht="15.75" customHeight="1" x14ac:dyDescent="0.25">
      <c r="A367" s="84"/>
      <c r="B367" s="19"/>
      <c r="C367" s="92"/>
      <c r="D367" s="90"/>
      <c r="E367" s="86"/>
      <c r="F367" s="86"/>
      <c r="G367" s="86"/>
      <c r="H367" s="19"/>
      <c r="I367" s="19"/>
      <c r="J367" s="19"/>
      <c r="K367" s="19"/>
      <c r="L367" s="2"/>
      <c r="M367" s="19"/>
      <c r="N367" s="19"/>
      <c r="O367" s="19"/>
      <c r="P367" s="19"/>
      <c r="Q367" s="91"/>
      <c r="R367" s="91"/>
      <c r="S367" s="19"/>
    </row>
    <row r="368" spans="1:19" ht="15.75" customHeight="1" x14ac:dyDescent="0.25">
      <c r="A368" s="84"/>
      <c r="B368" s="19"/>
      <c r="C368" s="92"/>
      <c r="D368" s="90"/>
      <c r="E368" s="86"/>
      <c r="F368" s="86"/>
      <c r="G368" s="86"/>
      <c r="H368" s="19"/>
      <c r="I368" s="19"/>
      <c r="J368" s="19"/>
      <c r="K368" s="19"/>
      <c r="L368" s="2"/>
      <c r="M368" s="19"/>
      <c r="N368" s="19"/>
      <c r="O368" s="19"/>
      <c r="P368" s="19"/>
      <c r="Q368" s="91"/>
      <c r="R368" s="91"/>
      <c r="S368" s="19"/>
    </row>
    <row r="369" spans="1:19" ht="15.75" customHeight="1" x14ac:dyDescent="0.25">
      <c r="A369" s="84"/>
      <c r="B369" s="19"/>
      <c r="C369" s="92"/>
      <c r="D369" s="90"/>
      <c r="E369" s="86"/>
      <c r="F369" s="86"/>
      <c r="G369" s="86"/>
      <c r="H369" s="19"/>
      <c r="I369" s="19"/>
      <c r="J369" s="19"/>
      <c r="K369" s="19"/>
      <c r="L369" s="2"/>
      <c r="M369" s="19"/>
      <c r="N369" s="19"/>
      <c r="O369" s="19"/>
      <c r="P369" s="19"/>
      <c r="Q369" s="91"/>
      <c r="R369" s="91"/>
      <c r="S369" s="19"/>
    </row>
    <row r="370" spans="1:19" ht="15.75" customHeight="1" x14ac:dyDescent="0.25">
      <c r="A370" s="84"/>
      <c r="B370" s="19"/>
      <c r="C370" s="92"/>
      <c r="D370" s="90"/>
      <c r="E370" s="86"/>
      <c r="F370" s="86"/>
      <c r="G370" s="86"/>
      <c r="H370" s="19"/>
      <c r="I370" s="19"/>
      <c r="J370" s="19"/>
      <c r="K370" s="19"/>
      <c r="L370" s="2"/>
      <c r="M370" s="19"/>
      <c r="N370" s="19"/>
      <c r="O370" s="19"/>
      <c r="P370" s="19"/>
      <c r="Q370" s="91"/>
      <c r="R370" s="91"/>
      <c r="S370" s="19"/>
    </row>
    <row r="371" spans="1:19" ht="15.75" customHeight="1" x14ac:dyDescent="0.25">
      <c r="A371" s="84"/>
      <c r="B371" s="19"/>
      <c r="C371" s="92"/>
      <c r="D371" s="90"/>
      <c r="E371" s="86"/>
      <c r="F371" s="86"/>
      <c r="G371" s="86"/>
      <c r="H371" s="19"/>
      <c r="I371" s="19"/>
      <c r="J371" s="19"/>
      <c r="K371" s="19"/>
      <c r="L371" s="2"/>
      <c r="M371" s="19"/>
      <c r="N371" s="19"/>
      <c r="O371" s="19"/>
      <c r="P371" s="19"/>
      <c r="Q371" s="91"/>
      <c r="R371" s="91"/>
      <c r="S371" s="19"/>
    </row>
    <row r="372" spans="1:19" ht="15.75" customHeight="1" x14ac:dyDescent="0.25">
      <c r="A372" s="84"/>
      <c r="B372" s="19"/>
      <c r="C372" s="92"/>
      <c r="D372" s="90"/>
      <c r="E372" s="86"/>
      <c r="F372" s="86"/>
      <c r="G372" s="86"/>
      <c r="H372" s="19"/>
      <c r="I372" s="19"/>
      <c r="J372" s="19"/>
      <c r="K372" s="19"/>
      <c r="L372" s="2"/>
      <c r="M372" s="19"/>
      <c r="N372" s="19"/>
      <c r="O372" s="19"/>
      <c r="P372" s="19"/>
      <c r="Q372" s="91"/>
      <c r="R372" s="91"/>
      <c r="S372" s="19"/>
    </row>
    <row r="373" spans="1:19" ht="15.75" customHeight="1" x14ac:dyDescent="0.25">
      <c r="A373" s="84"/>
      <c r="B373" s="19"/>
      <c r="C373" s="92"/>
      <c r="D373" s="90"/>
      <c r="E373" s="86"/>
      <c r="F373" s="86"/>
      <c r="G373" s="86"/>
      <c r="H373" s="19"/>
      <c r="I373" s="19"/>
      <c r="J373" s="19"/>
      <c r="K373" s="19"/>
      <c r="L373" s="2"/>
      <c r="M373" s="19"/>
      <c r="N373" s="19"/>
      <c r="O373" s="19"/>
      <c r="P373" s="19"/>
      <c r="Q373" s="91"/>
      <c r="R373" s="91"/>
      <c r="S373" s="19"/>
    </row>
    <row r="374" spans="1:19" ht="15.75" customHeight="1" x14ac:dyDescent="0.25">
      <c r="A374" s="84"/>
      <c r="B374" s="19"/>
      <c r="C374" s="92"/>
      <c r="D374" s="90"/>
      <c r="E374" s="86"/>
      <c r="F374" s="86"/>
      <c r="G374" s="86"/>
      <c r="H374" s="19"/>
      <c r="I374" s="19"/>
      <c r="J374" s="19"/>
      <c r="K374" s="19"/>
      <c r="L374" s="2"/>
      <c r="M374" s="19"/>
      <c r="N374" s="19"/>
      <c r="O374" s="19"/>
      <c r="P374" s="19"/>
      <c r="Q374" s="91"/>
      <c r="R374" s="91"/>
      <c r="S374" s="19"/>
    </row>
    <row r="375" spans="1:19" ht="15.75" customHeight="1" x14ac:dyDescent="0.25">
      <c r="A375" s="84"/>
      <c r="B375" s="19"/>
      <c r="C375" s="92"/>
      <c r="D375" s="90"/>
      <c r="E375" s="86"/>
      <c r="F375" s="86"/>
      <c r="G375" s="86"/>
      <c r="H375" s="19"/>
      <c r="I375" s="19"/>
      <c r="J375" s="19"/>
      <c r="K375" s="19"/>
      <c r="L375" s="2"/>
      <c r="M375" s="19"/>
      <c r="N375" s="19"/>
      <c r="O375" s="19"/>
      <c r="P375" s="19"/>
      <c r="Q375" s="91"/>
      <c r="R375" s="91"/>
      <c r="S375" s="19"/>
    </row>
    <row r="376" spans="1:19" ht="15.75" customHeight="1" x14ac:dyDescent="0.25">
      <c r="A376" s="84"/>
      <c r="B376" s="19"/>
      <c r="C376" s="92"/>
      <c r="D376" s="90"/>
      <c r="E376" s="86"/>
      <c r="F376" s="86"/>
      <c r="G376" s="86"/>
      <c r="H376" s="19"/>
      <c r="I376" s="19"/>
      <c r="J376" s="19"/>
      <c r="K376" s="19"/>
      <c r="L376" s="2"/>
      <c r="M376" s="19"/>
      <c r="N376" s="19"/>
      <c r="O376" s="19"/>
      <c r="P376" s="19"/>
      <c r="Q376" s="91"/>
      <c r="R376" s="91"/>
      <c r="S376" s="19"/>
    </row>
    <row r="377" spans="1:19" ht="15.75" customHeight="1" x14ac:dyDescent="0.25">
      <c r="A377" s="84"/>
      <c r="B377" s="19"/>
      <c r="C377" s="92"/>
      <c r="D377" s="90"/>
      <c r="E377" s="86"/>
      <c r="F377" s="86"/>
      <c r="G377" s="86"/>
      <c r="H377" s="19"/>
      <c r="I377" s="19"/>
      <c r="J377" s="19"/>
      <c r="K377" s="19"/>
      <c r="L377" s="2"/>
      <c r="M377" s="19"/>
      <c r="N377" s="19"/>
      <c r="O377" s="19"/>
      <c r="P377" s="19"/>
      <c r="Q377" s="91"/>
      <c r="R377" s="91"/>
      <c r="S377" s="19"/>
    </row>
    <row r="378" spans="1:19" ht="15.75" customHeight="1" x14ac:dyDescent="0.25">
      <c r="A378" s="84"/>
      <c r="B378" s="19"/>
      <c r="C378" s="92"/>
      <c r="D378" s="90"/>
      <c r="E378" s="86"/>
      <c r="F378" s="86"/>
      <c r="G378" s="86"/>
      <c r="H378" s="19"/>
      <c r="I378" s="19"/>
      <c r="J378" s="19"/>
      <c r="K378" s="19"/>
      <c r="L378" s="2"/>
      <c r="M378" s="19"/>
      <c r="N378" s="19"/>
      <c r="O378" s="19"/>
      <c r="P378" s="19"/>
      <c r="Q378" s="91"/>
      <c r="R378" s="91"/>
      <c r="S378" s="19"/>
    </row>
    <row r="379" spans="1:19" ht="15.75" customHeight="1" x14ac:dyDescent="0.25">
      <c r="A379" s="84"/>
      <c r="B379" s="19"/>
      <c r="C379" s="92"/>
      <c r="D379" s="90"/>
      <c r="E379" s="86"/>
      <c r="F379" s="86"/>
      <c r="G379" s="86"/>
      <c r="H379" s="19"/>
      <c r="I379" s="19"/>
      <c r="J379" s="19"/>
      <c r="K379" s="19"/>
      <c r="L379" s="2"/>
      <c r="M379" s="19"/>
      <c r="N379" s="19"/>
      <c r="O379" s="19"/>
      <c r="P379" s="19"/>
      <c r="Q379" s="91"/>
      <c r="R379" s="91"/>
      <c r="S379" s="19"/>
    </row>
    <row r="380" spans="1:19" ht="15.75" customHeight="1" x14ac:dyDescent="0.25">
      <c r="A380" s="84"/>
      <c r="B380" s="19"/>
      <c r="C380" s="92"/>
      <c r="D380" s="90"/>
      <c r="E380" s="86"/>
      <c r="F380" s="86"/>
      <c r="G380" s="86"/>
      <c r="H380" s="19"/>
      <c r="I380" s="19"/>
      <c r="J380" s="19"/>
      <c r="K380" s="19"/>
      <c r="L380" s="2"/>
      <c r="M380" s="19"/>
      <c r="N380" s="19"/>
      <c r="O380" s="19"/>
      <c r="P380" s="19"/>
      <c r="Q380" s="91"/>
      <c r="R380" s="91"/>
      <c r="S380" s="19"/>
    </row>
    <row r="381" spans="1:19" ht="15.75" customHeight="1" x14ac:dyDescent="0.25">
      <c r="A381" s="84"/>
      <c r="B381" s="19"/>
      <c r="C381" s="92"/>
      <c r="D381" s="90"/>
      <c r="E381" s="86"/>
      <c r="F381" s="86"/>
      <c r="G381" s="86"/>
      <c r="H381" s="19"/>
      <c r="I381" s="19"/>
      <c r="J381" s="19"/>
      <c r="K381" s="19"/>
      <c r="L381" s="2"/>
      <c r="M381" s="19"/>
      <c r="N381" s="19"/>
      <c r="O381" s="19"/>
      <c r="P381" s="19"/>
      <c r="Q381" s="91"/>
      <c r="R381" s="91"/>
      <c r="S381" s="19"/>
    </row>
    <row r="382" spans="1:19" ht="15.75" customHeight="1" x14ac:dyDescent="0.25">
      <c r="A382" s="84"/>
      <c r="B382" s="19"/>
      <c r="C382" s="92"/>
      <c r="D382" s="90"/>
      <c r="E382" s="86"/>
      <c r="F382" s="86"/>
      <c r="G382" s="86"/>
      <c r="H382" s="19"/>
      <c r="I382" s="19"/>
      <c r="J382" s="19"/>
      <c r="K382" s="19"/>
      <c r="L382" s="2"/>
      <c r="M382" s="19"/>
      <c r="N382" s="19"/>
      <c r="O382" s="19"/>
      <c r="P382" s="19"/>
      <c r="Q382" s="91"/>
      <c r="R382" s="91"/>
      <c r="S382" s="19"/>
    </row>
    <row r="383" spans="1:19" ht="15.75" customHeight="1" x14ac:dyDescent="0.25">
      <c r="A383" s="84"/>
      <c r="B383" s="19"/>
      <c r="C383" s="92"/>
      <c r="D383" s="90"/>
      <c r="E383" s="86"/>
      <c r="F383" s="86"/>
      <c r="G383" s="86"/>
      <c r="H383" s="19"/>
      <c r="I383" s="19"/>
      <c r="J383" s="19"/>
      <c r="K383" s="19"/>
      <c r="L383" s="2"/>
      <c r="M383" s="19"/>
      <c r="N383" s="19"/>
      <c r="O383" s="19"/>
      <c r="P383" s="19"/>
      <c r="Q383" s="91"/>
      <c r="R383" s="91"/>
      <c r="S383" s="19"/>
    </row>
    <row r="384" spans="1:19" ht="15.75" customHeight="1" x14ac:dyDescent="0.25">
      <c r="A384" s="84"/>
      <c r="B384" s="19"/>
      <c r="C384" s="92"/>
      <c r="D384" s="90"/>
      <c r="E384" s="86"/>
      <c r="F384" s="86"/>
      <c r="G384" s="86"/>
      <c r="H384" s="19"/>
      <c r="I384" s="19"/>
      <c r="J384" s="19"/>
      <c r="K384" s="19"/>
      <c r="L384" s="2"/>
      <c r="M384" s="19"/>
      <c r="N384" s="19"/>
      <c r="O384" s="19"/>
      <c r="P384" s="19"/>
      <c r="Q384" s="91"/>
      <c r="R384" s="91"/>
      <c r="S384" s="19"/>
    </row>
    <row r="385" spans="1:19" ht="15.75" customHeight="1" x14ac:dyDescent="0.25">
      <c r="A385" s="84"/>
      <c r="B385" s="19"/>
      <c r="C385" s="92"/>
      <c r="D385" s="90"/>
      <c r="E385" s="86"/>
      <c r="F385" s="86"/>
      <c r="G385" s="86"/>
      <c r="H385" s="19"/>
      <c r="I385" s="19"/>
      <c r="J385" s="19"/>
      <c r="K385" s="19"/>
      <c r="L385" s="2"/>
      <c r="M385" s="19"/>
      <c r="N385" s="19"/>
      <c r="O385" s="19"/>
      <c r="P385" s="19"/>
      <c r="Q385" s="91"/>
      <c r="R385" s="91"/>
      <c r="S385" s="19"/>
    </row>
    <row r="386" spans="1:19" ht="15.75" customHeight="1" x14ac:dyDescent="0.25">
      <c r="A386" s="84"/>
      <c r="B386" s="19"/>
      <c r="C386" s="92"/>
      <c r="D386" s="90"/>
      <c r="E386" s="86"/>
      <c r="F386" s="86"/>
      <c r="G386" s="86"/>
      <c r="H386" s="19"/>
      <c r="I386" s="19"/>
      <c r="J386" s="19"/>
      <c r="K386" s="19"/>
      <c r="L386" s="2"/>
      <c r="M386" s="19"/>
      <c r="N386" s="19"/>
      <c r="O386" s="19"/>
      <c r="P386" s="19"/>
      <c r="Q386" s="91"/>
      <c r="R386" s="91"/>
      <c r="S386" s="19"/>
    </row>
    <row r="387" spans="1:19" ht="15.75" customHeight="1" x14ac:dyDescent="0.25">
      <c r="A387" s="84"/>
      <c r="B387" s="19"/>
      <c r="C387" s="92"/>
      <c r="D387" s="90"/>
      <c r="E387" s="86"/>
      <c r="F387" s="86"/>
      <c r="G387" s="86"/>
      <c r="H387" s="19"/>
      <c r="I387" s="19"/>
      <c r="J387" s="19"/>
      <c r="K387" s="19"/>
      <c r="L387" s="2"/>
      <c r="M387" s="19"/>
      <c r="N387" s="19"/>
      <c r="O387" s="19"/>
      <c r="P387" s="19"/>
      <c r="Q387" s="91"/>
      <c r="R387" s="91"/>
      <c r="S387" s="19"/>
    </row>
    <row r="388" spans="1:19" ht="15.75" customHeight="1" x14ac:dyDescent="0.25">
      <c r="A388" s="84"/>
      <c r="B388" s="19"/>
      <c r="C388" s="92"/>
      <c r="D388" s="90"/>
      <c r="E388" s="86"/>
      <c r="F388" s="86"/>
      <c r="G388" s="86"/>
      <c r="H388" s="19"/>
      <c r="I388" s="19"/>
      <c r="J388" s="19"/>
      <c r="K388" s="19"/>
      <c r="L388" s="2"/>
      <c r="M388" s="19"/>
      <c r="N388" s="19"/>
      <c r="O388" s="19"/>
      <c r="P388" s="19"/>
      <c r="Q388" s="91"/>
      <c r="R388" s="91"/>
      <c r="S388" s="19"/>
    </row>
    <row r="389" spans="1:19" ht="15.75" customHeight="1" x14ac:dyDescent="0.25">
      <c r="A389" s="84"/>
      <c r="B389" s="19"/>
      <c r="C389" s="92"/>
      <c r="D389" s="90"/>
      <c r="E389" s="86"/>
      <c r="F389" s="86"/>
      <c r="G389" s="86"/>
      <c r="H389" s="19"/>
      <c r="I389" s="19"/>
      <c r="J389" s="19"/>
      <c r="K389" s="19"/>
      <c r="L389" s="2"/>
      <c r="M389" s="19"/>
      <c r="N389" s="19"/>
      <c r="O389" s="19"/>
      <c r="P389" s="19"/>
      <c r="Q389" s="91"/>
      <c r="R389" s="91"/>
      <c r="S389" s="19"/>
    </row>
    <row r="390" spans="1:19" ht="15.75" customHeight="1" x14ac:dyDescent="0.25">
      <c r="A390" s="84"/>
      <c r="B390" s="19"/>
      <c r="C390" s="92"/>
      <c r="D390" s="90"/>
      <c r="E390" s="86"/>
      <c r="F390" s="86"/>
      <c r="G390" s="86"/>
      <c r="H390" s="19"/>
      <c r="I390" s="19"/>
      <c r="J390" s="19"/>
      <c r="K390" s="19"/>
      <c r="L390" s="2"/>
      <c r="M390" s="19"/>
      <c r="N390" s="19"/>
      <c r="O390" s="19"/>
      <c r="P390" s="19"/>
      <c r="Q390" s="91"/>
      <c r="R390" s="91"/>
      <c r="S390" s="19"/>
    </row>
    <row r="391" spans="1:19" ht="15.75" customHeight="1" x14ac:dyDescent="0.25">
      <c r="A391" s="84"/>
      <c r="B391" s="19"/>
      <c r="C391" s="92"/>
      <c r="D391" s="90"/>
      <c r="E391" s="86"/>
      <c r="F391" s="86"/>
      <c r="G391" s="86"/>
      <c r="H391" s="19"/>
      <c r="I391" s="19"/>
      <c r="J391" s="19"/>
      <c r="K391" s="19"/>
      <c r="L391" s="2"/>
      <c r="M391" s="19"/>
      <c r="N391" s="19"/>
      <c r="O391" s="19"/>
      <c r="P391" s="19"/>
      <c r="Q391" s="91"/>
      <c r="R391" s="91"/>
      <c r="S391" s="19"/>
    </row>
    <row r="392" spans="1:19" ht="15.75" customHeight="1" x14ac:dyDescent="0.25">
      <c r="A392" s="84"/>
      <c r="B392" s="19"/>
      <c r="C392" s="92"/>
      <c r="D392" s="90"/>
      <c r="E392" s="86"/>
      <c r="F392" s="86"/>
      <c r="G392" s="86"/>
      <c r="H392" s="19"/>
      <c r="I392" s="19"/>
      <c r="J392" s="19"/>
      <c r="K392" s="19"/>
      <c r="L392" s="2"/>
      <c r="M392" s="19"/>
      <c r="N392" s="19"/>
      <c r="O392" s="19"/>
      <c r="P392" s="19"/>
      <c r="Q392" s="91"/>
      <c r="R392" s="91"/>
      <c r="S392" s="19"/>
    </row>
    <row r="393" spans="1:19" ht="15.75" customHeight="1" x14ac:dyDescent="0.25">
      <c r="A393" s="84"/>
      <c r="B393" s="19"/>
      <c r="C393" s="92"/>
      <c r="D393" s="90"/>
      <c r="E393" s="86"/>
      <c r="F393" s="86"/>
      <c r="G393" s="86"/>
      <c r="H393" s="19"/>
      <c r="I393" s="19"/>
      <c r="J393" s="19"/>
      <c r="K393" s="19"/>
      <c r="L393" s="2"/>
      <c r="M393" s="19"/>
      <c r="N393" s="19"/>
      <c r="O393" s="19"/>
      <c r="P393" s="19"/>
      <c r="Q393" s="91"/>
      <c r="R393" s="91"/>
      <c r="S393" s="19"/>
    </row>
    <row r="394" spans="1:19" ht="15.75" customHeight="1" x14ac:dyDescent="0.25">
      <c r="A394" s="84"/>
      <c r="B394" s="19"/>
      <c r="C394" s="92"/>
      <c r="D394" s="90"/>
      <c r="E394" s="86"/>
      <c r="F394" s="86"/>
      <c r="G394" s="86"/>
      <c r="H394" s="19"/>
      <c r="I394" s="19"/>
      <c r="J394" s="19"/>
      <c r="K394" s="19"/>
      <c r="L394" s="2"/>
      <c r="M394" s="19"/>
      <c r="N394" s="19"/>
      <c r="O394" s="19"/>
      <c r="P394" s="19"/>
      <c r="Q394" s="91"/>
      <c r="R394" s="91"/>
      <c r="S394" s="19"/>
    </row>
    <row r="395" spans="1:19" ht="15.75" customHeight="1" x14ac:dyDescent="0.25">
      <c r="A395" s="84"/>
      <c r="B395" s="19"/>
      <c r="C395" s="92"/>
      <c r="D395" s="90"/>
      <c r="E395" s="86"/>
      <c r="F395" s="86"/>
      <c r="G395" s="86"/>
      <c r="H395" s="19"/>
      <c r="I395" s="19"/>
      <c r="J395" s="19"/>
      <c r="K395" s="19"/>
      <c r="L395" s="2"/>
      <c r="M395" s="19"/>
      <c r="N395" s="19"/>
      <c r="O395" s="19"/>
      <c r="P395" s="19"/>
      <c r="Q395" s="91"/>
      <c r="R395" s="91"/>
      <c r="S395" s="19"/>
    </row>
    <row r="396" spans="1:19" ht="15.75" customHeight="1" x14ac:dyDescent="0.25">
      <c r="A396" s="84"/>
      <c r="B396" s="19"/>
      <c r="C396" s="92"/>
      <c r="D396" s="90"/>
      <c r="E396" s="86"/>
      <c r="F396" s="86"/>
      <c r="G396" s="86"/>
      <c r="H396" s="19"/>
      <c r="I396" s="19"/>
      <c r="J396" s="19"/>
      <c r="K396" s="19"/>
      <c r="L396" s="2"/>
      <c r="M396" s="19"/>
      <c r="N396" s="19"/>
      <c r="O396" s="19"/>
      <c r="P396" s="19"/>
      <c r="Q396" s="91"/>
      <c r="R396" s="91"/>
      <c r="S396" s="19"/>
    </row>
    <row r="397" spans="1:19" ht="15.75" customHeight="1" x14ac:dyDescent="0.25">
      <c r="A397" s="84"/>
      <c r="B397" s="19"/>
      <c r="C397" s="92"/>
      <c r="D397" s="90"/>
      <c r="E397" s="86"/>
      <c r="F397" s="86"/>
      <c r="G397" s="86"/>
      <c r="H397" s="19"/>
      <c r="I397" s="19"/>
      <c r="J397" s="19"/>
      <c r="K397" s="19"/>
      <c r="L397" s="2"/>
      <c r="M397" s="19"/>
      <c r="N397" s="19"/>
      <c r="O397" s="19"/>
      <c r="P397" s="19"/>
      <c r="Q397" s="91"/>
      <c r="R397" s="91"/>
      <c r="S397" s="19"/>
    </row>
    <row r="398" spans="1:19" ht="15.75" customHeight="1" x14ac:dyDescent="0.25">
      <c r="A398" s="84"/>
      <c r="B398" s="19"/>
      <c r="C398" s="92"/>
      <c r="D398" s="90"/>
      <c r="E398" s="86"/>
      <c r="F398" s="86"/>
      <c r="G398" s="86"/>
      <c r="H398" s="19"/>
      <c r="I398" s="19"/>
      <c r="J398" s="19"/>
      <c r="K398" s="19"/>
      <c r="L398" s="2"/>
      <c r="M398" s="19"/>
      <c r="N398" s="19"/>
      <c r="O398" s="19"/>
      <c r="P398" s="19"/>
      <c r="Q398" s="91"/>
      <c r="R398" s="91"/>
      <c r="S398" s="19"/>
    </row>
    <row r="399" spans="1:19" ht="15.75" customHeight="1" x14ac:dyDescent="0.25">
      <c r="A399" s="84"/>
      <c r="B399" s="19"/>
      <c r="C399" s="92"/>
      <c r="D399" s="90"/>
      <c r="E399" s="86"/>
      <c r="F399" s="86"/>
      <c r="G399" s="86"/>
      <c r="H399" s="19"/>
      <c r="I399" s="19"/>
      <c r="J399" s="19"/>
      <c r="K399" s="19"/>
      <c r="L399" s="2"/>
      <c r="M399" s="19"/>
      <c r="N399" s="19"/>
      <c r="O399" s="19"/>
      <c r="P399" s="19"/>
      <c r="Q399" s="91"/>
      <c r="R399" s="91"/>
      <c r="S399" s="19"/>
    </row>
    <row r="400" spans="1:19" ht="15.75" customHeight="1" x14ac:dyDescent="0.25">
      <c r="A400" s="84"/>
      <c r="B400" s="19"/>
      <c r="C400" s="92"/>
      <c r="D400" s="90"/>
      <c r="E400" s="86"/>
      <c r="F400" s="86"/>
      <c r="G400" s="86"/>
      <c r="H400" s="19"/>
      <c r="I400" s="19"/>
      <c r="J400" s="19"/>
      <c r="K400" s="19"/>
      <c r="L400" s="2"/>
      <c r="M400" s="19"/>
      <c r="N400" s="19"/>
      <c r="O400" s="19"/>
      <c r="P400" s="19"/>
      <c r="Q400" s="91"/>
      <c r="R400" s="91"/>
      <c r="S400" s="19"/>
    </row>
    <row r="401" spans="1:19" ht="15.75" customHeight="1" x14ac:dyDescent="0.25">
      <c r="A401" s="84"/>
      <c r="B401" s="19"/>
      <c r="C401" s="92"/>
      <c r="D401" s="90"/>
      <c r="E401" s="86"/>
      <c r="F401" s="86"/>
      <c r="G401" s="86"/>
      <c r="H401" s="19"/>
      <c r="I401" s="19"/>
      <c r="J401" s="19"/>
      <c r="K401" s="19"/>
      <c r="L401" s="2"/>
      <c r="M401" s="19"/>
      <c r="N401" s="19"/>
      <c r="O401" s="19"/>
      <c r="P401" s="19"/>
      <c r="Q401" s="91"/>
      <c r="R401" s="91"/>
      <c r="S401" s="19"/>
    </row>
    <row r="402" spans="1:19" ht="15.75" customHeight="1" x14ac:dyDescent="0.25">
      <c r="A402" s="84"/>
      <c r="B402" s="19"/>
      <c r="C402" s="92"/>
      <c r="D402" s="90"/>
      <c r="E402" s="86"/>
      <c r="F402" s="86"/>
      <c r="G402" s="86"/>
      <c r="H402" s="19"/>
      <c r="I402" s="19"/>
      <c r="J402" s="19"/>
      <c r="K402" s="19"/>
      <c r="L402" s="2"/>
      <c r="M402" s="19"/>
      <c r="N402" s="19"/>
      <c r="O402" s="19"/>
      <c r="P402" s="19"/>
      <c r="Q402" s="91"/>
      <c r="R402" s="91"/>
      <c r="S402" s="19"/>
    </row>
    <row r="403" spans="1:19" ht="15.75" customHeight="1" x14ac:dyDescent="0.25">
      <c r="A403" s="84"/>
      <c r="B403" s="19"/>
      <c r="C403" s="92"/>
      <c r="D403" s="90"/>
      <c r="E403" s="86"/>
      <c r="F403" s="86"/>
      <c r="G403" s="86"/>
      <c r="H403" s="19"/>
      <c r="I403" s="19"/>
      <c r="J403" s="19"/>
      <c r="K403" s="19"/>
      <c r="L403" s="2"/>
      <c r="M403" s="19"/>
      <c r="N403" s="19"/>
      <c r="O403" s="19"/>
      <c r="P403" s="19"/>
      <c r="Q403" s="91"/>
      <c r="R403" s="91"/>
      <c r="S403" s="19"/>
    </row>
    <row r="404" spans="1:19" ht="15.75" customHeight="1" x14ac:dyDescent="0.25">
      <c r="A404" s="84"/>
      <c r="B404" s="19"/>
      <c r="C404" s="92"/>
      <c r="D404" s="90"/>
      <c r="E404" s="86"/>
      <c r="F404" s="86"/>
      <c r="G404" s="86"/>
      <c r="H404" s="19"/>
      <c r="I404" s="19"/>
      <c r="J404" s="19"/>
      <c r="K404" s="19"/>
      <c r="L404" s="2"/>
      <c r="M404" s="19"/>
      <c r="N404" s="19"/>
      <c r="O404" s="19"/>
      <c r="P404" s="19"/>
      <c r="Q404" s="91"/>
      <c r="R404" s="91"/>
      <c r="S404" s="19"/>
    </row>
    <row r="405" spans="1:19" ht="15.75" customHeight="1" x14ac:dyDescent="0.25">
      <c r="A405" s="84"/>
      <c r="B405" s="19"/>
      <c r="C405" s="92"/>
      <c r="D405" s="90"/>
      <c r="E405" s="86"/>
      <c r="F405" s="86"/>
      <c r="G405" s="86"/>
      <c r="H405" s="19"/>
      <c r="I405" s="19"/>
      <c r="J405" s="19"/>
      <c r="K405" s="19"/>
      <c r="L405" s="2"/>
      <c r="M405" s="19"/>
      <c r="N405" s="19"/>
      <c r="O405" s="19"/>
      <c r="P405" s="19"/>
      <c r="Q405" s="91"/>
      <c r="R405" s="91"/>
      <c r="S405" s="19"/>
    </row>
    <row r="406" spans="1:19" ht="15.75" customHeight="1" x14ac:dyDescent="0.25">
      <c r="A406" s="84"/>
      <c r="B406" s="19"/>
      <c r="C406" s="92"/>
      <c r="D406" s="90"/>
      <c r="E406" s="86"/>
      <c r="F406" s="86"/>
      <c r="G406" s="86"/>
      <c r="H406" s="19"/>
      <c r="I406" s="19"/>
      <c r="J406" s="19"/>
      <c r="K406" s="19"/>
      <c r="L406" s="2"/>
      <c r="M406" s="19"/>
      <c r="N406" s="19"/>
      <c r="O406" s="19"/>
      <c r="P406" s="19"/>
      <c r="Q406" s="91"/>
      <c r="R406" s="91"/>
      <c r="S406" s="19"/>
    </row>
    <row r="407" spans="1:19" ht="15.75" customHeight="1" x14ac:dyDescent="0.25">
      <c r="A407" s="84"/>
      <c r="B407" s="19"/>
      <c r="C407" s="92"/>
      <c r="D407" s="90"/>
      <c r="E407" s="86"/>
      <c r="F407" s="86"/>
      <c r="G407" s="86"/>
      <c r="H407" s="19"/>
      <c r="I407" s="19"/>
      <c r="J407" s="19"/>
      <c r="K407" s="19"/>
      <c r="L407" s="2"/>
      <c r="M407" s="19"/>
      <c r="N407" s="19"/>
      <c r="O407" s="19"/>
      <c r="P407" s="19"/>
      <c r="Q407" s="91"/>
      <c r="R407" s="91"/>
      <c r="S407" s="19"/>
    </row>
    <row r="408" spans="1:19" ht="15.75" customHeight="1" x14ac:dyDescent="0.25">
      <c r="A408" s="84"/>
      <c r="B408" s="19"/>
      <c r="C408" s="92"/>
      <c r="D408" s="90"/>
      <c r="E408" s="86"/>
      <c r="F408" s="86"/>
      <c r="G408" s="86"/>
      <c r="H408" s="19"/>
      <c r="I408" s="19"/>
      <c r="J408" s="19"/>
      <c r="K408" s="19"/>
      <c r="L408" s="2"/>
      <c r="M408" s="19"/>
      <c r="N408" s="19"/>
      <c r="O408" s="19"/>
      <c r="P408" s="19"/>
      <c r="Q408" s="91"/>
      <c r="R408" s="91"/>
      <c r="S408" s="19"/>
    </row>
    <row r="409" spans="1:19" ht="15.75" customHeight="1" x14ac:dyDescent="0.25">
      <c r="A409" s="84"/>
      <c r="B409" s="19"/>
      <c r="C409" s="92"/>
      <c r="D409" s="90"/>
      <c r="E409" s="86"/>
      <c r="F409" s="86"/>
      <c r="G409" s="86"/>
      <c r="H409" s="19"/>
      <c r="I409" s="19"/>
      <c r="J409" s="19"/>
      <c r="K409" s="19"/>
      <c r="L409" s="2"/>
      <c r="M409" s="19"/>
      <c r="N409" s="19"/>
      <c r="O409" s="19"/>
      <c r="P409" s="19"/>
      <c r="Q409" s="91"/>
      <c r="R409" s="91"/>
      <c r="S409" s="19"/>
    </row>
    <row r="410" spans="1:19" ht="15.75" customHeight="1" x14ac:dyDescent="0.25">
      <c r="A410" s="84"/>
      <c r="B410" s="19"/>
      <c r="C410" s="92"/>
      <c r="D410" s="90"/>
      <c r="E410" s="86"/>
      <c r="F410" s="86"/>
      <c r="G410" s="86"/>
      <c r="H410" s="19"/>
      <c r="I410" s="19"/>
      <c r="J410" s="19"/>
      <c r="K410" s="19"/>
      <c r="L410" s="2"/>
      <c r="M410" s="19"/>
      <c r="N410" s="19"/>
      <c r="O410" s="19"/>
      <c r="P410" s="19"/>
      <c r="Q410" s="91"/>
      <c r="R410" s="91"/>
      <c r="S410" s="19"/>
    </row>
    <row r="411" spans="1:19" ht="15.75" customHeight="1" x14ac:dyDescent="0.25">
      <c r="A411" s="84"/>
      <c r="B411" s="19"/>
      <c r="C411" s="92"/>
      <c r="D411" s="90"/>
      <c r="E411" s="86"/>
      <c r="F411" s="86"/>
      <c r="G411" s="86"/>
      <c r="H411" s="19"/>
      <c r="I411" s="19"/>
      <c r="J411" s="19"/>
      <c r="K411" s="19"/>
      <c r="L411" s="2"/>
      <c r="M411" s="19"/>
      <c r="N411" s="19"/>
      <c r="O411" s="19"/>
      <c r="P411" s="19"/>
      <c r="Q411" s="91"/>
      <c r="R411" s="91"/>
      <c r="S411" s="19"/>
    </row>
    <row r="412" spans="1:19" ht="15.75" customHeight="1" x14ac:dyDescent="0.25">
      <c r="A412" s="84"/>
      <c r="B412" s="19"/>
      <c r="C412" s="92"/>
      <c r="D412" s="90"/>
      <c r="E412" s="86"/>
      <c r="F412" s="86"/>
      <c r="G412" s="86"/>
      <c r="H412" s="19"/>
      <c r="I412" s="19"/>
      <c r="J412" s="19"/>
      <c r="K412" s="19"/>
      <c r="L412" s="2"/>
      <c r="M412" s="19"/>
      <c r="N412" s="19"/>
      <c r="O412" s="19"/>
      <c r="P412" s="19"/>
      <c r="Q412" s="91"/>
      <c r="R412" s="91"/>
      <c r="S412" s="19"/>
    </row>
    <row r="413" spans="1:19" ht="15.75" customHeight="1" x14ac:dyDescent="0.25">
      <c r="A413" s="84"/>
      <c r="B413" s="19"/>
      <c r="C413" s="92"/>
      <c r="D413" s="90"/>
      <c r="E413" s="86"/>
      <c r="F413" s="86"/>
      <c r="G413" s="86"/>
      <c r="H413" s="19"/>
      <c r="I413" s="19"/>
      <c r="J413" s="19"/>
      <c r="K413" s="19"/>
      <c r="L413" s="2"/>
      <c r="M413" s="19"/>
      <c r="N413" s="19"/>
      <c r="O413" s="19"/>
      <c r="P413" s="19"/>
      <c r="Q413" s="91"/>
      <c r="R413" s="91"/>
      <c r="S413" s="19"/>
    </row>
    <row r="414" spans="1:19" ht="15.75" customHeight="1" x14ac:dyDescent="0.25">
      <c r="A414" s="84"/>
      <c r="B414" s="19"/>
      <c r="C414" s="92"/>
      <c r="D414" s="90"/>
      <c r="E414" s="86"/>
      <c r="F414" s="86"/>
      <c r="G414" s="86"/>
      <c r="H414" s="19"/>
      <c r="I414" s="19"/>
      <c r="J414" s="19"/>
      <c r="K414" s="19"/>
      <c r="L414" s="2"/>
      <c r="M414" s="19"/>
      <c r="N414" s="19"/>
      <c r="O414" s="19"/>
      <c r="P414" s="19"/>
      <c r="Q414" s="91"/>
      <c r="R414" s="91"/>
      <c r="S414" s="19"/>
    </row>
    <row r="415" spans="1:19" ht="15.75" customHeight="1" x14ac:dyDescent="0.25">
      <c r="A415" s="84"/>
      <c r="B415" s="19"/>
      <c r="C415" s="92"/>
      <c r="D415" s="90"/>
      <c r="E415" s="86"/>
      <c r="F415" s="86"/>
      <c r="G415" s="86"/>
      <c r="H415" s="19"/>
      <c r="I415" s="19"/>
      <c r="J415" s="19"/>
      <c r="K415" s="19"/>
      <c r="L415" s="2"/>
      <c r="M415" s="19"/>
      <c r="N415" s="19"/>
      <c r="O415" s="19"/>
      <c r="P415" s="19"/>
      <c r="Q415" s="91"/>
      <c r="R415" s="91"/>
      <c r="S415" s="19"/>
    </row>
    <row r="416" spans="1:19" ht="15.75" customHeight="1" x14ac:dyDescent="0.25">
      <c r="A416" s="84"/>
      <c r="B416" s="19"/>
      <c r="C416" s="92"/>
      <c r="D416" s="90"/>
      <c r="E416" s="86"/>
      <c r="F416" s="86"/>
      <c r="G416" s="86"/>
      <c r="H416" s="19"/>
      <c r="I416" s="19"/>
      <c r="J416" s="19"/>
      <c r="K416" s="19"/>
      <c r="L416" s="2"/>
      <c r="M416" s="19"/>
      <c r="N416" s="19"/>
      <c r="O416" s="19"/>
      <c r="P416" s="19"/>
      <c r="Q416" s="91"/>
      <c r="R416" s="91"/>
      <c r="S416" s="19"/>
    </row>
    <row r="417" spans="1:19" ht="15.75" customHeight="1" x14ac:dyDescent="0.25">
      <c r="A417" s="84"/>
      <c r="B417" s="19"/>
      <c r="C417" s="92"/>
      <c r="D417" s="90"/>
      <c r="E417" s="86"/>
      <c r="F417" s="86"/>
      <c r="G417" s="86"/>
      <c r="H417" s="19"/>
      <c r="I417" s="19"/>
      <c r="J417" s="19"/>
      <c r="K417" s="19"/>
      <c r="L417" s="2"/>
      <c r="M417" s="19"/>
      <c r="N417" s="19"/>
      <c r="O417" s="19"/>
      <c r="P417" s="19"/>
      <c r="Q417" s="91"/>
      <c r="R417" s="91"/>
      <c r="S417" s="19"/>
    </row>
    <row r="418" spans="1:19" ht="15.75" customHeight="1" x14ac:dyDescent="0.25">
      <c r="A418" s="84"/>
      <c r="B418" s="19"/>
      <c r="C418" s="92"/>
      <c r="D418" s="90"/>
      <c r="E418" s="86"/>
      <c r="F418" s="86"/>
      <c r="G418" s="86"/>
      <c r="H418" s="19"/>
      <c r="I418" s="19"/>
      <c r="J418" s="19"/>
      <c r="K418" s="19"/>
      <c r="L418" s="2"/>
      <c r="M418" s="19"/>
      <c r="N418" s="19"/>
      <c r="O418" s="19"/>
      <c r="P418" s="19"/>
      <c r="Q418" s="91"/>
      <c r="R418" s="91"/>
      <c r="S418" s="19"/>
    </row>
    <row r="419" spans="1:19" ht="15.75" customHeight="1" x14ac:dyDescent="0.25">
      <c r="A419" s="84"/>
      <c r="B419" s="19"/>
      <c r="C419" s="92"/>
      <c r="D419" s="90"/>
      <c r="E419" s="86"/>
      <c r="F419" s="86"/>
      <c r="G419" s="86"/>
      <c r="H419" s="19"/>
      <c r="I419" s="19"/>
      <c r="J419" s="19"/>
      <c r="K419" s="19"/>
      <c r="L419" s="2"/>
      <c r="M419" s="19"/>
      <c r="N419" s="19"/>
      <c r="O419" s="19"/>
      <c r="P419" s="19"/>
      <c r="Q419" s="91"/>
      <c r="R419" s="91"/>
      <c r="S419" s="19"/>
    </row>
    <row r="420" spans="1:19" ht="15.75" customHeight="1" x14ac:dyDescent="0.25">
      <c r="A420" s="84"/>
      <c r="B420" s="19"/>
      <c r="C420" s="92"/>
      <c r="D420" s="90"/>
      <c r="E420" s="86"/>
      <c r="F420" s="86"/>
      <c r="G420" s="86"/>
      <c r="H420" s="19"/>
      <c r="I420" s="19"/>
      <c r="J420" s="19"/>
      <c r="K420" s="19"/>
      <c r="L420" s="2"/>
      <c r="M420" s="19"/>
      <c r="N420" s="19"/>
      <c r="O420" s="19"/>
      <c r="P420" s="19"/>
      <c r="Q420" s="91"/>
      <c r="R420" s="91"/>
      <c r="S420" s="19"/>
    </row>
    <row r="421" spans="1:19" ht="15.75" customHeight="1" x14ac:dyDescent="0.25">
      <c r="A421" s="84"/>
      <c r="B421" s="19"/>
      <c r="C421" s="92"/>
      <c r="D421" s="90"/>
      <c r="E421" s="86"/>
      <c r="F421" s="86"/>
      <c r="G421" s="86"/>
      <c r="H421" s="19"/>
      <c r="I421" s="19"/>
      <c r="J421" s="19"/>
      <c r="K421" s="19"/>
      <c r="L421" s="2"/>
      <c r="M421" s="19"/>
      <c r="N421" s="19"/>
      <c r="O421" s="19"/>
      <c r="P421" s="19"/>
      <c r="Q421" s="91"/>
      <c r="R421" s="91"/>
      <c r="S421" s="19"/>
    </row>
    <row r="422" spans="1:19" ht="15.75" customHeight="1" x14ac:dyDescent="0.25">
      <c r="A422" s="84"/>
      <c r="B422" s="19"/>
      <c r="C422" s="92"/>
      <c r="D422" s="90"/>
      <c r="E422" s="86"/>
      <c r="F422" s="86"/>
      <c r="G422" s="86"/>
      <c r="H422" s="19"/>
      <c r="I422" s="19"/>
      <c r="J422" s="19"/>
      <c r="K422" s="19"/>
      <c r="L422" s="2"/>
      <c r="M422" s="19"/>
      <c r="N422" s="19"/>
      <c r="O422" s="19"/>
      <c r="P422" s="19"/>
      <c r="Q422" s="91"/>
      <c r="R422" s="91"/>
      <c r="S422" s="19"/>
    </row>
    <row r="423" spans="1:19" ht="15.75" customHeight="1" x14ac:dyDescent="0.25">
      <c r="A423" s="84"/>
      <c r="B423" s="19"/>
      <c r="C423" s="92"/>
      <c r="D423" s="90"/>
      <c r="E423" s="86"/>
      <c r="F423" s="86"/>
      <c r="G423" s="86"/>
      <c r="H423" s="19"/>
      <c r="I423" s="19"/>
      <c r="J423" s="19"/>
      <c r="K423" s="19"/>
      <c r="L423" s="2"/>
      <c r="M423" s="19"/>
      <c r="N423" s="19"/>
      <c r="O423" s="19"/>
      <c r="P423" s="19"/>
      <c r="Q423" s="91"/>
      <c r="R423" s="91"/>
      <c r="S423" s="19"/>
    </row>
    <row r="424" spans="1:19" ht="15.75" customHeight="1" x14ac:dyDescent="0.25">
      <c r="A424" s="84"/>
      <c r="B424" s="19"/>
      <c r="C424" s="92"/>
      <c r="D424" s="90"/>
      <c r="E424" s="86"/>
      <c r="F424" s="86"/>
      <c r="G424" s="86"/>
      <c r="H424" s="19"/>
      <c r="I424" s="19"/>
      <c r="J424" s="19"/>
      <c r="K424" s="19"/>
      <c r="L424" s="2"/>
      <c r="M424" s="19"/>
      <c r="N424" s="19"/>
      <c r="O424" s="19"/>
      <c r="P424" s="19"/>
      <c r="Q424" s="91"/>
      <c r="R424" s="91"/>
      <c r="S424" s="19"/>
    </row>
    <row r="425" spans="1:19" ht="15.75" customHeight="1" x14ac:dyDescent="0.25">
      <c r="A425" s="84"/>
      <c r="B425" s="19"/>
      <c r="C425" s="92"/>
      <c r="D425" s="90"/>
      <c r="E425" s="86"/>
      <c r="F425" s="86"/>
      <c r="G425" s="86"/>
      <c r="H425" s="19"/>
      <c r="I425" s="19"/>
      <c r="J425" s="19"/>
      <c r="K425" s="19"/>
      <c r="L425" s="2"/>
      <c r="M425" s="19"/>
      <c r="N425" s="19"/>
      <c r="O425" s="19"/>
      <c r="P425" s="19"/>
      <c r="Q425" s="91"/>
      <c r="R425" s="91"/>
      <c r="S425" s="19"/>
    </row>
    <row r="426" spans="1:19" ht="15.75" customHeight="1" x14ac:dyDescent="0.25">
      <c r="A426" s="84"/>
      <c r="B426" s="19"/>
      <c r="C426" s="92"/>
      <c r="D426" s="90"/>
      <c r="E426" s="86"/>
      <c r="F426" s="86"/>
      <c r="G426" s="86"/>
      <c r="H426" s="19"/>
      <c r="I426" s="19"/>
      <c r="J426" s="19"/>
      <c r="K426" s="19"/>
      <c r="L426" s="2"/>
      <c r="M426" s="19"/>
      <c r="N426" s="19"/>
      <c r="O426" s="19"/>
      <c r="P426" s="19"/>
      <c r="Q426" s="91"/>
      <c r="R426" s="91"/>
      <c r="S426" s="19"/>
    </row>
    <row r="427" spans="1:19" ht="15.75" customHeight="1" x14ac:dyDescent="0.25">
      <c r="A427" s="84"/>
      <c r="B427" s="19"/>
      <c r="C427" s="92"/>
      <c r="D427" s="90"/>
      <c r="E427" s="86"/>
      <c r="F427" s="86"/>
      <c r="G427" s="86"/>
      <c r="H427" s="19"/>
      <c r="I427" s="19"/>
      <c r="J427" s="19"/>
      <c r="K427" s="19"/>
      <c r="L427" s="2"/>
      <c r="M427" s="19"/>
      <c r="N427" s="19"/>
      <c r="O427" s="19"/>
      <c r="P427" s="19"/>
      <c r="Q427" s="91"/>
      <c r="R427" s="91"/>
      <c r="S427" s="19"/>
    </row>
    <row r="428" spans="1:19" ht="15.75" customHeight="1" x14ac:dyDescent="0.25">
      <c r="A428" s="84"/>
      <c r="B428" s="19"/>
      <c r="C428" s="92"/>
      <c r="D428" s="90"/>
      <c r="E428" s="86"/>
      <c r="F428" s="86"/>
      <c r="G428" s="86"/>
      <c r="H428" s="19"/>
      <c r="I428" s="19"/>
      <c r="J428" s="19"/>
      <c r="K428" s="19"/>
      <c r="L428" s="2"/>
      <c r="M428" s="19"/>
      <c r="N428" s="19"/>
      <c r="O428" s="19"/>
      <c r="P428" s="19"/>
      <c r="Q428" s="91"/>
      <c r="R428" s="91"/>
      <c r="S428" s="19"/>
    </row>
    <row r="429" spans="1:19" ht="15.75" customHeight="1" x14ac:dyDescent="0.25">
      <c r="A429" s="84"/>
      <c r="B429" s="19"/>
      <c r="C429" s="92"/>
      <c r="D429" s="90"/>
      <c r="E429" s="86"/>
      <c r="F429" s="86"/>
      <c r="G429" s="86"/>
      <c r="H429" s="19"/>
      <c r="I429" s="19"/>
      <c r="J429" s="19"/>
      <c r="K429" s="19"/>
      <c r="L429" s="2"/>
      <c r="M429" s="19"/>
      <c r="N429" s="19"/>
      <c r="O429" s="19"/>
      <c r="P429" s="19"/>
      <c r="Q429" s="91"/>
      <c r="R429" s="91"/>
      <c r="S429" s="19"/>
    </row>
    <row r="430" spans="1:19" ht="15.75" customHeight="1" x14ac:dyDescent="0.25">
      <c r="A430" s="84"/>
      <c r="B430" s="19"/>
      <c r="C430" s="92"/>
      <c r="D430" s="90"/>
      <c r="E430" s="86"/>
      <c r="F430" s="86"/>
      <c r="G430" s="86"/>
      <c r="H430" s="19"/>
      <c r="I430" s="19"/>
      <c r="J430" s="19"/>
      <c r="K430" s="19"/>
      <c r="L430" s="2"/>
      <c r="M430" s="19"/>
      <c r="N430" s="19"/>
      <c r="O430" s="19"/>
      <c r="P430" s="19"/>
      <c r="Q430" s="91"/>
      <c r="R430" s="91"/>
      <c r="S430" s="19"/>
    </row>
    <row r="431" spans="1:19" ht="15.75" customHeight="1" x14ac:dyDescent="0.25">
      <c r="A431" s="84"/>
      <c r="B431" s="19"/>
      <c r="C431" s="92"/>
      <c r="D431" s="90"/>
      <c r="E431" s="86"/>
      <c r="F431" s="86"/>
      <c r="G431" s="86"/>
      <c r="H431" s="19"/>
      <c r="I431" s="19"/>
      <c r="J431" s="19"/>
      <c r="K431" s="19"/>
      <c r="L431" s="2"/>
      <c r="M431" s="19"/>
      <c r="N431" s="19"/>
      <c r="O431" s="19"/>
      <c r="P431" s="19"/>
      <c r="Q431" s="91"/>
      <c r="R431" s="91"/>
      <c r="S431" s="19"/>
    </row>
    <row r="432" spans="1:19" ht="15.75" customHeight="1" x14ac:dyDescent="0.25">
      <c r="A432" s="84"/>
      <c r="B432" s="19"/>
      <c r="C432" s="92"/>
      <c r="D432" s="90"/>
      <c r="E432" s="86"/>
      <c r="F432" s="86"/>
      <c r="G432" s="86"/>
      <c r="H432" s="19"/>
      <c r="I432" s="19"/>
      <c r="J432" s="19"/>
      <c r="K432" s="19"/>
      <c r="L432" s="2"/>
      <c r="M432" s="19"/>
      <c r="N432" s="19"/>
      <c r="O432" s="19"/>
      <c r="P432" s="19"/>
      <c r="Q432" s="91"/>
      <c r="R432" s="91"/>
      <c r="S432" s="19"/>
    </row>
    <row r="433" spans="1:19" ht="15.75" customHeight="1" x14ac:dyDescent="0.25">
      <c r="A433" s="84"/>
      <c r="B433" s="19"/>
      <c r="C433" s="92"/>
      <c r="D433" s="90"/>
      <c r="E433" s="86"/>
      <c r="F433" s="86"/>
      <c r="G433" s="86"/>
      <c r="H433" s="19"/>
      <c r="I433" s="19"/>
      <c r="J433" s="19"/>
      <c r="K433" s="19"/>
      <c r="L433" s="2"/>
      <c r="M433" s="19"/>
      <c r="N433" s="19"/>
      <c r="O433" s="19"/>
      <c r="P433" s="19"/>
      <c r="Q433" s="91"/>
      <c r="R433" s="91"/>
      <c r="S433" s="19"/>
    </row>
    <row r="434" spans="1:19" ht="15.75" customHeight="1" x14ac:dyDescent="0.25">
      <c r="A434" s="84"/>
      <c r="B434" s="19"/>
      <c r="C434" s="92"/>
      <c r="D434" s="90"/>
      <c r="E434" s="86"/>
      <c r="F434" s="86"/>
      <c r="G434" s="86"/>
      <c r="H434" s="19"/>
      <c r="I434" s="19"/>
      <c r="J434" s="19"/>
      <c r="K434" s="19"/>
      <c r="L434" s="2"/>
      <c r="M434" s="19"/>
      <c r="N434" s="19"/>
      <c r="O434" s="19"/>
      <c r="P434" s="19"/>
      <c r="Q434" s="91"/>
      <c r="R434" s="91"/>
      <c r="S434" s="19"/>
    </row>
    <row r="435" spans="1:19" ht="15.75" customHeight="1" x14ac:dyDescent="0.25">
      <c r="A435" s="84"/>
      <c r="B435" s="19"/>
      <c r="C435" s="92"/>
      <c r="D435" s="90"/>
      <c r="E435" s="86"/>
      <c r="F435" s="86"/>
      <c r="G435" s="86"/>
      <c r="H435" s="19"/>
      <c r="I435" s="19"/>
      <c r="J435" s="19"/>
      <c r="K435" s="19"/>
      <c r="L435" s="2"/>
      <c r="M435" s="19"/>
      <c r="N435" s="19"/>
      <c r="O435" s="19"/>
      <c r="P435" s="19"/>
      <c r="Q435" s="91"/>
      <c r="R435" s="91"/>
      <c r="S435" s="19"/>
    </row>
    <row r="436" spans="1:19" ht="15.75" customHeight="1" x14ac:dyDescent="0.25">
      <c r="A436" s="84"/>
      <c r="B436" s="19"/>
      <c r="C436" s="92"/>
      <c r="D436" s="90"/>
      <c r="E436" s="86"/>
      <c r="F436" s="86"/>
      <c r="G436" s="86"/>
      <c r="H436" s="19"/>
      <c r="I436" s="19"/>
      <c r="J436" s="19"/>
      <c r="K436" s="19"/>
      <c r="L436" s="2"/>
      <c r="M436" s="19"/>
      <c r="N436" s="19"/>
      <c r="O436" s="19"/>
      <c r="P436" s="19"/>
      <c r="Q436" s="91"/>
      <c r="R436" s="91"/>
      <c r="S436" s="19"/>
    </row>
    <row r="437" spans="1:19" ht="15.75" customHeight="1" x14ac:dyDescent="0.25">
      <c r="A437" s="84"/>
      <c r="B437" s="19"/>
      <c r="C437" s="92"/>
      <c r="D437" s="90"/>
      <c r="E437" s="86"/>
      <c r="F437" s="86"/>
      <c r="G437" s="86"/>
      <c r="H437" s="19"/>
      <c r="I437" s="19"/>
      <c r="J437" s="19"/>
      <c r="K437" s="19"/>
      <c r="L437" s="2"/>
      <c r="M437" s="19"/>
      <c r="N437" s="19"/>
      <c r="O437" s="19"/>
      <c r="P437" s="19"/>
      <c r="Q437" s="91"/>
      <c r="R437" s="91"/>
      <c r="S437" s="19"/>
    </row>
    <row r="438" spans="1:19" ht="15.75" customHeight="1" x14ac:dyDescent="0.25">
      <c r="A438" s="84"/>
      <c r="B438" s="19"/>
      <c r="C438" s="92"/>
      <c r="D438" s="90"/>
      <c r="E438" s="86"/>
      <c r="F438" s="86"/>
      <c r="G438" s="86"/>
      <c r="H438" s="19"/>
      <c r="I438" s="19"/>
      <c r="J438" s="19"/>
      <c r="K438" s="19"/>
      <c r="L438" s="2"/>
      <c r="M438" s="19"/>
      <c r="N438" s="19"/>
      <c r="O438" s="19"/>
      <c r="P438" s="19"/>
      <c r="Q438" s="91"/>
      <c r="R438" s="91"/>
      <c r="S438" s="19"/>
    </row>
    <row r="439" spans="1:19" ht="15.75" customHeight="1" x14ac:dyDescent="0.25">
      <c r="A439" s="84"/>
      <c r="B439" s="19"/>
      <c r="C439" s="92"/>
      <c r="D439" s="90"/>
      <c r="E439" s="86"/>
      <c r="F439" s="86"/>
      <c r="G439" s="86"/>
      <c r="H439" s="19"/>
      <c r="I439" s="19"/>
      <c r="J439" s="19"/>
      <c r="K439" s="19"/>
      <c r="L439" s="2"/>
      <c r="M439" s="19"/>
      <c r="N439" s="19"/>
      <c r="O439" s="19"/>
      <c r="P439" s="19"/>
      <c r="Q439" s="91"/>
      <c r="R439" s="91"/>
      <c r="S439" s="19"/>
    </row>
    <row r="440" spans="1:19" ht="15.75" customHeight="1" x14ac:dyDescent="0.25">
      <c r="A440" s="84"/>
      <c r="B440" s="19"/>
      <c r="C440" s="92"/>
      <c r="D440" s="90"/>
      <c r="E440" s="86"/>
      <c r="F440" s="86"/>
      <c r="G440" s="86"/>
      <c r="H440" s="19"/>
      <c r="I440" s="19"/>
      <c r="J440" s="19"/>
      <c r="K440" s="19"/>
      <c r="L440" s="2"/>
      <c r="M440" s="19"/>
      <c r="N440" s="19"/>
      <c r="O440" s="19"/>
      <c r="P440" s="19"/>
      <c r="Q440" s="91"/>
      <c r="R440" s="91"/>
      <c r="S440" s="19"/>
    </row>
    <row r="441" spans="1:19" ht="15.75" customHeight="1" x14ac:dyDescent="0.25">
      <c r="A441" s="84"/>
      <c r="B441" s="19"/>
      <c r="C441" s="92"/>
      <c r="D441" s="90"/>
      <c r="E441" s="86"/>
      <c r="F441" s="86"/>
      <c r="G441" s="86"/>
      <c r="H441" s="19"/>
      <c r="I441" s="19"/>
      <c r="J441" s="19"/>
      <c r="K441" s="19"/>
      <c r="L441" s="2"/>
      <c r="M441" s="19"/>
      <c r="N441" s="19"/>
      <c r="O441" s="19"/>
      <c r="P441" s="19"/>
      <c r="Q441" s="91"/>
      <c r="R441" s="91"/>
      <c r="S441" s="19"/>
    </row>
    <row r="442" spans="1:19" ht="15.75" customHeight="1" x14ac:dyDescent="0.25">
      <c r="A442" s="84"/>
      <c r="B442" s="19"/>
      <c r="C442" s="92"/>
      <c r="D442" s="90"/>
      <c r="E442" s="86"/>
      <c r="F442" s="86"/>
      <c r="G442" s="86"/>
      <c r="H442" s="19"/>
      <c r="I442" s="19"/>
      <c r="J442" s="19"/>
      <c r="K442" s="19"/>
      <c r="L442" s="2"/>
      <c r="M442" s="19"/>
      <c r="N442" s="19"/>
      <c r="O442" s="19"/>
      <c r="P442" s="19"/>
      <c r="Q442" s="91"/>
      <c r="R442" s="91"/>
      <c r="S442" s="19"/>
    </row>
    <row r="443" spans="1:19" ht="15.75" customHeight="1" x14ac:dyDescent="0.25">
      <c r="A443" s="84"/>
      <c r="B443" s="19"/>
      <c r="C443" s="92"/>
      <c r="D443" s="90"/>
      <c r="E443" s="86"/>
      <c r="F443" s="86"/>
      <c r="G443" s="86"/>
      <c r="H443" s="19"/>
      <c r="I443" s="19"/>
      <c r="J443" s="19"/>
      <c r="K443" s="19"/>
      <c r="L443" s="2"/>
      <c r="M443" s="19"/>
      <c r="N443" s="19"/>
      <c r="O443" s="19"/>
      <c r="P443" s="19"/>
      <c r="Q443" s="91"/>
      <c r="R443" s="91"/>
      <c r="S443" s="19"/>
    </row>
    <row r="444" spans="1:19" ht="15.75" customHeight="1" x14ac:dyDescent="0.25">
      <c r="A444" s="84"/>
      <c r="B444" s="19"/>
      <c r="C444" s="92"/>
      <c r="D444" s="90"/>
      <c r="E444" s="86"/>
      <c r="F444" s="86"/>
      <c r="G444" s="86"/>
      <c r="H444" s="19"/>
      <c r="I444" s="19"/>
      <c r="J444" s="19"/>
      <c r="K444" s="19"/>
      <c r="L444" s="2"/>
      <c r="M444" s="19"/>
      <c r="N444" s="19"/>
      <c r="O444" s="19"/>
      <c r="P444" s="19"/>
      <c r="Q444" s="91"/>
      <c r="R444" s="91"/>
      <c r="S444" s="19"/>
    </row>
    <row r="445" spans="1:19" ht="15.75" customHeight="1" x14ac:dyDescent="0.25">
      <c r="A445" s="84"/>
      <c r="B445" s="19"/>
      <c r="C445" s="92"/>
      <c r="D445" s="90"/>
      <c r="E445" s="86"/>
      <c r="F445" s="86"/>
      <c r="G445" s="86"/>
      <c r="H445" s="19"/>
      <c r="I445" s="19"/>
      <c r="J445" s="19"/>
      <c r="K445" s="19"/>
      <c r="L445" s="2"/>
      <c r="M445" s="19"/>
      <c r="N445" s="19"/>
      <c r="O445" s="19"/>
      <c r="P445" s="19"/>
      <c r="Q445" s="91"/>
      <c r="R445" s="91"/>
      <c r="S445" s="19"/>
    </row>
    <row r="446" spans="1:19" ht="15.75" customHeight="1" x14ac:dyDescent="0.25">
      <c r="A446" s="84"/>
      <c r="B446" s="19"/>
      <c r="C446" s="92"/>
      <c r="D446" s="90"/>
      <c r="E446" s="86"/>
      <c r="F446" s="86"/>
      <c r="G446" s="86"/>
      <c r="H446" s="19"/>
      <c r="I446" s="19"/>
      <c r="J446" s="19"/>
      <c r="K446" s="19"/>
      <c r="L446" s="2"/>
      <c r="M446" s="19"/>
      <c r="N446" s="19"/>
      <c r="O446" s="19"/>
      <c r="P446" s="19"/>
      <c r="Q446" s="91"/>
      <c r="R446" s="91"/>
      <c r="S446" s="19"/>
    </row>
    <row r="447" spans="1:19" ht="15.75" customHeight="1" x14ac:dyDescent="0.25">
      <c r="A447" s="84"/>
      <c r="B447" s="19"/>
      <c r="C447" s="92"/>
      <c r="D447" s="90"/>
      <c r="E447" s="86"/>
      <c r="F447" s="86"/>
      <c r="G447" s="86"/>
      <c r="H447" s="19"/>
      <c r="I447" s="19"/>
      <c r="J447" s="19"/>
      <c r="K447" s="19"/>
      <c r="L447" s="2"/>
      <c r="M447" s="19"/>
      <c r="N447" s="19"/>
      <c r="O447" s="19"/>
      <c r="P447" s="19"/>
      <c r="Q447" s="91"/>
      <c r="R447" s="91"/>
      <c r="S447" s="19"/>
    </row>
    <row r="448" spans="1:19" ht="15.75" customHeight="1" x14ac:dyDescent="0.25">
      <c r="A448" s="84"/>
      <c r="B448" s="19"/>
      <c r="C448" s="92"/>
      <c r="D448" s="90"/>
      <c r="E448" s="86"/>
      <c r="F448" s="86"/>
      <c r="G448" s="86"/>
      <c r="H448" s="19"/>
      <c r="I448" s="19"/>
      <c r="J448" s="19"/>
      <c r="K448" s="19"/>
      <c r="L448" s="2"/>
      <c r="M448" s="19"/>
      <c r="N448" s="19"/>
      <c r="O448" s="19"/>
      <c r="P448" s="19"/>
      <c r="Q448" s="91"/>
      <c r="R448" s="91"/>
      <c r="S448" s="19"/>
    </row>
    <row r="449" spans="1:19" ht="15.75" customHeight="1" x14ac:dyDescent="0.25">
      <c r="A449" s="84"/>
      <c r="B449" s="19"/>
      <c r="C449" s="92"/>
      <c r="D449" s="90"/>
      <c r="E449" s="86"/>
      <c r="F449" s="86"/>
      <c r="G449" s="86"/>
      <c r="H449" s="19"/>
      <c r="I449" s="19"/>
      <c r="J449" s="19"/>
      <c r="K449" s="19"/>
      <c r="L449" s="2"/>
      <c r="M449" s="19"/>
      <c r="N449" s="19"/>
      <c r="O449" s="19"/>
      <c r="P449" s="19"/>
      <c r="Q449" s="91"/>
      <c r="R449" s="91"/>
      <c r="S449" s="19"/>
    </row>
    <row r="450" spans="1:19" ht="15.75" customHeight="1" x14ac:dyDescent="0.25">
      <c r="A450" s="84"/>
      <c r="B450" s="19"/>
      <c r="C450" s="92"/>
      <c r="D450" s="90"/>
      <c r="E450" s="86"/>
      <c r="F450" s="86"/>
      <c r="G450" s="86"/>
      <c r="H450" s="19"/>
      <c r="I450" s="19"/>
      <c r="J450" s="19"/>
      <c r="K450" s="19"/>
      <c r="L450" s="2"/>
      <c r="M450" s="19"/>
      <c r="N450" s="19"/>
      <c r="O450" s="19"/>
      <c r="P450" s="19"/>
      <c r="Q450" s="91"/>
      <c r="R450" s="91"/>
      <c r="S450" s="19"/>
    </row>
    <row r="451" spans="1:19" ht="15.75" customHeight="1" x14ac:dyDescent="0.25">
      <c r="A451" s="84"/>
      <c r="B451" s="19"/>
      <c r="C451" s="92"/>
      <c r="D451" s="90"/>
      <c r="E451" s="86"/>
      <c r="F451" s="86"/>
      <c r="G451" s="86"/>
      <c r="H451" s="19"/>
      <c r="I451" s="19"/>
      <c r="J451" s="19"/>
      <c r="K451" s="19"/>
      <c r="L451" s="2"/>
      <c r="M451" s="19"/>
      <c r="N451" s="19"/>
      <c r="O451" s="19"/>
      <c r="P451" s="19"/>
      <c r="Q451" s="91"/>
      <c r="R451" s="91"/>
      <c r="S451" s="19"/>
    </row>
    <row r="452" spans="1:19" ht="15.75" customHeight="1" x14ac:dyDescent="0.25">
      <c r="A452" s="84"/>
      <c r="B452" s="19"/>
      <c r="C452" s="92"/>
      <c r="D452" s="90"/>
      <c r="E452" s="86"/>
      <c r="F452" s="86"/>
      <c r="G452" s="86"/>
      <c r="H452" s="19"/>
      <c r="I452" s="19"/>
      <c r="J452" s="19"/>
      <c r="K452" s="19"/>
      <c r="L452" s="2"/>
      <c r="M452" s="19"/>
      <c r="N452" s="19"/>
      <c r="O452" s="19"/>
      <c r="P452" s="19"/>
      <c r="Q452" s="91"/>
      <c r="R452" s="91"/>
      <c r="S452" s="19"/>
    </row>
    <row r="453" spans="1:19" ht="15.75" customHeight="1" x14ac:dyDescent="0.25">
      <c r="A453" s="84"/>
      <c r="B453" s="19"/>
      <c r="C453" s="92"/>
      <c r="D453" s="90"/>
      <c r="E453" s="86"/>
      <c r="F453" s="86"/>
      <c r="G453" s="86"/>
      <c r="H453" s="19"/>
      <c r="I453" s="19"/>
      <c r="J453" s="19"/>
      <c r="K453" s="19"/>
      <c r="L453" s="2"/>
      <c r="M453" s="19"/>
      <c r="N453" s="19"/>
      <c r="O453" s="19"/>
      <c r="P453" s="19"/>
      <c r="Q453" s="91"/>
      <c r="R453" s="91"/>
      <c r="S453" s="19"/>
    </row>
    <row r="454" spans="1:19" ht="15.75" customHeight="1" x14ac:dyDescent="0.25">
      <c r="A454" s="84"/>
      <c r="B454" s="19"/>
      <c r="C454" s="92"/>
      <c r="D454" s="90"/>
      <c r="E454" s="86"/>
      <c r="F454" s="86"/>
      <c r="G454" s="86"/>
      <c r="H454" s="19"/>
      <c r="I454" s="19"/>
      <c r="J454" s="19"/>
      <c r="K454" s="19"/>
      <c r="L454" s="2"/>
      <c r="M454" s="19"/>
      <c r="N454" s="19"/>
      <c r="O454" s="19"/>
      <c r="P454" s="19"/>
      <c r="Q454" s="91"/>
      <c r="R454" s="91"/>
      <c r="S454" s="19"/>
    </row>
    <row r="455" spans="1:19" ht="15.75" customHeight="1" x14ac:dyDescent="0.25">
      <c r="A455" s="84"/>
      <c r="B455" s="19"/>
      <c r="C455" s="92"/>
      <c r="D455" s="90"/>
      <c r="E455" s="86"/>
      <c r="F455" s="86"/>
      <c r="G455" s="86"/>
      <c r="H455" s="19"/>
      <c r="I455" s="19"/>
      <c r="J455" s="19"/>
      <c r="K455" s="19"/>
      <c r="L455" s="2"/>
      <c r="M455" s="19"/>
      <c r="N455" s="19"/>
      <c r="O455" s="19"/>
      <c r="P455" s="19"/>
      <c r="Q455" s="91"/>
      <c r="R455" s="91"/>
      <c r="S455" s="19"/>
    </row>
    <row r="456" spans="1:19" ht="15.75" customHeight="1" x14ac:dyDescent="0.25">
      <c r="A456" s="84"/>
      <c r="B456" s="19"/>
      <c r="C456" s="92"/>
      <c r="D456" s="90"/>
      <c r="E456" s="86"/>
      <c r="F456" s="86"/>
      <c r="G456" s="86"/>
      <c r="H456" s="19"/>
      <c r="I456" s="19"/>
      <c r="J456" s="19"/>
      <c r="K456" s="19"/>
      <c r="L456" s="2"/>
      <c r="M456" s="19"/>
      <c r="N456" s="19"/>
      <c r="O456" s="19"/>
      <c r="P456" s="19"/>
      <c r="Q456" s="91"/>
      <c r="R456" s="91"/>
      <c r="S456" s="19"/>
    </row>
    <row r="457" spans="1:19" ht="15.75" customHeight="1" x14ac:dyDescent="0.25">
      <c r="A457" s="84"/>
      <c r="B457" s="19"/>
      <c r="C457" s="92"/>
      <c r="D457" s="90"/>
      <c r="E457" s="86"/>
      <c r="F457" s="86"/>
      <c r="G457" s="86"/>
      <c r="H457" s="19"/>
      <c r="I457" s="19"/>
      <c r="J457" s="19"/>
      <c r="K457" s="19"/>
      <c r="L457" s="2"/>
      <c r="M457" s="19"/>
      <c r="N457" s="19"/>
      <c r="O457" s="19"/>
      <c r="P457" s="19"/>
      <c r="Q457" s="91"/>
      <c r="R457" s="91"/>
      <c r="S457" s="19"/>
    </row>
    <row r="458" spans="1:19" ht="15.75" customHeight="1" x14ac:dyDescent="0.25">
      <c r="A458" s="84"/>
      <c r="B458" s="19"/>
      <c r="C458" s="92"/>
      <c r="D458" s="90"/>
      <c r="E458" s="86"/>
      <c r="F458" s="86"/>
      <c r="G458" s="86"/>
      <c r="H458" s="19"/>
      <c r="I458" s="19"/>
      <c r="J458" s="19"/>
      <c r="K458" s="19"/>
      <c r="L458" s="2"/>
      <c r="M458" s="19"/>
      <c r="N458" s="19"/>
      <c r="O458" s="19"/>
      <c r="P458" s="19"/>
      <c r="Q458" s="91"/>
      <c r="R458" s="91"/>
      <c r="S458" s="19"/>
    </row>
    <row r="459" spans="1:19" ht="15.75" customHeight="1" x14ac:dyDescent="0.25">
      <c r="A459" s="84"/>
      <c r="B459" s="19"/>
      <c r="C459" s="92"/>
      <c r="D459" s="90"/>
      <c r="E459" s="86"/>
      <c r="F459" s="86"/>
      <c r="G459" s="86"/>
      <c r="H459" s="19"/>
      <c r="I459" s="19"/>
      <c r="J459" s="19"/>
      <c r="K459" s="19"/>
      <c r="L459" s="2"/>
      <c r="M459" s="19"/>
      <c r="N459" s="19"/>
      <c r="O459" s="19"/>
      <c r="P459" s="19"/>
      <c r="Q459" s="91"/>
      <c r="R459" s="91"/>
      <c r="S459" s="19"/>
    </row>
    <row r="460" spans="1:19" ht="15.75" customHeight="1" x14ac:dyDescent="0.25">
      <c r="A460" s="84"/>
      <c r="B460" s="19"/>
      <c r="C460" s="92"/>
      <c r="D460" s="90"/>
      <c r="E460" s="86"/>
      <c r="F460" s="86"/>
      <c r="G460" s="86"/>
      <c r="H460" s="19"/>
      <c r="I460" s="19"/>
      <c r="J460" s="19"/>
      <c r="K460" s="19"/>
      <c r="L460" s="2"/>
      <c r="M460" s="19"/>
      <c r="N460" s="19"/>
      <c r="O460" s="19"/>
      <c r="P460" s="19"/>
      <c r="Q460" s="91"/>
      <c r="R460" s="91"/>
      <c r="S460" s="19"/>
    </row>
    <row r="461" spans="1:19" ht="15.75" customHeight="1" x14ac:dyDescent="0.25">
      <c r="A461" s="84"/>
      <c r="B461" s="19"/>
      <c r="C461" s="92"/>
      <c r="D461" s="90"/>
      <c r="E461" s="86"/>
      <c r="F461" s="86"/>
      <c r="G461" s="86"/>
      <c r="H461" s="19"/>
      <c r="I461" s="19"/>
      <c r="J461" s="19"/>
      <c r="K461" s="19"/>
      <c r="L461" s="2"/>
      <c r="M461" s="19"/>
      <c r="N461" s="19"/>
      <c r="O461" s="19"/>
      <c r="P461" s="19"/>
      <c r="Q461" s="91"/>
      <c r="R461" s="91"/>
      <c r="S461" s="19"/>
    </row>
    <row r="462" spans="1:19" ht="15.75" customHeight="1" x14ac:dyDescent="0.25">
      <c r="A462" s="84"/>
      <c r="B462" s="19"/>
      <c r="C462" s="92"/>
      <c r="D462" s="90"/>
      <c r="E462" s="86"/>
      <c r="F462" s="86"/>
      <c r="G462" s="86"/>
      <c r="H462" s="19"/>
      <c r="I462" s="19"/>
      <c r="J462" s="19"/>
      <c r="K462" s="19"/>
      <c r="L462" s="2"/>
      <c r="M462" s="19"/>
      <c r="N462" s="19"/>
      <c r="O462" s="19"/>
      <c r="P462" s="19"/>
      <c r="Q462" s="91"/>
      <c r="R462" s="91"/>
      <c r="S462" s="19"/>
    </row>
    <row r="463" spans="1:19" ht="15.75" customHeight="1" x14ac:dyDescent="0.25">
      <c r="A463" s="84"/>
      <c r="B463" s="19"/>
      <c r="C463" s="92"/>
      <c r="D463" s="90"/>
      <c r="E463" s="86"/>
      <c r="F463" s="86"/>
      <c r="G463" s="86"/>
      <c r="H463" s="19"/>
      <c r="I463" s="19"/>
      <c r="J463" s="19"/>
      <c r="K463" s="19"/>
      <c r="L463" s="2"/>
      <c r="M463" s="19"/>
      <c r="N463" s="19"/>
      <c r="O463" s="19"/>
      <c r="P463" s="19"/>
      <c r="Q463" s="91"/>
      <c r="R463" s="91"/>
      <c r="S463" s="19"/>
    </row>
    <row r="464" spans="1:19" ht="15.75" customHeight="1" x14ac:dyDescent="0.25">
      <c r="A464" s="84"/>
      <c r="B464" s="19"/>
      <c r="C464" s="92"/>
      <c r="D464" s="90"/>
      <c r="E464" s="86"/>
      <c r="F464" s="86"/>
      <c r="G464" s="86"/>
      <c r="H464" s="19"/>
      <c r="I464" s="19"/>
      <c r="J464" s="19"/>
      <c r="K464" s="19"/>
      <c r="L464" s="2"/>
      <c r="M464" s="19"/>
      <c r="N464" s="19"/>
      <c r="O464" s="19"/>
      <c r="P464" s="19"/>
      <c r="Q464" s="91"/>
      <c r="R464" s="91"/>
      <c r="S464" s="19"/>
    </row>
    <row r="465" spans="1:19" ht="15.75" customHeight="1" x14ac:dyDescent="0.25">
      <c r="A465" s="84"/>
      <c r="B465" s="19"/>
      <c r="C465" s="92"/>
      <c r="D465" s="90"/>
      <c r="E465" s="86"/>
      <c r="F465" s="86"/>
      <c r="G465" s="86"/>
      <c r="H465" s="19"/>
      <c r="I465" s="19"/>
      <c r="J465" s="19"/>
      <c r="K465" s="19"/>
      <c r="L465" s="2"/>
      <c r="M465" s="19"/>
      <c r="N465" s="19"/>
      <c r="O465" s="19"/>
      <c r="P465" s="19"/>
      <c r="Q465" s="91"/>
      <c r="R465" s="91"/>
      <c r="S465" s="19"/>
    </row>
    <row r="466" spans="1:19" ht="15.75" customHeight="1" x14ac:dyDescent="0.25">
      <c r="A466" s="84"/>
      <c r="B466" s="19"/>
      <c r="C466" s="92"/>
      <c r="D466" s="90"/>
      <c r="E466" s="86"/>
      <c r="F466" s="86"/>
      <c r="G466" s="86"/>
      <c r="H466" s="19"/>
      <c r="I466" s="19"/>
      <c r="J466" s="19"/>
      <c r="K466" s="19"/>
      <c r="L466" s="2"/>
      <c r="M466" s="19"/>
      <c r="N466" s="19"/>
      <c r="O466" s="19"/>
      <c r="P466" s="19"/>
      <c r="Q466" s="91"/>
      <c r="R466" s="91"/>
      <c r="S466" s="19"/>
    </row>
    <row r="467" spans="1:19" ht="15.75" customHeight="1" x14ac:dyDescent="0.25">
      <c r="A467" s="84"/>
      <c r="B467" s="19"/>
      <c r="C467" s="92"/>
      <c r="D467" s="90"/>
      <c r="E467" s="86"/>
      <c r="F467" s="86"/>
      <c r="G467" s="86"/>
      <c r="H467" s="19"/>
      <c r="I467" s="19"/>
      <c r="J467" s="19"/>
      <c r="K467" s="19"/>
      <c r="L467" s="2"/>
      <c r="M467" s="19"/>
      <c r="N467" s="19"/>
      <c r="O467" s="19"/>
      <c r="P467" s="19"/>
      <c r="Q467" s="91"/>
      <c r="R467" s="91"/>
      <c r="S467" s="19"/>
    </row>
    <row r="468" spans="1:19" ht="15.75" customHeight="1" x14ac:dyDescent="0.25">
      <c r="A468" s="84"/>
      <c r="B468" s="19"/>
      <c r="C468" s="92"/>
      <c r="D468" s="90"/>
      <c r="E468" s="86"/>
      <c r="F468" s="86"/>
      <c r="G468" s="86"/>
      <c r="H468" s="19"/>
      <c r="I468" s="19"/>
      <c r="J468" s="19"/>
      <c r="K468" s="19"/>
      <c r="L468" s="2"/>
      <c r="M468" s="19"/>
      <c r="N468" s="19"/>
      <c r="O468" s="19"/>
      <c r="P468" s="19"/>
      <c r="Q468" s="91"/>
      <c r="R468" s="91"/>
      <c r="S468" s="19"/>
    </row>
    <row r="469" spans="1:19" ht="15.75" customHeight="1" x14ac:dyDescent="0.25">
      <c r="A469" s="84"/>
      <c r="B469" s="19"/>
      <c r="C469" s="92"/>
      <c r="D469" s="90"/>
      <c r="E469" s="86"/>
      <c r="F469" s="86"/>
      <c r="G469" s="86"/>
      <c r="H469" s="19"/>
      <c r="I469" s="19"/>
      <c r="J469" s="19"/>
      <c r="K469" s="19"/>
      <c r="L469" s="2"/>
      <c r="M469" s="19"/>
      <c r="N469" s="19"/>
      <c r="O469" s="19"/>
      <c r="P469" s="19"/>
      <c r="Q469" s="91"/>
      <c r="R469" s="91"/>
      <c r="S469" s="19"/>
    </row>
    <row r="470" spans="1:19" ht="15.75" customHeight="1" x14ac:dyDescent="0.25">
      <c r="A470" s="84"/>
      <c r="B470" s="19"/>
      <c r="C470" s="92"/>
      <c r="D470" s="90"/>
      <c r="E470" s="86"/>
      <c r="F470" s="86"/>
      <c r="G470" s="86"/>
      <c r="H470" s="19"/>
      <c r="I470" s="19"/>
      <c r="J470" s="19"/>
      <c r="K470" s="19"/>
      <c r="L470" s="2"/>
      <c r="M470" s="19"/>
      <c r="N470" s="19"/>
      <c r="O470" s="19"/>
      <c r="P470" s="19"/>
      <c r="Q470" s="91"/>
      <c r="R470" s="91"/>
      <c r="S470" s="19"/>
    </row>
    <row r="471" spans="1:19" ht="15.75" customHeight="1" x14ac:dyDescent="0.25">
      <c r="A471" s="84"/>
      <c r="B471" s="19"/>
      <c r="C471" s="92"/>
      <c r="D471" s="90"/>
      <c r="E471" s="86"/>
      <c r="F471" s="86"/>
      <c r="G471" s="86"/>
      <c r="H471" s="19"/>
      <c r="I471" s="19"/>
      <c r="J471" s="19"/>
      <c r="K471" s="19"/>
      <c r="L471" s="2"/>
      <c r="M471" s="19"/>
      <c r="N471" s="19"/>
      <c r="O471" s="19"/>
      <c r="P471" s="19"/>
      <c r="Q471" s="91"/>
      <c r="R471" s="91"/>
      <c r="S471" s="19"/>
    </row>
    <row r="472" spans="1:19" ht="15.75" customHeight="1" x14ac:dyDescent="0.25">
      <c r="A472" s="84"/>
      <c r="B472" s="19"/>
      <c r="C472" s="92"/>
      <c r="D472" s="90"/>
      <c r="E472" s="86"/>
      <c r="F472" s="86"/>
      <c r="G472" s="86"/>
      <c r="H472" s="19"/>
      <c r="I472" s="19"/>
      <c r="J472" s="19"/>
      <c r="K472" s="19"/>
      <c r="L472" s="2"/>
      <c r="M472" s="19"/>
      <c r="N472" s="19"/>
      <c r="O472" s="19"/>
      <c r="P472" s="19"/>
      <c r="Q472" s="91"/>
      <c r="R472" s="91"/>
      <c r="S472" s="19"/>
    </row>
    <row r="473" spans="1:19" ht="15.75" customHeight="1" x14ac:dyDescent="0.25">
      <c r="A473" s="84"/>
      <c r="B473" s="19"/>
      <c r="C473" s="92"/>
      <c r="D473" s="90"/>
      <c r="E473" s="86"/>
      <c r="F473" s="86"/>
      <c r="G473" s="86"/>
      <c r="H473" s="19"/>
      <c r="I473" s="19"/>
      <c r="J473" s="19"/>
      <c r="K473" s="19"/>
      <c r="L473" s="2"/>
      <c r="M473" s="19"/>
      <c r="N473" s="19"/>
      <c r="O473" s="19"/>
      <c r="P473" s="19"/>
      <c r="Q473" s="91"/>
      <c r="R473" s="91"/>
      <c r="S473" s="19"/>
    </row>
    <row r="474" spans="1:19" ht="15.75" customHeight="1" x14ac:dyDescent="0.25">
      <c r="A474" s="84"/>
      <c r="B474" s="19"/>
      <c r="C474" s="92"/>
      <c r="D474" s="90"/>
      <c r="E474" s="86"/>
      <c r="F474" s="86"/>
      <c r="G474" s="86"/>
      <c r="H474" s="19"/>
      <c r="I474" s="19"/>
      <c r="J474" s="19"/>
      <c r="K474" s="19"/>
      <c r="L474" s="2"/>
      <c r="M474" s="19"/>
      <c r="N474" s="19"/>
      <c r="O474" s="19"/>
      <c r="P474" s="19"/>
      <c r="Q474" s="91"/>
      <c r="R474" s="91"/>
      <c r="S474" s="19"/>
    </row>
    <row r="475" spans="1:19" ht="15.75" customHeight="1" x14ac:dyDescent="0.25">
      <c r="A475" s="84"/>
      <c r="B475" s="19"/>
      <c r="C475" s="92"/>
      <c r="D475" s="90"/>
      <c r="E475" s="86"/>
      <c r="F475" s="86"/>
      <c r="G475" s="86"/>
      <c r="H475" s="19"/>
      <c r="I475" s="19"/>
      <c r="J475" s="19"/>
      <c r="K475" s="19"/>
      <c r="L475" s="2"/>
      <c r="M475" s="19"/>
      <c r="N475" s="19"/>
      <c r="O475" s="19"/>
      <c r="P475" s="19"/>
      <c r="Q475" s="91"/>
      <c r="R475" s="91"/>
      <c r="S475" s="19"/>
    </row>
    <row r="476" spans="1:19" ht="15.75" customHeight="1" x14ac:dyDescent="0.25">
      <c r="A476" s="84"/>
      <c r="B476" s="19"/>
      <c r="C476" s="92"/>
      <c r="D476" s="90"/>
      <c r="E476" s="86"/>
      <c r="F476" s="86"/>
      <c r="G476" s="86"/>
      <c r="H476" s="19"/>
      <c r="I476" s="19"/>
      <c r="J476" s="19"/>
      <c r="K476" s="19"/>
      <c r="L476" s="2"/>
      <c r="M476" s="19"/>
      <c r="N476" s="19"/>
      <c r="O476" s="19"/>
      <c r="P476" s="19"/>
      <c r="Q476" s="91"/>
      <c r="R476" s="91"/>
      <c r="S476" s="19"/>
    </row>
    <row r="477" spans="1:19" ht="15.75" customHeight="1" x14ac:dyDescent="0.25">
      <c r="A477" s="84"/>
      <c r="B477" s="19"/>
      <c r="C477" s="92"/>
      <c r="D477" s="90"/>
      <c r="E477" s="86"/>
      <c r="F477" s="86"/>
      <c r="G477" s="86"/>
      <c r="H477" s="19"/>
      <c r="I477" s="19"/>
      <c r="J477" s="19"/>
      <c r="K477" s="19"/>
      <c r="L477" s="2"/>
      <c r="M477" s="19"/>
      <c r="N477" s="19"/>
      <c r="O477" s="19"/>
      <c r="P477" s="19"/>
      <c r="Q477" s="91"/>
      <c r="R477" s="91"/>
      <c r="S477" s="19"/>
    </row>
    <row r="478" spans="1:19" ht="15.75" customHeight="1" x14ac:dyDescent="0.25">
      <c r="A478" s="84"/>
      <c r="B478" s="19"/>
      <c r="C478" s="92"/>
      <c r="D478" s="90"/>
      <c r="E478" s="86"/>
      <c r="F478" s="86"/>
      <c r="G478" s="86"/>
      <c r="H478" s="19"/>
      <c r="I478" s="19"/>
      <c r="J478" s="19"/>
      <c r="K478" s="19"/>
      <c r="L478" s="2"/>
      <c r="M478" s="19"/>
      <c r="N478" s="19"/>
      <c r="O478" s="19"/>
      <c r="P478" s="19"/>
      <c r="Q478" s="91"/>
      <c r="R478" s="91"/>
      <c r="S478" s="19"/>
    </row>
    <row r="479" spans="1:19" ht="15.75" customHeight="1" x14ac:dyDescent="0.25">
      <c r="A479" s="84"/>
      <c r="B479" s="19"/>
      <c r="C479" s="92"/>
      <c r="D479" s="90"/>
      <c r="E479" s="86"/>
      <c r="F479" s="86"/>
      <c r="G479" s="86"/>
      <c r="H479" s="19"/>
      <c r="I479" s="19"/>
      <c r="J479" s="19"/>
      <c r="K479" s="19"/>
      <c r="L479" s="2"/>
      <c r="M479" s="19"/>
      <c r="N479" s="19"/>
      <c r="O479" s="19"/>
      <c r="P479" s="19"/>
      <c r="Q479" s="91"/>
      <c r="R479" s="91"/>
      <c r="S479" s="19"/>
    </row>
    <row r="480" spans="1:19" ht="15.75" customHeight="1" x14ac:dyDescent="0.25">
      <c r="A480" s="84"/>
      <c r="B480" s="19"/>
      <c r="C480" s="92"/>
      <c r="D480" s="90"/>
      <c r="E480" s="86"/>
      <c r="F480" s="86"/>
      <c r="G480" s="86"/>
      <c r="H480" s="19"/>
      <c r="I480" s="19"/>
      <c r="J480" s="19"/>
      <c r="K480" s="19"/>
      <c r="L480" s="2"/>
      <c r="M480" s="19"/>
      <c r="N480" s="19"/>
      <c r="O480" s="19"/>
      <c r="P480" s="19"/>
      <c r="Q480" s="91"/>
      <c r="R480" s="91"/>
      <c r="S480" s="19"/>
    </row>
    <row r="481" spans="1:19" ht="15.75" customHeight="1" x14ac:dyDescent="0.25">
      <c r="A481" s="84"/>
      <c r="B481" s="19"/>
      <c r="C481" s="92"/>
      <c r="D481" s="90"/>
      <c r="E481" s="86"/>
      <c r="F481" s="86"/>
      <c r="G481" s="86"/>
      <c r="H481" s="19"/>
      <c r="I481" s="19"/>
      <c r="J481" s="19"/>
      <c r="K481" s="19"/>
      <c r="L481" s="2"/>
      <c r="M481" s="19"/>
      <c r="N481" s="19"/>
      <c r="O481" s="19"/>
      <c r="P481" s="19"/>
      <c r="Q481" s="91"/>
      <c r="R481" s="91"/>
      <c r="S481" s="19"/>
    </row>
    <row r="482" spans="1:19" ht="15.75" customHeight="1" x14ac:dyDescent="0.25">
      <c r="A482" s="84"/>
      <c r="B482" s="19"/>
      <c r="C482" s="92"/>
      <c r="D482" s="90"/>
      <c r="E482" s="86"/>
      <c r="F482" s="86"/>
      <c r="G482" s="86"/>
      <c r="H482" s="19"/>
      <c r="I482" s="19"/>
      <c r="J482" s="19"/>
      <c r="K482" s="19"/>
      <c r="L482" s="2"/>
      <c r="M482" s="19"/>
      <c r="N482" s="19"/>
      <c r="O482" s="19"/>
      <c r="P482" s="19"/>
      <c r="Q482" s="91"/>
      <c r="R482" s="91"/>
      <c r="S482" s="19"/>
    </row>
    <row r="483" spans="1:19" ht="15.75" customHeight="1" x14ac:dyDescent="0.25">
      <c r="A483" s="84"/>
      <c r="B483" s="19"/>
      <c r="C483" s="92"/>
      <c r="D483" s="90"/>
      <c r="E483" s="86"/>
      <c r="F483" s="86"/>
      <c r="G483" s="86"/>
      <c r="H483" s="19"/>
      <c r="I483" s="19"/>
      <c r="J483" s="19"/>
      <c r="K483" s="19"/>
      <c r="L483" s="2"/>
      <c r="M483" s="19"/>
      <c r="N483" s="19"/>
      <c r="O483" s="19"/>
      <c r="P483" s="19"/>
      <c r="Q483" s="91"/>
      <c r="R483" s="91"/>
      <c r="S483" s="19"/>
    </row>
    <row r="484" spans="1:19" ht="15.75" customHeight="1" x14ac:dyDescent="0.25">
      <c r="A484" s="84"/>
      <c r="B484" s="19"/>
      <c r="C484" s="92"/>
      <c r="D484" s="90"/>
      <c r="E484" s="86"/>
      <c r="F484" s="86"/>
      <c r="G484" s="86"/>
      <c r="H484" s="19"/>
      <c r="I484" s="19"/>
      <c r="J484" s="19"/>
      <c r="K484" s="19"/>
      <c r="L484" s="2"/>
      <c r="M484" s="19"/>
      <c r="N484" s="19"/>
      <c r="O484" s="19"/>
      <c r="P484" s="19"/>
      <c r="Q484" s="91"/>
      <c r="R484" s="91"/>
      <c r="S484" s="19"/>
    </row>
    <row r="485" spans="1:19" ht="15.75" customHeight="1" x14ac:dyDescent="0.25">
      <c r="A485" s="84"/>
      <c r="B485" s="19"/>
      <c r="C485" s="92"/>
      <c r="D485" s="90"/>
      <c r="E485" s="86"/>
      <c r="F485" s="86"/>
      <c r="G485" s="86"/>
      <c r="H485" s="19"/>
      <c r="I485" s="19"/>
      <c r="J485" s="19"/>
      <c r="K485" s="19"/>
      <c r="L485" s="2"/>
      <c r="M485" s="19"/>
      <c r="N485" s="19"/>
      <c r="O485" s="19"/>
      <c r="P485" s="19"/>
      <c r="Q485" s="91"/>
      <c r="R485" s="91"/>
      <c r="S485" s="19"/>
    </row>
    <row r="486" spans="1:19" ht="15.75" customHeight="1" x14ac:dyDescent="0.25">
      <c r="A486" s="84"/>
      <c r="B486" s="19"/>
      <c r="C486" s="92"/>
      <c r="D486" s="90"/>
      <c r="E486" s="86"/>
      <c r="F486" s="86"/>
      <c r="G486" s="86"/>
      <c r="H486" s="19"/>
      <c r="I486" s="19"/>
      <c r="J486" s="19"/>
      <c r="K486" s="19"/>
      <c r="L486" s="2"/>
      <c r="M486" s="19"/>
      <c r="N486" s="19"/>
      <c r="O486" s="19"/>
      <c r="P486" s="19"/>
      <c r="Q486" s="91"/>
      <c r="R486" s="91"/>
      <c r="S486" s="19"/>
    </row>
    <row r="487" spans="1:19" ht="15.75" customHeight="1" x14ac:dyDescent="0.25">
      <c r="A487" s="84"/>
      <c r="B487" s="19"/>
      <c r="C487" s="92"/>
      <c r="D487" s="90"/>
      <c r="E487" s="86"/>
      <c r="F487" s="86"/>
      <c r="G487" s="86"/>
      <c r="H487" s="19"/>
      <c r="I487" s="19"/>
      <c r="J487" s="19"/>
      <c r="K487" s="19"/>
      <c r="L487" s="2"/>
      <c r="M487" s="19"/>
      <c r="N487" s="19"/>
      <c r="O487" s="19"/>
      <c r="P487" s="19"/>
      <c r="Q487" s="91"/>
      <c r="R487" s="91"/>
      <c r="S487" s="19"/>
    </row>
    <row r="488" spans="1:19" ht="15.75" customHeight="1" x14ac:dyDescent="0.25">
      <c r="A488" s="84"/>
      <c r="B488" s="19"/>
      <c r="C488" s="92"/>
      <c r="D488" s="90"/>
      <c r="E488" s="86"/>
      <c r="F488" s="86"/>
      <c r="G488" s="86"/>
      <c r="H488" s="19"/>
      <c r="I488" s="19"/>
      <c r="J488" s="19"/>
      <c r="K488" s="19"/>
      <c r="L488" s="2"/>
      <c r="M488" s="19"/>
      <c r="N488" s="19"/>
      <c r="O488" s="19"/>
      <c r="P488" s="19"/>
      <c r="Q488" s="91"/>
      <c r="R488" s="91"/>
      <c r="S488" s="19"/>
    </row>
    <row r="489" spans="1:19" ht="15.75" customHeight="1" x14ac:dyDescent="0.25">
      <c r="A489" s="84"/>
      <c r="B489" s="19"/>
      <c r="C489" s="92"/>
      <c r="D489" s="90"/>
      <c r="E489" s="86"/>
      <c r="F489" s="86"/>
      <c r="G489" s="86"/>
      <c r="H489" s="19"/>
      <c r="I489" s="19"/>
      <c r="J489" s="19"/>
      <c r="K489" s="19"/>
      <c r="L489" s="2"/>
      <c r="M489" s="19"/>
      <c r="N489" s="19"/>
      <c r="O489" s="19"/>
      <c r="P489" s="19"/>
      <c r="Q489" s="91"/>
      <c r="R489" s="91"/>
      <c r="S489" s="19"/>
    </row>
    <row r="490" spans="1:19" ht="15.75" customHeight="1" x14ac:dyDescent="0.25">
      <c r="A490" s="84"/>
      <c r="B490" s="19"/>
      <c r="C490" s="92"/>
      <c r="D490" s="90"/>
      <c r="E490" s="86"/>
      <c r="F490" s="86"/>
      <c r="G490" s="86"/>
      <c r="H490" s="19"/>
      <c r="I490" s="19"/>
      <c r="J490" s="19"/>
      <c r="K490" s="19"/>
      <c r="L490" s="2"/>
      <c r="M490" s="19"/>
      <c r="N490" s="19"/>
      <c r="O490" s="19"/>
      <c r="P490" s="19"/>
      <c r="Q490" s="91"/>
      <c r="R490" s="91"/>
      <c r="S490" s="19"/>
    </row>
    <row r="491" spans="1:19" ht="15.75" customHeight="1" x14ac:dyDescent="0.25">
      <c r="A491" s="84"/>
      <c r="B491" s="19"/>
      <c r="C491" s="92"/>
      <c r="D491" s="90"/>
      <c r="E491" s="86"/>
      <c r="F491" s="86"/>
      <c r="G491" s="86"/>
      <c r="H491" s="19"/>
      <c r="I491" s="19"/>
      <c r="J491" s="19"/>
      <c r="K491" s="19"/>
      <c r="L491" s="2"/>
      <c r="M491" s="19"/>
      <c r="N491" s="19"/>
      <c r="O491" s="19"/>
      <c r="P491" s="19"/>
      <c r="Q491" s="91"/>
      <c r="R491" s="91"/>
      <c r="S491" s="19"/>
    </row>
    <row r="492" spans="1:19" ht="15.75" customHeight="1" x14ac:dyDescent="0.25">
      <c r="A492" s="84"/>
      <c r="B492" s="19"/>
      <c r="C492" s="92"/>
      <c r="D492" s="90"/>
      <c r="E492" s="86"/>
      <c r="F492" s="86"/>
      <c r="G492" s="86"/>
      <c r="H492" s="19"/>
      <c r="I492" s="19"/>
      <c r="J492" s="19"/>
      <c r="K492" s="19"/>
      <c r="L492" s="2"/>
      <c r="M492" s="19"/>
      <c r="N492" s="19"/>
      <c r="O492" s="19"/>
      <c r="P492" s="19"/>
      <c r="Q492" s="91"/>
      <c r="R492" s="91"/>
      <c r="S492" s="19"/>
    </row>
    <row r="493" spans="1:19" ht="15.75" customHeight="1" x14ac:dyDescent="0.25">
      <c r="A493" s="84"/>
      <c r="B493" s="19"/>
      <c r="C493" s="92"/>
      <c r="D493" s="90"/>
      <c r="E493" s="86"/>
      <c r="F493" s="86"/>
      <c r="G493" s="86"/>
      <c r="H493" s="19"/>
      <c r="I493" s="19"/>
      <c r="J493" s="19"/>
      <c r="K493" s="19"/>
      <c r="L493" s="2"/>
      <c r="M493" s="19"/>
      <c r="N493" s="19"/>
      <c r="O493" s="19"/>
      <c r="P493" s="19"/>
      <c r="Q493" s="91"/>
      <c r="R493" s="91"/>
      <c r="S493" s="19"/>
    </row>
    <row r="494" spans="1:19" ht="15.75" customHeight="1" x14ac:dyDescent="0.25">
      <c r="A494" s="84"/>
      <c r="B494" s="19"/>
      <c r="C494" s="92"/>
      <c r="D494" s="90"/>
      <c r="E494" s="86"/>
      <c r="F494" s="86"/>
      <c r="G494" s="86"/>
      <c r="H494" s="19"/>
      <c r="I494" s="19"/>
      <c r="J494" s="19"/>
      <c r="K494" s="19"/>
      <c r="L494" s="2"/>
      <c r="M494" s="19"/>
      <c r="N494" s="19"/>
      <c r="O494" s="19"/>
      <c r="P494" s="19"/>
      <c r="Q494" s="91"/>
      <c r="R494" s="91"/>
      <c r="S494" s="19"/>
    </row>
    <row r="495" spans="1:19" ht="15.75" customHeight="1" x14ac:dyDescent="0.25">
      <c r="A495" s="84"/>
      <c r="B495" s="19"/>
      <c r="C495" s="92"/>
      <c r="D495" s="90"/>
      <c r="E495" s="86"/>
      <c r="F495" s="86"/>
      <c r="G495" s="86"/>
      <c r="H495" s="19"/>
      <c r="I495" s="19"/>
      <c r="J495" s="19"/>
      <c r="K495" s="19"/>
      <c r="L495" s="2"/>
      <c r="M495" s="19"/>
      <c r="N495" s="19"/>
      <c r="O495" s="19"/>
      <c r="P495" s="19"/>
      <c r="Q495" s="91"/>
      <c r="R495" s="91"/>
      <c r="S495" s="19"/>
    </row>
    <row r="496" spans="1:19" ht="15.75" customHeight="1" x14ac:dyDescent="0.25">
      <c r="A496" s="84"/>
      <c r="B496" s="19"/>
      <c r="C496" s="92"/>
      <c r="D496" s="90"/>
      <c r="E496" s="86"/>
      <c r="F496" s="86"/>
      <c r="G496" s="86"/>
      <c r="H496" s="19"/>
      <c r="I496" s="19"/>
      <c r="J496" s="19"/>
      <c r="K496" s="19"/>
      <c r="L496" s="2"/>
      <c r="M496" s="19"/>
      <c r="N496" s="19"/>
      <c r="O496" s="19"/>
      <c r="P496" s="19"/>
      <c r="Q496" s="91"/>
      <c r="R496" s="91"/>
      <c r="S496" s="19"/>
    </row>
    <row r="497" spans="1:19" ht="15.75" customHeight="1" x14ac:dyDescent="0.25">
      <c r="A497" s="84"/>
      <c r="B497" s="19"/>
      <c r="C497" s="92"/>
      <c r="D497" s="90"/>
      <c r="E497" s="86"/>
      <c r="F497" s="86"/>
      <c r="G497" s="86"/>
      <c r="H497" s="19"/>
      <c r="I497" s="19"/>
      <c r="J497" s="19"/>
      <c r="K497" s="19"/>
      <c r="L497" s="2"/>
      <c r="M497" s="19"/>
      <c r="N497" s="19"/>
      <c r="O497" s="19"/>
      <c r="P497" s="19"/>
      <c r="Q497" s="91"/>
      <c r="R497" s="91"/>
      <c r="S497" s="19"/>
    </row>
    <row r="498" spans="1:19" ht="15.75" customHeight="1" x14ac:dyDescent="0.25">
      <c r="A498" s="84"/>
      <c r="B498" s="19"/>
      <c r="C498" s="92"/>
      <c r="D498" s="90"/>
      <c r="E498" s="86"/>
      <c r="F498" s="86"/>
      <c r="G498" s="86"/>
      <c r="H498" s="19"/>
      <c r="I498" s="19"/>
      <c r="J498" s="19"/>
      <c r="K498" s="19"/>
      <c r="L498" s="2"/>
      <c r="M498" s="19"/>
      <c r="N498" s="19"/>
      <c r="O498" s="19"/>
      <c r="P498" s="19"/>
      <c r="Q498" s="91"/>
      <c r="R498" s="91"/>
      <c r="S498" s="19"/>
    </row>
    <row r="499" spans="1:19" ht="15.75" customHeight="1" x14ac:dyDescent="0.25">
      <c r="A499" s="84"/>
      <c r="B499" s="19"/>
      <c r="C499" s="92"/>
      <c r="D499" s="90"/>
      <c r="E499" s="86"/>
      <c r="F499" s="86"/>
      <c r="G499" s="86"/>
      <c r="H499" s="19"/>
      <c r="I499" s="19"/>
      <c r="J499" s="19"/>
      <c r="K499" s="19"/>
      <c r="L499" s="2"/>
      <c r="M499" s="19"/>
      <c r="N499" s="19"/>
      <c r="O499" s="19"/>
      <c r="P499" s="19"/>
      <c r="Q499" s="91"/>
      <c r="R499" s="91"/>
      <c r="S499" s="19"/>
    </row>
    <row r="500" spans="1:19" ht="15.75" customHeight="1" x14ac:dyDescent="0.25">
      <c r="A500" s="84"/>
      <c r="B500" s="19"/>
      <c r="C500" s="92"/>
      <c r="D500" s="90"/>
      <c r="E500" s="86"/>
      <c r="F500" s="86"/>
      <c r="G500" s="86"/>
      <c r="H500" s="19"/>
      <c r="I500" s="19"/>
      <c r="J500" s="19"/>
      <c r="K500" s="19"/>
      <c r="L500" s="2"/>
      <c r="M500" s="19"/>
      <c r="N500" s="19"/>
      <c r="O500" s="19"/>
      <c r="P500" s="19"/>
      <c r="Q500" s="91"/>
      <c r="R500" s="91"/>
      <c r="S500" s="19"/>
    </row>
    <row r="501" spans="1:19" ht="15.75" customHeight="1" x14ac:dyDescent="0.25">
      <c r="A501" s="84"/>
      <c r="B501" s="19"/>
      <c r="C501" s="92"/>
      <c r="D501" s="90"/>
      <c r="E501" s="86"/>
      <c r="F501" s="86"/>
      <c r="G501" s="86"/>
      <c r="H501" s="19"/>
      <c r="I501" s="19"/>
      <c r="J501" s="19"/>
      <c r="K501" s="19"/>
      <c r="L501" s="2"/>
      <c r="M501" s="19"/>
      <c r="N501" s="19"/>
      <c r="O501" s="19"/>
      <c r="P501" s="19"/>
      <c r="Q501" s="91"/>
      <c r="R501" s="91"/>
      <c r="S501" s="19"/>
    </row>
    <row r="502" spans="1:19" ht="15.75" customHeight="1" x14ac:dyDescent="0.25">
      <c r="A502" s="84"/>
      <c r="B502" s="19"/>
      <c r="C502" s="92"/>
      <c r="D502" s="90"/>
      <c r="E502" s="86"/>
      <c r="F502" s="86"/>
      <c r="G502" s="86"/>
      <c r="H502" s="19"/>
      <c r="I502" s="19"/>
      <c r="J502" s="19"/>
      <c r="K502" s="19"/>
      <c r="L502" s="2"/>
      <c r="M502" s="19"/>
      <c r="N502" s="19"/>
      <c r="O502" s="19"/>
      <c r="P502" s="19"/>
      <c r="Q502" s="91"/>
      <c r="R502" s="91"/>
      <c r="S502" s="19"/>
    </row>
    <row r="503" spans="1:19" ht="15.75" customHeight="1" x14ac:dyDescent="0.25">
      <c r="A503" s="84"/>
      <c r="B503" s="19"/>
      <c r="C503" s="92"/>
      <c r="D503" s="90"/>
      <c r="E503" s="86"/>
      <c r="F503" s="86"/>
      <c r="G503" s="86"/>
      <c r="H503" s="19"/>
      <c r="I503" s="19"/>
      <c r="J503" s="19"/>
      <c r="K503" s="19"/>
      <c r="L503" s="2"/>
      <c r="M503" s="19"/>
      <c r="N503" s="19"/>
      <c r="O503" s="19"/>
      <c r="P503" s="19"/>
      <c r="Q503" s="91"/>
      <c r="R503" s="91"/>
      <c r="S503" s="19"/>
    </row>
    <row r="504" spans="1:19" ht="15.75" customHeight="1" x14ac:dyDescent="0.25">
      <c r="A504" s="84"/>
      <c r="B504" s="19"/>
      <c r="C504" s="92"/>
      <c r="D504" s="90"/>
      <c r="E504" s="86"/>
      <c r="F504" s="86"/>
      <c r="G504" s="86"/>
      <c r="H504" s="19"/>
      <c r="I504" s="19"/>
      <c r="J504" s="19"/>
      <c r="K504" s="19"/>
      <c r="L504" s="2"/>
      <c r="M504" s="19"/>
      <c r="N504" s="19"/>
      <c r="O504" s="19"/>
      <c r="P504" s="19"/>
      <c r="Q504" s="91"/>
      <c r="R504" s="91"/>
      <c r="S504" s="19"/>
    </row>
    <row r="505" spans="1:19" ht="15.75" customHeight="1" x14ac:dyDescent="0.25">
      <c r="A505" s="84"/>
      <c r="B505" s="19"/>
      <c r="C505" s="92"/>
      <c r="D505" s="90"/>
      <c r="E505" s="86"/>
      <c r="F505" s="86"/>
      <c r="G505" s="86"/>
      <c r="H505" s="19"/>
      <c r="I505" s="19"/>
      <c r="J505" s="19"/>
      <c r="K505" s="19"/>
      <c r="L505" s="2"/>
      <c r="M505" s="19"/>
      <c r="N505" s="19"/>
      <c r="O505" s="19"/>
      <c r="P505" s="19"/>
      <c r="Q505" s="91"/>
      <c r="R505" s="91"/>
      <c r="S505" s="19"/>
    </row>
    <row r="506" spans="1:19" ht="15.75" customHeight="1" x14ac:dyDescent="0.25">
      <c r="A506" s="84"/>
      <c r="B506" s="19"/>
      <c r="C506" s="92"/>
      <c r="D506" s="90"/>
      <c r="E506" s="86"/>
      <c r="F506" s="86"/>
      <c r="G506" s="86"/>
      <c r="H506" s="19"/>
      <c r="I506" s="19"/>
      <c r="J506" s="19"/>
      <c r="K506" s="19"/>
      <c r="L506" s="2"/>
      <c r="M506" s="19"/>
      <c r="N506" s="19"/>
      <c r="O506" s="19"/>
      <c r="P506" s="19"/>
      <c r="Q506" s="91"/>
      <c r="R506" s="91"/>
      <c r="S506" s="19"/>
    </row>
    <row r="507" spans="1:19" ht="15.75" customHeight="1" x14ac:dyDescent="0.25">
      <c r="A507" s="84"/>
      <c r="B507" s="19"/>
      <c r="C507" s="92"/>
      <c r="D507" s="90"/>
      <c r="E507" s="86"/>
      <c r="F507" s="86"/>
      <c r="G507" s="86"/>
      <c r="H507" s="19"/>
      <c r="I507" s="19"/>
      <c r="J507" s="19"/>
      <c r="K507" s="19"/>
      <c r="L507" s="2"/>
      <c r="M507" s="19"/>
      <c r="N507" s="19"/>
      <c r="O507" s="19"/>
      <c r="P507" s="19"/>
      <c r="Q507" s="91"/>
      <c r="R507" s="91"/>
      <c r="S507" s="19"/>
    </row>
    <row r="508" spans="1:19" ht="15.75" customHeight="1" x14ac:dyDescent="0.25">
      <c r="A508" s="84"/>
      <c r="B508" s="19"/>
      <c r="C508" s="92"/>
      <c r="D508" s="90"/>
      <c r="E508" s="86"/>
      <c r="F508" s="86"/>
      <c r="G508" s="86"/>
      <c r="H508" s="19"/>
      <c r="I508" s="19"/>
      <c r="J508" s="19"/>
      <c r="K508" s="19"/>
      <c r="L508" s="2"/>
      <c r="M508" s="19"/>
      <c r="N508" s="19"/>
      <c r="O508" s="19"/>
      <c r="P508" s="19"/>
      <c r="Q508" s="91"/>
      <c r="R508" s="91"/>
      <c r="S508" s="19"/>
    </row>
    <row r="509" spans="1:19" ht="15.75" customHeight="1" x14ac:dyDescent="0.25">
      <c r="A509" s="84"/>
      <c r="B509" s="19"/>
      <c r="C509" s="92"/>
      <c r="D509" s="90"/>
      <c r="E509" s="86"/>
      <c r="F509" s="86"/>
      <c r="G509" s="86"/>
      <c r="H509" s="19"/>
      <c r="I509" s="19"/>
      <c r="J509" s="19"/>
      <c r="K509" s="19"/>
      <c r="L509" s="2"/>
      <c r="M509" s="19"/>
      <c r="N509" s="19"/>
      <c r="O509" s="19"/>
      <c r="P509" s="19"/>
      <c r="Q509" s="91"/>
      <c r="R509" s="91"/>
      <c r="S509" s="19"/>
    </row>
    <row r="510" spans="1:19" ht="15.75" customHeight="1" x14ac:dyDescent="0.25">
      <c r="A510" s="84"/>
      <c r="B510" s="19"/>
      <c r="C510" s="92"/>
      <c r="D510" s="90"/>
      <c r="E510" s="86"/>
      <c r="F510" s="86"/>
      <c r="G510" s="86"/>
      <c r="H510" s="19"/>
      <c r="I510" s="19"/>
      <c r="J510" s="19"/>
      <c r="K510" s="19"/>
      <c r="L510" s="2"/>
      <c r="M510" s="19"/>
      <c r="N510" s="19"/>
      <c r="O510" s="19"/>
      <c r="P510" s="19"/>
      <c r="Q510" s="91"/>
      <c r="R510" s="91"/>
      <c r="S510" s="19"/>
    </row>
    <row r="511" spans="1:19" ht="15.75" customHeight="1" x14ac:dyDescent="0.25">
      <c r="A511" s="84"/>
      <c r="B511" s="19"/>
      <c r="C511" s="92"/>
      <c r="D511" s="90"/>
      <c r="E511" s="86"/>
      <c r="F511" s="86"/>
      <c r="G511" s="86"/>
      <c r="H511" s="19"/>
      <c r="I511" s="19"/>
      <c r="J511" s="19"/>
      <c r="K511" s="19"/>
      <c r="L511" s="2"/>
      <c r="M511" s="19"/>
      <c r="N511" s="19"/>
      <c r="O511" s="19"/>
      <c r="P511" s="19"/>
      <c r="Q511" s="91"/>
      <c r="R511" s="91"/>
      <c r="S511" s="19"/>
    </row>
    <row r="512" spans="1:19" ht="15.75" customHeight="1" x14ac:dyDescent="0.25">
      <c r="A512" s="84"/>
      <c r="B512" s="19"/>
      <c r="C512" s="92"/>
      <c r="D512" s="90"/>
      <c r="E512" s="86"/>
      <c r="F512" s="86"/>
      <c r="G512" s="86"/>
      <c r="H512" s="19"/>
      <c r="I512" s="19"/>
      <c r="J512" s="19"/>
      <c r="K512" s="19"/>
      <c r="L512" s="2"/>
      <c r="M512" s="19"/>
      <c r="N512" s="19"/>
      <c r="O512" s="19"/>
      <c r="P512" s="19"/>
      <c r="Q512" s="91"/>
      <c r="R512" s="91"/>
      <c r="S512" s="19"/>
    </row>
    <row r="513" spans="1:19" ht="15.75" customHeight="1" x14ac:dyDescent="0.25">
      <c r="A513" s="84"/>
      <c r="B513" s="19"/>
      <c r="C513" s="92"/>
      <c r="D513" s="90"/>
      <c r="E513" s="86"/>
      <c r="F513" s="86"/>
      <c r="G513" s="86"/>
      <c r="H513" s="19"/>
      <c r="I513" s="19"/>
      <c r="J513" s="19"/>
      <c r="K513" s="19"/>
      <c r="L513" s="2"/>
      <c r="M513" s="19"/>
      <c r="N513" s="19"/>
      <c r="O513" s="19"/>
      <c r="P513" s="19"/>
      <c r="Q513" s="91"/>
      <c r="R513" s="91"/>
      <c r="S513" s="19"/>
    </row>
    <row r="514" spans="1:19" ht="15.75" customHeight="1" x14ac:dyDescent="0.25">
      <c r="A514" s="84"/>
      <c r="B514" s="19"/>
      <c r="C514" s="92"/>
      <c r="D514" s="90"/>
      <c r="E514" s="86"/>
      <c r="F514" s="86"/>
      <c r="G514" s="86"/>
      <c r="H514" s="19"/>
      <c r="I514" s="19"/>
      <c r="J514" s="19"/>
      <c r="K514" s="19"/>
      <c r="L514" s="2"/>
      <c r="M514" s="19"/>
      <c r="N514" s="19"/>
      <c r="O514" s="19"/>
      <c r="P514" s="19"/>
      <c r="Q514" s="91"/>
      <c r="R514" s="91"/>
      <c r="S514" s="19"/>
    </row>
    <row r="515" spans="1:19" ht="15.75" customHeight="1" x14ac:dyDescent="0.25">
      <c r="A515" s="84"/>
      <c r="B515" s="19"/>
      <c r="C515" s="92"/>
      <c r="D515" s="90"/>
      <c r="E515" s="86"/>
      <c r="F515" s="86"/>
      <c r="G515" s="86"/>
      <c r="H515" s="19"/>
      <c r="I515" s="19"/>
      <c r="J515" s="19"/>
      <c r="K515" s="19"/>
      <c r="L515" s="2"/>
      <c r="M515" s="19"/>
      <c r="N515" s="19"/>
      <c r="O515" s="19"/>
      <c r="P515" s="19"/>
      <c r="Q515" s="91"/>
      <c r="R515" s="91"/>
      <c r="S515" s="19"/>
    </row>
    <row r="516" spans="1:19" ht="15.75" customHeight="1" x14ac:dyDescent="0.25">
      <c r="A516" s="84"/>
      <c r="B516" s="19"/>
      <c r="C516" s="92"/>
      <c r="D516" s="90"/>
      <c r="E516" s="86"/>
      <c r="F516" s="86"/>
      <c r="G516" s="86"/>
      <c r="H516" s="19"/>
      <c r="I516" s="19"/>
      <c r="J516" s="19"/>
      <c r="K516" s="19"/>
      <c r="L516" s="2"/>
      <c r="M516" s="19"/>
      <c r="N516" s="19"/>
      <c r="O516" s="19"/>
      <c r="P516" s="19"/>
      <c r="Q516" s="91"/>
      <c r="R516" s="91"/>
      <c r="S516" s="19"/>
    </row>
    <row r="517" spans="1:19" ht="15.75" customHeight="1" x14ac:dyDescent="0.25">
      <c r="A517" s="84"/>
      <c r="B517" s="19"/>
      <c r="C517" s="92"/>
      <c r="D517" s="90"/>
      <c r="E517" s="86"/>
      <c r="F517" s="86"/>
      <c r="G517" s="86"/>
      <c r="H517" s="19"/>
      <c r="I517" s="19"/>
      <c r="J517" s="19"/>
      <c r="K517" s="19"/>
      <c r="L517" s="2"/>
      <c r="M517" s="19"/>
      <c r="N517" s="19"/>
      <c r="O517" s="19"/>
      <c r="P517" s="19"/>
      <c r="Q517" s="91"/>
      <c r="R517" s="91"/>
      <c r="S517" s="19"/>
    </row>
    <row r="518" spans="1:19" ht="15.75" customHeight="1" x14ac:dyDescent="0.25">
      <c r="A518" s="84"/>
      <c r="B518" s="19"/>
      <c r="C518" s="92"/>
      <c r="D518" s="90"/>
      <c r="E518" s="86"/>
      <c r="F518" s="86"/>
      <c r="G518" s="86"/>
      <c r="H518" s="19"/>
      <c r="I518" s="19"/>
      <c r="J518" s="19"/>
      <c r="K518" s="19"/>
      <c r="L518" s="2"/>
      <c r="M518" s="19"/>
      <c r="N518" s="19"/>
      <c r="O518" s="19"/>
      <c r="P518" s="19"/>
      <c r="Q518" s="91"/>
      <c r="R518" s="91"/>
      <c r="S518" s="19"/>
    </row>
    <row r="519" spans="1:19" ht="15.75" customHeight="1" x14ac:dyDescent="0.25">
      <c r="A519" s="84"/>
      <c r="B519" s="19"/>
      <c r="C519" s="92"/>
      <c r="D519" s="90"/>
      <c r="E519" s="86"/>
      <c r="F519" s="86"/>
      <c r="G519" s="86"/>
      <c r="H519" s="19"/>
      <c r="I519" s="19"/>
      <c r="J519" s="19"/>
      <c r="K519" s="19"/>
      <c r="L519" s="2"/>
      <c r="M519" s="19"/>
      <c r="N519" s="19"/>
      <c r="O519" s="19"/>
      <c r="P519" s="19"/>
      <c r="Q519" s="91"/>
      <c r="R519" s="91"/>
      <c r="S519" s="19"/>
    </row>
    <row r="520" spans="1:19" ht="15.75" customHeight="1" x14ac:dyDescent="0.25">
      <c r="A520" s="84"/>
      <c r="B520" s="19"/>
      <c r="C520" s="92"/>
      <c r="D520" s="90"/>
      <c r="E520" s="86"/>
      <c r="F520" s="86"/>
      <c r="G520" s="86"/>
      <c r="H520" s="19"/>
      <c r="I520" s="19"/>
      <c r="J520" s="19"/>
      <c r="K520" s="19"/>
      <c r="L520" s="2"/>
      <c r="M520" s="19"/>
      <c r="N520" s="19"/>
      <c r="O520" s="19"/>
      <c r="P520" s="19"/>
      <c r="Q520" s="91"/>
      <c r="R520" s="91"/>
      <c r="S520" s="19"/>
    </row>
    <row r="521" spans="1:19" ht="15.75" customHeight="1" x14ac:dyDescent="0.25">
      <c r="A521" s="84"/>
      <c r="B521" s="19"/>
      <c r="C521" s="92"/>
      <c r="D521" s="90"/>
      <c r="E521" s="86"/>
      <c r="F521" s="86"/>
      <c r="G521" s="86"/>
      <c r="H521" s="19"/>
      <c r="I521" s="19"/>
      <c r="J521" s="19"/>
      <c r="K521" s="19"/>
      <c r="L521" s="2"/>
      <c r="M521" s="19"/>
      <c r="N521" s="19"/>
      <c r="O521" s="19"/>
      <c r="P521" s="19"/>
      <c r="Q521" s="91"/>
      <c r="R521" s="91"/>
      <c r="S521" s="19"/>
    </row>
    <row r="522" spans="1:19" ht="15.75" customHeight="1" x14ac:dyDescent="0.25">
      <c r="A522" s="84"/>
      <c r="B522" s="19"/>
      <c r="C522" s="92"/>
      <c r="D522" s="90"/>
      <c r="E522" s="86"/>
      <c r="F522" s="86"/>
      <c r="G522" s="86"/>
      <c r="H522" s="19"/>
      <c r="I522" s="19"/>
      <c r="J522" s="19"/>
      <c r="K522" s="19"/>
      <c r="L522" s="2"/>
      <c r="M522" s="19"/>
      <c r="N522" s="19"/>
      <c r="O522" s="19"/>
      <c r="P522" s="19"/>
      <c r="Q522" s="91"/>
      <c r="R522" s="91"/>
      <c r="S522" s="19"/>
    </row>
    <row r="523" spans="1:19" ht="15.75" customHeight="1" x14ac:dyDescent="0.25">
      <c r="A523" s="84"/>
      <c r="B523" s="19"/>
      <c r="C523" s="92"/>
      <c r="D523" s="90"/>
      <c r="E523" s="86"/>
      <c r="F523" s="86"/>
      <c r="G523" s="86"/>
      <c r="H523" s="19"/>
      <c r="I523" s="19"/>
      <c r="J523" s="19"/>
      <c r="K523" s="19"/>
      <c r="L523" s="2"/>
      <c r="M523" s="19"/>
      <c r="N523" s="19"/>
      <c r="O523" s="19"/>
      <c r="P523" s="19"/>
      <c r="Q523" s="91"/>
      <c r="R523" s="91"/>
      <c r="S523" s="19"/>
    </row>
    <row r="524" spans="1:19" ht="15.75" customHeight="1" x14ac:dyDescent="0.25">
      <c r="A524" s="84"/>
      <c r="B524" s="19"/>
      <c r="C524" s="92"/>
      <c r="D524" s="90"/>
      <c r="E524" s="86"/>
      <c r="F524" s="86"/>
      <c r="G524" s="86"/>
      <c r="H524" s="19"/>
      <c r="I524" s="19"/>
      <c r="J524" s="19"/>
      <c r="K524" s="19"/>
      <c r="L524" s="2"/>
      <c r="M524" s="19"/>
      <c r="N524" s="19"/>
      <c r="O524" s="19"/>
      <c r="P524" s="19"/>
      <c r="Q524" s="91"/>
      <c r="R524" s="91"/>
      <c r="S524" s="19"/>
    </row>
    <row r="525" spans="1:19" ht="15.75" customHeight="1" x14ac:dyDescent="0.25">
      <c r="A525" s="84"/>
      <c r="B525" s="19"/>
      <c r="C525" s="92"/>
      <c r="D525" s="90"/>
      <c r="E525" s="86"/>
      <c r="F525" s="86"/>
      <c r="G525" s="86"/>
      <c r="H525" s="19"/>
      <c r="I525" s="19"/>
      <c r="J525" s="19"/>
      <c r="K525" s="19"/>
      <c r="L525" s="2"/>
      <c r="M525" s="19"/>
      <c r="N525" s="19"/>
      <c r="O525" s="19"/>
      <c r="P525" s="19"/>
      <c r="Q525" s="91"/>
      <c r="R525" s="91"/>
      <c r="S525" s="19"/>
    </row>
    <row r="526" spans="1:19" ht="15.75" customHeight="1" x14ac:dyDescent="0.25">
      <c r="A526" s="84"/>
      <c r="B526" s="19"/>
      <c r="C526" s="92"/>
      <c r="D526" s="90"/>
      <c r="E526" s="86"/>
      <c r="F526" s="86"/>
      <c r="G526" s="86"/>
      <c r="H526" s="19"/>
      <c r="I526" s="19"/>
      <c r="J526" s="19"/>
      <c r="K526" s="19"/>
      <c r="L526" s="2"/>
      <c r="M526" s="19"/>
      <c r="N526" s="19"/>
      <c r="O526" s="19"/>
      <c r="P526" s="19"/>
      <c r="Q526" s="91"/>
      <c r="R526" s="91"/>
      <c r="S526" s="19"/>
    </row>
    <row r="527" spans="1:19" ht="15.75" customHeight="1" x14ac:dyDescent="0.25">
      <c r="A527" s="84"/>
      <c r="B527" s="19"/>
      <c r="C527" s="92"/>
      <c r="D527" s="90"/>
      <c r="E527" s="86"/>
      <c r="F527" s="86"/>
      <c r="G527" s="86"/>
      <c r="H527" s="19"/>
      <c r="I527" s="19"/>
      <c r="J527" s="19"/>
      <c r="K527" s="19"/>
      <c r="L527" s="2"/>
      <c r="M527" s="19"/>
      <c r="N527" s="19"/>
      <c r="O527" s="19"/>
      <c r="P527" s="19"/>
      <c r="Q527" s="91"/>
      <c r="R527" s="91"/>
      <c r="S527" s="19"/>
    </row>
    <row r="528" spans="1:19" ht="15.75" customHeight="1" x14ac:dyDescent="0.25">
      <c r="A528" s="84"/>
      <c r="B528" s="19"/>
      <c r="C528" s="92"/>
      <c r="D528" s="90"/>
      <c r="E528" s="86"/>
      <c r="F528" s="86"/>
      <c r="G528" s="86"/>
      <c r="H528" s="19"/>
      <c r="I528" s="19"/>
      <c r="J528" s="19"/>
      <c r="K528" s="19"/>
      <c r="L528" s="2"/>
      <c r="M528" s="19"/>
      <c r="N528" s="19"/>
      <c r="O528" s="19"/>
      <c r="P528" s="19"/>
      <c r="Q528" s="91"/>
      <c r="R528" s="91"/>
      <c r="S528" s="19"/>
    </row>
    <row r="529" spans="1:19" ht="15.75" customHeight="1" x14ac:dyDescent="0.25">
      <c r="A529" s="84"/>
      <c r="B529" s="19"/>
      <c r="C529" s="92"/>
      <c r="D529" s="90"/>
      <c r="E529" s="86"/>
      <c r="F529" s="86"/>
      <c r="G529" s="86"/>
      <c r="H529" s="19"/>
      <c r="I529" s="19"/>
      <c r="J529" s="19"/>
      <c r="K529" s="19"/>
      <c r="L529" s="2"/>
      <c r="M529" s="19"/>
      <c r="N529" s="19"/>
      <c r="O529" s="19"/>
      <c r="P529" s="19"/>
      <c r="Q529" s="91"/>
      <c r="R529" s="91"/>
      <c r="S529" s="19"/>
    </row>
    <row r="530" spans="1:19" ht="15.75" customHeight="1" x14ac:dyDescent="0.25">
      <c r="A530" s="84"/>
      <c r="B530" s="19"/>
      <c r="C530" s="92"/>
      <c r="D530" s="90"/>
      <c r="E530" s="86"/>
      <c r="F530" s="86"/>
      <c r="G530" s="86"/>
      <c r="H530" s="19"/>
      <c r="I530" s="19"/>
      <c r="J530" s="19"/>
      <c r="K530" s="19"/>
      <c r="L530" s="2"/>
      <c r="M530" s="19"/>
      <c r="N530" s="19"/>
      <c r="O530" s="19"/>
      <c r="P530" s="19"/>
      <c r="Q530" s="91"/>
      <c r="R530" s="91"/>
      <c r="S530" s="19"/>
    </row>
    <row r="531" spans="1:19" ht="15.75" customHeight="1" x14ac:dyDescent="0.25">
      <c r="A531" s="84"/>
      <c r="B531" s="19"/>
      <c r="C531" s="92"/>
      <c r="D531" s="90"/>
      <c r="E531" s="86"/>
      <c r="F531" s="86"/>
      <c r="G531" s="86"/>
      <c r="H531" s="19"/>
      <c r="I531" s="19"/>
      <c r="J531" s="19"/>
      <c r="K531" s="19"/>
      <c r="L531" s="2"/>
      <c r="M531" s="19"/>
      <c r="N531" s="19"/>
      <c r="O531" s="19"/>
      <c r="P531" s="19"/>
      <c r="Q531" s="91"/>
      <c r="R531" s="91"/>
      <c r="S531" s="19"/>
    </row>
    <row r="532" spans="1:19" ht="15.75" customHeight="1" x14ac:dyDescent="0.25">
      <c r="A532" s="84"/>
      <c r="B532" s="19"/>
      <c r="C532" s="92"/>
      <c r="D532" s="90"/>
      <c r="E532" s="86"/>
      <c r="F532" s="86"/>
      <c r="G532" s="86"/>
      <c r="H532" s="19"/>
      <c r="I532" s="19"/>
      <c r="J532" s="19"/>
      <c r="K532" s="19"/>
      <c r="L532" s="2"/>
      <c r="M532" s="19"/>
      <c r="N532" s="19"/>
      <c r="O532" s="19"/>
      <c r="P532" s="19"/>
      <c r="Q532" s="91"/>
      <c r="R532" s="91"/>
      <c r="S532" s="19"/>
    </row>
    <row r="533" spans="1:19" ht="15.75" customHeight="1" x14ac:dyDescent="0.25">
      <c r="A533" s="84"/>
      <c r="B533" s="19"/>
      <c r="C533" s="92"/>
      <c r="D533" s="90"/>
      <c r="E533" s="86"/>
      <c r="F533" s="86"/>
      <c r="G533" s="86"/>
      <c r="H533" s="19"/>
      <c r="I533" s="19"/>
      <c r="J533" s="19"/>
      <c r="K533" s="19"/>
      <c r="L533" s="2"/>
      <c r="M533" s="19"/>
      <c r="N533" s="19"/>
      <c r="O533" s="19"/>
      <c r="P533" s="19"/>
      <c r="Q533" s="91"/>
      <c r="R533" s="91"/>
      <c r="S533" s="19"/>
    </row>
    <row r="534" spans="1:19" ht="15.75" customHeight="1" x14ac:dyDescent="0.25">
      <c r="A534" s="84"/>
      <c r="B534" s="19"/>
      <c r="C534" s="92"/>
      <c r="D534" s="90"/>
      <c r="E534" s="86"/>
      <c r="F534" s="86"/>
      <c r="G534" s="86"/>
      <c r="H534" s="19"/>
      <c r="I534" s="19"/>
      <c r="J534" s="19"/>
      <c r="K534" s="19"/>
      <c r="L534" s="2"/>
      <c r="M534" s="19"/>
      <c r="N534" s="19"/>
      <c r="O534" s="19"/>
      <c r="P534" s="19"/>
      <c r="Q534" s="91"/>
      <c r="R534" s="91"/>
      <c r="S534" s="19"/>
    </row>
    <row r="535" spans="1:19" ht="15.75" customHeight="1" x14ac:dyDescent="0.25">
      <c r="A535" s="84"/>
      <c r="B535" s="19"/>
      <c r="C535" s="92"/>
      <c r="D535" s="90"/>
      <c r="E535" s="86"/>
      <c r="F535" s="86"/>
      <c r="G535" s="86"/>
      <c r="H535" s="19"/>
      <c r="I535" s="19"/>
      <c r="J535" s="19"/>
      <c r="K535" s="19"/>
      <c r="L535" s="2"/>
      <c r="M535" s="19"/>
      <c r="N535" s="19"/>
      <c r="O535" s="19"/>
      <c r="P535" s="19"/>
      <c r="Q535" s="91"/>
      <c r="R535" s="91"/>
      <c r="S535" s="19"/>
    </row>
    <row r="536" spans="1:19" ht="15.75" customHeight="1" x14ac:dyDescent="0.25">
      <c r="A536" s="84"/>
      <c r="B536" s="19"/>
      <c r="C536" s="92"/>
      <c r="D536" s="90"/>
      <c r="E536" s="86"/>
      <c r="F536" s="86"/>
      <c r="G536" s="86"/>
      <c r="H536" s="19"/>
      <c r="I536" s="19"/>
      <c r="J536" s="19"/>
      <c r="K536" s="19"/>
      <c r="L536" s="2"/>
      <c r="M536" s="19"/>
      <c r="N536" s="19"/>
      <c r="O536" s="19"/>
      <c r="P536" s="19"/>
      <c r="Q536" s="91"/>
      <c r="R536" s="91"/>
      <c r="S536" s="19"/>
    </row>
    <row r="537" spans="1:19" ht="15.75" customHeight="1" x14ac:dyDescent="0.25">
      <c r="A537" s="84"/>
      <c r="B537" s="19"/>
      <c r="C537" s="92"/>
      <c r="D537" s="90"/>
      <c r="E537" s="86"/>
      <c r="F537" s="86"/>
      <c r="G537" s="86"/>
      <c r="H537" s="19"/>
      <c r="I537" s="19"/>
      <c r="J537" s="19"/>
      <c r="K537" s="19"/>
      <c r="L537" s="2"/>
      <c r="M537" s="19"/>
      <c r="N537" s="19"/>
      <c r="O537" s="19"/>
      <c r="P537" s="19"/>
      <c r="Q537" s="91"/>
      <c r="R537" s="91"/>
      <c r="S537" s="19"/>
    </row>
    <row r="538" spans="1:19" ht="15.75" customHeight="1" x14ac:dyDescent="0.25">
      <c r="A538" s="84"/>
      <c r="B538" s="19"/>
      <c r="C538" s="92"/>
      <c r="D538" s="90"/>
      <c r="E538" s="86"/>
      <c r="F538" s="86"/>
      <c r="G538" s="86"/>
      <c r="H538" s="19"/>
      <c r="I538" s="19"/>
      <c r="J538" s="19"/>
      <c r="K538" s="19"/>
      <c r="L538" s="2"/>
      <c r="M538" s="19"/>
      <c r="N538" s="19"/>
      <c r="O538" s="19"/>
      <c r="P538" s="19"/>
      <c r="Q538" s="91"/>
      <c r="R538" s="91"/>
      <c r="S538" s="19"/>
    </row>
    <row r="539" spans="1:19" ht="15.75" customHeight="1" x14ac:dyDescent="0.25">
      <c r="A539" s="84"/>
      <c r="B539" s="19"/>
      <c r="C539" s="92"/>
      <c r="D539" s="90"/>
      <c r="E539" s="86"/>
      <c r="F539" s="86"/>
      <c r="G539" s="86"/>
      <c r="H539" s="19"/>
      <c r="I539" s="19"/>
      <c r="J539" s="19"/>
      <c r="K539" s="19"/>
      <c r="L539" s="2"/>
      <c r="M539" s="19"/>
      <c r="N539" s="19"/>
      <c r="O539" s="19"/>
      <c r="P539" s="19"/>
      <c r="Q539" s="91"/>
      <c r="R539" s="91"/>
      <c r="S539" s="19"/>
    </row>
    <row r="540" spans="1:19" ht="15.75" customHeight="1" x14ac:dyDescent="0.25">
      <c r="A540" s="84"/>
      <c r="B540" s="19"/>
      <c r="C540" s="92"/>
      <c r="D540" s="90"/>
      <c r="E540" s="86"/>
      <c r="F540" s="86"/>
      <c r="G540" s="86"/>
      <c r="H540" s="19"/>
      <c r="I540" s="19"/>
      <c r="J540" s="19"/>
      <c r="K540" s="19"/>
      <c r="L540" s="2"/>
      <c r="M540" s="19"/>
      <c r="N540" s="19"/>
      <c r="O540" s="19"/>
      <c r="P540" s="19"/>
      <c r="Q540" s="91"/>
      <c r="R540" s="91"/>
      <c r="S540" s="19"/>
    </row>
    <row r="541" spans="1:19" ht="15.75" customHeight="1" x14ac:dyDescent="0.25">
      <c r="A541" s="84"/>
      <c r="B541" s="19"/>
      <c r="C541" s="92"/>
      <c r="D541" s="90"/>
      <c r="E541" s="86"/>
      <c r="F541" s="86"/>
      <c r="G541" s="86"/>
      <c r="H541" s="19"/>
      <c r="I541" s="19"/>
      <c r="J541" s="19"/>
      <c r="K541" s="19"/>
      <c r="L541" s="2"/>
      <c r="M541" s="19"/>
      <c r="N541" s="19"/>
      <c r="O541" s="19"/>
      <c r="P541" s="19"/>
      <c r="Q541" s="91"/>
      <c r="R541" s="91"/>
      <c r="S541" s="19"/>
    </row>
    <row r="542" spans="1:19" ht="15.75" customHeight="1" x14ac:dyDescent="0.25">
      <c r="A542" s="84"/>
      <c r="B542" s="19"/>
      <c r="C542" s="92"/>
      <c r="D542" s="90"/>
      <c r="E542" s="86"/>
      <c r="F542" s="86"/>
      <c r="G542" s="86"/>
      <c r="H542" s="19"/>
      <c r="I542" s="19"/>
      <c r="J542" s="19"/>
      <c r="K542" s="19"/>
      <c r="L542" s="2"/>
      <c r="M542" s="19"/>
      <c r="N542" s="19"/>
      <c r="O542" s="19"/>
      <c r="P542" s="19"/>
      <c r="Q542" s="91"/>
      <c r="R542" s="91"/>
      <c r="S542" s="19"/>
    </row>
    <row r="543" spans="1:19" ht="15.75" customHeight="1" x14ac:dyDescent="0.25">
      <c r="A543" s="84"/>
      <c r="B543" s="19"/>
      <c r="C543" s="92"/>
      <c r="D543" s="90"/>
      <c r="E543" s="86"/>
      <c r="F543" s="86"/>
      <c r="G543" s="86"/>
      <c r="H543" s="19"/>
      <c r="I543" s="19"/>
      <c r="J543" s="19"/>
      <c r="K543" s="19"/>
      <c r="L543" s="2"/>
      <c r="M543" s="19"/>
      <c r="N543" s="19"/>
      <c r="O543" s="19"/>
      <c r="P543" s="19"/>
      <c r="Q543" s="91"/>
      <c r="R543" s="91"/>
      <c r="S543" s="19"/>
    </row>
    <row r="544" spans="1:19" ht="15.75" customHeight="1" x14ac:dyDescent="0.25">
      <c r="A544" s="84"/>
      <c r="B544" s="19"/>
      <c r="C544" s="92"/>
      <c r="D544" s="90"/>
      <c r="E544" s="86"/>
      <c r="F544" s="86"/>
      <c r="G544" s="86"/>
      <c r="H544" s="19"/>
      <c r="I544" s="19"/>
      <c r="J544" s="19"/>
      <c r="K544" s="19"/>
      <c r="L544" s="2"/>
      <c r="M544" s="19"/>
      <c r="N544" s="19"/>
      <c r="O544" s="19"/>
      <c r="P544" s="19"/>
      <c r="Q544" s="91"/>
      <c r="R544" s="91"/>
      <c r="S544" s="19"/>
    </row>
    <row r="545" spans="1:19" ht="15.75" customHeight="1" x14ac:dyDescent="0.25">
      <c r="A545" s="84"/>
      <c r="B545" s="19"/>
      <c r="C545" s="92"/>
      <c r="D545" s="90"/>
      <c r="E545" s="86"/>
      <c r="F545" s="86"/>
      <c r="G545" s="86"/>
      <c r="H545" s="19"/>
      <c r="I545" s="19"/>
      <c r="J545" s="19"/>
      <c r="K545" s="19"/>
      <c r="L545" s="2"/>
      <c r="M545" s="19"/>
      <c r="N545" s="19"/>
      <c r="O545" s="19"/>
      <c r="P545" s="19"/>
      <c r="Q545" s="91"/>
      <c r="R545" s="91"/>
      <c r="S545" s="19"/>
    </row>
    <row r="546" spans="1:19" ht="15.75" customHeight="1" x14ac:dyDescent="0.25">
      <c r="A546" s="84"/>
      <c r="B546" s="19"/>
      <c r="C546" s="92"/>
      <c r="D546" s="90"/>
      <c r="E546" s="86"/>
      <c r="F546" s="86"/>
      <c r="G546" s="86"/>
      <c r="H546" s="19"/>
      <c r="I546" s="19"/>
      <c r="J546" s="19"/>
      <c r="K546" s="19"/>
      <c r="L546" s="2"/>
      <c r="M546" s="19"/>
      <c r="N546" s="19"/>
      <c r="O546" s="19"/>
      <c r="P546" s="19"/>
      <c r="Q546" s="91"/>
      <c r="R546" s="91"/>
      <c r="S546" s="19"/>
    </row>
    <row r="547" spans="1:19" ht="15.75" customHeight="1" x14ac:dyDescent="0.25">
      <c r="A547" s="84"/>
      <c r="B547" s="19"/>
      <c r="C547" s="92"/>
      <c r="D547" s="90"/>
      <c r="E547" s="86"/>
      <c r="F547" s="86"/>
      <c r="G547" s="86"/>
      <c r="H547" s="19"/>
      <c r="I547" s="19"/>
      <c r="J547" s="19"/>
      <c r="K547" s="19"/>
      <c r="L547" s="2"/>
      <c r="M547" s="19"/>
      <c r="N547" s="19"/>
      <c r="O547" s="19"/>
      <c r="P547" s="19"/>
      <c r="Q547" s="91"/>
      <c r="R547" s="91"/>
      <c r="S547" s="19"/>
    </row>
    <row r="548" spans="1:19" ht="15.75" customHeight="1" x14ac:dyDescent="0.25">
      <c r="A548" s="84"/>
      <c r="B548" s="19"/>
      <c r="C548" s="92"/>
      <c r="D548" s="90"/>
      <c r="E548" s="86"/>
      <c r="F548" s="86"/>
      <c r="G548" s="86"/>
      <c r="H548" s="19"/>
      <c r="I548" s="19"/>
      <c r="J548" s="19"/>
      <c r="K548" s="19"/>
      <c r="L548" s="2"/>
      <c r="M548" s="19"/>
      <c r="N548" s="19"/>
      <c r="O548" s="19"/>
      <c r="P548" s="19"/>
      <c r="Q548" s="91"/>
      <c r="R548" s="91"/>
      <c r="S548" s="19"/>
    </row>
    <row r="549" spans="1:19" ht="15.75" customHeight="1" x14ac:dyDescent="0.25">
      <c r="A549" s="84"/>
      <c r="B549" s="19"/>
      <c r="C549" s="92"/>
      <c r="D549" s="90"/>
      <c r="E549" s="86"/>
      <c r="F549" s="86"/>
      <c r="G549" s="86"/>
      <c r="H549" s="19"/>
      <c r="I549" s="19"/>
      <c r="J549" s="19"/>
      <c r="K549" s="19"/>
      <c r="L549" s="2"/>
      <c r="M549" s="19"/>
      <c r="N549" s="19"/>
      <c r="O549" s="19"/>
      <c r="P549" s="19"/>
      <c r="Q549" s="91"/>
      <c r="R549" s="91"/>
      <c r="S549" s="19"/>
    </row>
    <row r="550" spans="1:19" ht="15.75" customHeight="1" x14ac:dyDescent="0.25">
      <c r="A550" s="84"/>
      <c r="B550" s="19"/>
      <c r="C550" s="92"/>
      <c r="D550" s="90"/>
      <c r="E550" s="86"/>
      <c r="F550" s="86"/>
      <c r="G550" s="86"/>
      <c r="H550" s="19"/>
      <c r="I550" s="19"/>
      <c r="J550" s="19"/>
      <c r="K550" s="19"/>
      <c r="L550" s="2"/>
      <c r="M550" s="19"/>
      <c r="N550" s="19"/>
      <c r="O550" s="19"/>
      <c r="P550" s="19"/>
      <c r="Q550" s="91"/>
      <c r="R550" s="91"/>
      <c r="S550" s="19"/>
    </row>
    <row r="551" spans="1:19" ht="15.75" customHeight="1" x14ac:dyDescent="0.25">
      <c r="A551" s="84"/>
      <c r="B551" s="19"/>
      <c r="C551" s="92"/>
      <c r="D551" s="90"/>
      <c r="E551" s="86"/>
      <c r="F551" s="86"/>
      <c r="G551" s="86"/>
      <c r="H551" s="19"/>
      <c r="I551" s="19"/>
      <c r="J551" s="19"/>
      <c r="K551" s="19"/>
      <c r="L551" s="2"/>
      <c r="M551" s="19"/>
      <c r="N551" s="19"/>
      <c r="O551" s="19"/>
      <c r="P551" s="19"/>
      <c r="Q551" s="91"/>
      <c r="R551" s="91"/>
      <c r="S551" s="19"/>
    </row>
    <row r="552" spans="1:19" ht="15.75" customHeight="1" x14ac:dyDescent="0.25">
      <c r="A552" s="84"/>
      <c r="B552" s="19"/>
      <c r="C552" s="92"/>
      <c r="D552" s="90"/>
      <c r="E552" s="86"/>
      <c r="F552" s="86"/>
      <c r="G552" s="86"/>
      <c r="H552" s="19"/>
      <c r="I552" s="19"/>
      <c r="J552" s="19"/>
      <c r="K552" s="19"/>
      <c r="L552" s="2"/>
      <c r="M552" s="19"/>
      <c r="N552" s="19"/>
      <c r="O552" s="19"/>
      <c r="P552" s="19"/>
      <c r="Q552" s="91"/>
      <c r="R552" s="91"/>
      <c r="S552" s="19"/>
    </row>
    <row r="553" spans="1:19" ht="15.75" customHeight="1" x14ac:dyDescent="0.25">
      <c r="A553" s="84"/>
      <c r="B553" s="19"/>
      <c r="C553" s="92"/>
      <c r="D553" s="90"/>
      <c r="E553" s="86"/>
      <c r="F553" s="86"/>
      <c r="G553" s="86"/>
      <c r="H553" s="19"/>
      <c r="I553" s="19"/>
      <c r="J553" s="19"/>
      <c r="K553" s="19"/>
      <c r="L553" s="2"/>
      <c r="M553" s="19"/>
      <c r="N553" s="19"/>
      <c r="O553" s="19"/>
      <c r="P553" s="19"/>
      <c r="Q553" s="91"/>
      <c r="R553" s="91"/>
      <c r="S553" s="19"/>
    </row>
    <row r="554" spans="1:19" ht="15.75" customHeight="1" x14ac:dyDescent="0.25">
      <c r="A554" s="84"/>
      <c r="B554" s="19"/>
      <c r="C554" s="92"/>
      <c r="D554" s="90"/>
      <c r="E554" s="86"/>
      <c r="F554" s="86"/>
      <c r="G554" s="86"/>
      <c r="H554" s="19"/>
      <c r="I554" s="19"/>
      <c r="J554" s="19"/>
      <c r="K554" s="19"/>
      <c r="L554" s="2"/>
      <c r="M554" s="19"/>
      <c r="N554" s="19"/>
      <c r="O554" s="19"/>
      <c r="P554" s="19"/>
      <c r="Q554" s="91"/>
      <c r="R554" s="91"/>
      <c r="S554" s="19"/>
    </row>
    <row r="555" spans="1:19" ht="15.75" customHeight="1" x14ac:dyDescent="0.25">
      <c r="A555" s="84"/>
      <c r="B555" s="19"/>
      <c r="C555" s="92"/>
      <c r="D555" s="90"/>
      <c r="E555" s="86"/>
      <c r="F555" s="86"/>
      <c r="G555" s="86"/>
      <c r="H555" s="19"/>
      <c r="I555" s="19"/>
      <c r="J555" s="19"/>
      <c r="K555" s="19"/>
      <c r="L555" s="2"/>
      <c r="M555" s="19"/>
      <c r="N555" s="19"/>
      <c r="O555" s="19"/>
      <c r="P555" s="19"/>
      <c r="Q555" s="91"/>
      <c r="R555" s="91"/>
      <c r="S555" s="19"/>
    </row>
    <row r="556" spans="1:19" ht="15.75" customHeight="1" x14ac:dyDescent="0.25">
      <c r="A556" s="84"/>
      <c r="B556" s="19"/>
      <c r="C556" s="92"/>
      <c r="D556" s="90"/>
      <c r="E556" s="86"/>
      <c r="F556" s="86"/>
      <c r="G556" s="86"/>
      <c r="H556" s="19"/>
      <c r="I556" s="19"/>
      <c r="J556" s="19"/>
      <c r="K556" s="19"/>
      <c r="L556" s="2"/>
      <c r="M556" s="19"/>
      <c r="N556" s="19"/>
      <c r="O556" s="19"/>
      <c r="P556" s="19"/>
      <c r="Q556" s="91"/>
      <c r="R556" s="91"/>
      <c r="S556" s="19"/>
    </row>
    <row r="557" spans="1:19" ht="15.75" customHeight="1" x14ac:dyDescent="0.25">
      <c r="A557" s="84"/>
      <c r="B557" s="19"/>
      <c r="C557" s="92"/>
      <c r="D557" s="90"/>
      <c r="E557" s="86"/>
      <c r="F557" s="86"/>
      <c r="G557" s="86"/>
      <c r="H557" s="19"/>
      <c r="I557" s="19"/>
      <c r="J557" s="19"/>
      <c r="K557" s="19"/>
      <c r="L557" s="2"/>
      <c r="M557" s="19"/>
      <c r="N557" s="19"/>
      <c r="O557" s="19"/>
      <c r="P557" s="19"/>
      <c r="Q557" s="91"/>
      <c r="R557" s="91"/>
      <c r="S557" s="19"/>
    </row>
    <row r="558" spans="1:19" ht="15.75" customHeight="1" x14ac:dyDescent="0.25">
      <c r="A558" s="84"/>
      <c r="B558" s="19"/>
      <c r="C558" s="92"/>
      <c r="D558" s="90"/>
      <c r="E558" s="86"/>
      <c r="F558" s="86"/>
      <c r="G558" s="86"/>
      <c r="H558" s="19"/>
      <c r="I558" s="19"/>
      <c r="J558" s="19"/>
      <c r="K558" s="19"/>
      <c r="L558" s="2"/>
      <c r="M558" s="19"/>
      <c r="N558" s="19"/>
      <c r="O558" s="19"/>
      <c r="P558" s="19"/>
      <c r="Q558" s="91"/>
      <c r="R558" s="91"/>
      <c r="S558" s="19"/>
    </row>
    <row r="559" spans="1:19" ht="15.75" customHeight="1" x14ac:dyDescent="0.25">
      <c r="A559" s="84"/>
      <c r="B559" s="19"/>
      <c r="C559" s="92"/>
      <c r="D559" s="90"/>
      <c r="E559" s="86"/>
      <c r="F559" s="86"/>
      <c r="G559" s="86"/>
      <c r="H559" s="19"/>
      <c r="I559" s="19"/>
      <c r="J559" s="19"/>
      <c r="K559" s="19"/>
      <c r="L559" s="2"/>
      <c r="M559" s="19"/>
      <c r="N559" s="19"/>
      <c r="O559" s="19"/>
      <c r="P559" s="19"/>
      <c r="Q559" s="91"/>
      <c r="R559" s="91"/>
      <c r="S559" s="19"/>
    </row>
    <row r="560" spans="1:19" ht="15.75" customHeight="1" x14ac:dyDescent="0.25">
      <c r="A560" s="84"/>
      <c r="B560" s="19"/>
      <c r="C560" s="92"/>
      <c r="D560" s="90"/>
      <c r="E560" s="86"/>
      <c r="F560" s="86"/>
      <c r="G560" s="86"/>
      <c r="H560" s="19"/>
      <c r="I560" s="19"/>
      <c r="J560" s="19"/>
      <c r="K560" s="19"/>
      <c r="L560" s="2"/>
      <c r="M560" s="19"/>
      <c r="N560" s="19"/>
      <c r="O560" s="19"/>
      <c r="P560" s="19"/>
      <c r="Q560" s="91"/>
      <c r="R560" s="91"/>
      <c r="S560" s="19"/>
    </row>
    <row r="561" spans="1:19" ht="15.75" customHeight="1" x14ac:dyDescent="0.25">
      <c r="A561" s="84"/>
      <c r="B561" s="19"/>
      <c r="C561" s="92"/>
      <c r="D561" s="90"/>
      <c r="E561" s="86"/>
      <c r="F561" s="86"/>
      <c r="G561" s="86"/>
      <c r="H561" s="19"/>
      <c r="I561" s="19"/>
      <c r="J561" s="19"/>
      <c r="K561" s="19"/>
      <c r="L561" s="2"/>
      <c r="M561" s="19"/>
      <c r="N561" s="19"/>
      <c r="O561" s="19"/>
      <c r="P561" s="19"/>
      <c r="Q561" s="91"/>
      <c r="R561" s="91"/>
      <c r="S561" s="19"/>
    </row>
    <row r="562" spans="1:19" ht="15.75" customHeight="1" x14ac:dyDescent="0.25">
      <c r="A562" s="84"/>
      <c r="B562" s="19"/>
      <c r="C562" s="92"/>
      <c r="D562" s="90"/>
      <c r="E562" s="86"/>
      <c r="F562" s="86"/>
      <c r="G562" s="86"/>
      <c r="H562" s="19"/>
      <c r="I562" s="19"/>
      <c r="J562" s="19"/>
      <c r="K562" s="19"/>
      <c r="L562" s="2"/>
      <c r="M562" s="19"/>
      <c r="N562" s="19"/>
      <c r="O562" s="19"/>
      <c r="P562" s="19"/>
      <c r="Q562" s="91"/>
      <c r="R562" s="91"/>
      <c r="S562" s="19"/>
    </row>
    <row r="563" spans="1:19" ht="15.75" customHeight="1" x14ac:dyDescent="0.25">
      <c r="A563" s="84"/>
      <c r="B563" s="19"/>
      <c r="C563" s="92"/>
      <c r="D563" s="90"/>
      <c r="E563" s="86"/>
      <c r="F563" s="86"/>
      <c r="G563" s="86"/>
      <c r="H563" s="19"/>
      <c r="I563" s="19"/>
      <c r="J563" s="19"/>
      <c r="K563" s="19"/>
      <c r="L563" s="2"/>
      <c r="M563" s="19"/>
      <c r="N563" s="19"/>
      <c r="O563" s="19"/>
      <c r="P563" s="19"/>
      <c r="Q563" s="91"/>
      <c r="R563" s="91"/>
      <c r="S563" s="19"/>
    </row>
    <row r="564" spans="1:19" ht="15.75" customHeight="1" x14ac:dyDescent="0.25">
      <c r="A564" s="84"/>
      <c r="B564" s="19"/>
      <c r="C564" s="92"/>
      <c r="D564" s="90"/>
      <c r="E564" s="86"/>
      <c r="F564" s="86"/>
      <c r="G564" s="86"/>
      <c r="H564" s="19"/>
      <c r="I564" s="19"/>
      <c r="J564" s="19"/>
      <c r="K564" s="19"/>
      <c r="L564" s="2"/>
      <c r="M564" s="19"/>
      <c r="N564" s="19"/>
      <c r="O564" s="19"/>
      <c r="P564" s="19"/>
      <c r="Q564" s="91"/>
      <c r="R564" s="91"/>
      <c r="S564" s="19"/>
    </row>
    <row r="565" spans="1:19" ht="15.75" customHeight="1" x14ac:dyDescent="0.25">
      <c r="A565" s="84"/>
      <c r="B565" s="19"/>
      <c r="C565" s="92"/>
      <c r="D565" s="90"/>
      <c r="E565" s="86"/>
      <c r="F565" s="86"/>
      <c r="G565" s="86"/>
      <c r="H565" s="19"/>
      <c r="I565" s="19"/>
      <c r="J565" s="19"/>
      <c r="K565" s="19"/>
      <c r="L565" s="2"/>
      <c r="M565" s="19"/>
      <c r="N565" s="19"/>
      <c r="O565" s="19"/>
      <c r="P565" s="19"/>
      <c r="Q565" s="91"/>
      <c r="R565" s="91"/>
      <c r="S565" s="19"/>
    </row>
    <row r="566" spans="1:19" ht="15.75" customHeight="1" x14ac:dyDescent="0.25">
      <c r="A566" s="84"/>
      <c r="B566" s="19"/>
      <c r="C566" s="92"/>
      <c r="D566" s="90"/>
      <c r="E566" s="86"/>
      <c r="F566" s="86"/>
      <c r="G566" s="86"/>
      <c r="H566" s="19"/>
      <c r="I566" s="19"/>
      <c r="J566" s="19"/>
      <c r="K566" s="19"/>
      <c r="L566" s="2"/>
      <c r="M566" s="19"/>
      <c r="N566" s="19"/>
      <c r="O566" s="19"/>
      <c r="P566" s="19"/>
      <c r="Q566" s="91"/>
      <c r="R566" s="91"/>
      <c r="S566" s="19"/>
    </row>
    <row r="567" spans="1:19" ht="15.75" customHeight="1" x14ac:dyDescent="0.25">
      <c r="A567" s="84"/>
      <c r="B567" s="19"/>
      <c r="C567" s="92"/>
      <c r="D567" s="90"/>
      <c r="E567" s="86"/>
      <c r="F567" s="86"/>
      <c r="G567" s="86"/>
      <c r="H567" s="19"/>
      <c r="I567" s="19"/>
      <c r="J567" s="19"/>
      <c r="K567" s="19"/>
      <c r="L567" s="2"/>
      <c r="M567" s="19"/>
      <c r="N567" s="19"/>
      <c r="O567" s="19"/>
      <c r="P567" s="19"/>
      <c r="Q567" s="91"/>
      <c r="R567" s="91"/>
      <c r="S567" s="19"/>
    </row>
    <row r="568" spans="1:19" ht="15.75" customHeight="1" x14ac:dyDescent="0.25">
      <c r="A568" s="84"/>
      <c r="B568" s="19"/>
      <c r="C568" s="92"/>
      <c r="D568" s="90"/>
      <c r="E568" s="86"/>
      <c r="F568" s="86"/>
      <c r="G568" s="86"/>
      <c r="H568" s="19"/>
      <c r="I568" s="19"/>
      <c r="J568" s="19"/>
      <c r="K568" s="19"/>
      <c r="L568" s="2"/>
      <c r="M568" s="19"/>
      <c r="N568" s="19"/>
      <c r="O568" s="19"/>
      <c r="P568" s="19"/>
      <c r="Q568" s="91"/>
      <c r="R568" s="91"/>
      <c r="S568" s="19"/>
    </row>
    <row r="569" spans="1:19" ht="15.75" customHeight="1" x14ac:dyDescent="0.25">
      <c r="A569" s="84"/>
      <c r="B569" s="19"/>
      <c r="C569" s="92"/>
      <c r="D569" s="90"/>
      <c r="E569" s="86"/>
      <c r="F569" s="86"/>
      <c r="G569" s="86"/>
      <c r="H569" s="19"/>
      <c r="I569" s="19"/>
      <c r="J569" s="19"/>
      <c r="K569" s="19"/>
      <c r="L569" s="2"/>
      <c r="M569" s="19"/>
      <c r="N569" s="19"/>
      <c r="O569" s="19"/>
      <c r="P569" s="19"/>
      <c r="Q569" s="91"/>
      <c r="R569" s="91"/>
      <c r="S569" s="19"/>
    </row>
    <row r="570" spans="1:19" ht="15.75" customHeight="1" x14ac:dyDescent="0.25">
      <c r="A570" s="84"/>
      <c r="B570" s="19"/>
      <c r="C570" s="92"/>
      <c r="D570" s="90"/>
      <c r="E570" s="86"/>
      <c r="F570" s="86"/>
      <c r="G570" s="86"/>
      <c r="H570" s="19"/>
      <c r="I570" s="19"/>
      <c r="J570" s="19"/>
      <c r="K570" s="19"/>
      <c r="L570" s="2"/>
      <c r="M570" s="19"/>
      <c r="N570" s="19"/>
      <c r="O570" s="19"/>
      <c r="P570" s="19"/>
      <c r="Q570" s="91"/>
      <c r="R570" s="91"/>
      <c r="S570" s="19"/>
    </row>
    <row r="571" spans="1:19" ht="15.75" customHeight="1" x14ac:dyDescent="0.25">
      <c r="A571" s="84"/>
      <c r="B571" s="19"/>
      <c r="C571" s="92"/>
      <c r="D571" s="90"/>
      <c r="E571" s="86"/>
      <c r="F571" s="86"/>
      <c r="G571" s="86"/>
      <c r="H571" s="19"/>
      <c r="I571" s="19"/>
      <c r="J571" s="19"/>
      <c r="K571" s="19"/>
      <c r="L571" s="2"/>
      <c r="M571" s="19"/>
      <c r="N571" s="19"/>
      <c r="O571" s="19"/>
      <c r="P571" s="19"/>
      <c r="Q571" s="91"/>
      <c r="R571" s="91"/>
      <c r="S571" s="19"/>
    </row>
    <row r="572" spans="1:19" ht="15.75" customHeight="1" x14ac:dyDescent="0.25">
      <c r="A572" s="84"/>
      <c r="B572" s="19"/>
      <c r="C572" s="92"/>
      <c r="D572" s="90"/>
      <c r="E572" s="86"/>
      <c r="F572" s="86"/>
      <c r="G572" s="86"/>
      <c r="H572" s="19"/>
      <c r="I572" s="19"/>
      <c r="J572" s="19"/>
      <c r="K572" s="19"/>
      <c r="L572" s="2"/>
      <c r="M572" s="19"/>
      <c r="N572" s="19"/>
      <c r="O572" s="19"/>
      <c r="P572" s="19"/>
      <c r="Q572" s="91"/>
      <c r="R572" s="91"/>
      <c r="S572" s="19"/>
    </row>
    <row r="573" spans="1:19" ht="15.75" customHeight="1" x14ac:dyDescent="0.25">
      <c r="A573" s="84"/>
      <c r="B573" s="19"/>
      <c r="C573" s="92"/>
      <c r="D573" s="90"/>
      <c r="E573" s="86"/>
      <c r="F573" s="86"/>
      <c r="G573" s="86"/>
      <c r="H573" s="19"/>
      <c r="I573" s="19"/>
      <c r="J573" s="19"/>
      <c r="K573" s="19"/>
      <c r="L573" s="2"/>
      <c r="M573" s="19"/>
      <c r="N573" s="19"/>
      <c r="O573" s="19"/>
      <c r="P573" s="19"/>
      <c r="Q573" s="91"/>
      <c r="R573" s="91"/>
      <c r="S573" s="19"/>
    </row>
    <row r="574" spans="1:19" ht="15.75" customHeight="1" x14ac:dyDescent="0.25">
      <c r="A574" s="84"/>
      <c r="B574" s="19"/>
      <c r="C574" s="92"/>
      <c r="D574" s="90"/>
      <c r="E574" s="86"/>
      <c r="F574" s="86"/>
      <c r="G574" s="86"/>
      <c r="H574" s="19"/>
      <c r="I574" s="19"/>
      <c r="J574" s="19"/>
      <c r="K574" s="19"/>
      <c r="L574" s="2"/>
      <c r="M574" s="19"/>
      <c r="N574" s="19"/>
      <c r="O574" s="19"/>
      <c r="P574" s="19"/>
      <c r="Q574" s="91"/>
      <c r="R574" s="91"/>
      <c r="S574" s="19"/>
    </row>
    <row r="575" spans="1:19" ht="15.75" customHeight="1" x14ac:dyDescent="0.25">
      <c r="A575" s="84"/>
      <c r="B575" s="19"/>
      <c r="C575" s="92"/>
      <c r="D575" s="90"/>
      <c r="E575" s="86"/>
      <c r="F575" s="86"/>
      <c r="G575" s="86"/>
      <c r="H575" s="19"/>
      <c r="I575" s="19"/>
      <c r="J575" s="19"/>
      <c r="K575" s="19"/>
      <c r="L575" s="2"/>
      <c r="M575" s="19"/>
      <c r="N575" s="19"/>
      <c r="O575" s="19"/>
      <c r="P575" s="19"/>
      <c r="Q575" s="91"/>
      <c r="R575" s="91"/>
      <c r="S575" s="19"/>
    </row>
    <row r="576" spans="1:19" ht="15.75" customHeight="1" x14ac:dyDescent="0.25">
      <c r="A576" s="84"/>
      <c r="B576" s="19"/>
      <c r="C576" s="92"/>
      <c r="D576" s="90"/>
      <c r="E576" s="86"/>
      <c r="F576" s="86"/>
      <c r="G576" s="86"/>
      <c r="H576" s="19"/>
      <c r="I576" s="19"/>
      <c r="J576" s="19"/>
      <c r="K576" s="19"/>
      <c r="L576" s="2"/>
      <c r="M576" s="19"/>
      <c r="N576" s="19"/>
      <c r="O576" s="19"/>
      <c r="P576" s="19"/>
      <c r="Q576" s="91"/>
      <c r="R576" s="91"/>
      <c r="S576" s="19"/>
    </row>
    <row r="577" spans="1:19" ht="15.75" customHeight="1" x14ac:dyDescent="0.25">
      <c r="A577" s="84"/>
      <c r="B577" s="19"/>
      <c r="C577" s="92"/>
      <c r="D577" s="90"/>
      <c r="E577" s="86"/>
      <c r="F577" s="86"/>
      <c r="G577" s="86"/>
      <c r="H577" s="19"/>
      <c r="I577" s="19"/>
      <c r="J577" s="19"/>
      <c r="K577" s="19"/>
      <c r="L577" s="2"/>
      <c r="M577" s="19"/>
      <c r="N577" s="19"/>
      <c r="O577" s="19"/>
      <c r="P577" s="19"/>
      <c r="Q577" s="91"/>
      <c r="R577" s="91"/>
      <c r="S577" s="19"/>
    </row>
    <row r="578" spans="1:19" ht="15.75" customHeight="1" x14ac:dyDescent="0.25">
      <c r="A578" s="84"/>
      <c r="B578" s="19"/>
      <c r="C578" s="92"/>
      <c r="D578" s="90"/>
      <c r="E578" s="86"/>
      <c r="F578" s="86"/>
      <c r="G578" s="86"/>
      <c r="H578" s="19"/>
      <c r="I578" s="19"/>
      <c r="J578" s="19"/>
      <c r="K578" s="19"/>
      <c r="L578" s="2"/>
      <c r="M578" s="19"/>
      <c r="N578" s="19"/>
      <c r="O578" s="19"/>
      <c r="P578" s="19"/>
      <c r="Q578" s="91"/>
      <c r="R578" s="91"/>
      <c r="S578" s="19"/>
    </row>
    <row r="579" spans="1:19" ht="15.75" customHeight="1" x14ac:dyDescent="0.25">
      <c r="A579" s="84"/>
      <c r="B579" s="19"/>
      <c r="C579" s="92"/>
      <c r="D579" s="90"/>
      <c r="E579" s="86"/>
      <c r="F579" s="86"/>
      <c r="G579" s="86"/>
      <c r="H579" s="19"/>
      <c r="I579" s="19"/>
      <c r="J579" s="19"/>
      <c r="K579" s="19"/>
      <c r="L579" s="2"/>
      <c r="M579" s="19"/>
      <c r="N579" s="19"/>
      <c r="O579" s="19"/>
      <c r="P579" s="19"/>
      <c r="Q579" s="91"/>
      <c r="R579" s="91"/>
      <c r="S579" s="19"/>
    </row>
    <row r="580" spans="1:19" ht="15.75" customHeight="1" x14ac:dyDescent="0.25">
      <c r="A580" s="84"/>
      <c r="B580" s="19"/>
      <c r="C580" s="92"/>
      <c r="D580" s="90"/>
      <c r="E580" s="86"/>
      <c r="F580" s="86"/>
      <c r="G580" s="86"/>
      <c r="H580" s="19"/>
      <c r="I580" s="19"/>
      <c r="J580" s="19"/>
      <c r="K580" s="19"/>
      <c r="L580" s="2"/>
      <c r="M580" s="19"/>
      <c r="N580" s="19"/>
      <c r="O580" s="19"/>
      <c r="P580" s="19"/>
      <c r="Q580" s="91"/>
      <c r="R580" s="91"/>
      <c r="S580" s="19"/>
    </row>
    <row r="581" spans="1:19" ht="15.75" customHeight="1" x14ac:dyDescent="0.25">
      <c r="A581" s="84"/>
      <c r="B581" s="19"/>
      <c r="C581" s="92"/>
      <c r="D581" s="90"/>
      <c r="E581" s="86"/>
      <c r="F581" s="86"/>
      <c r="G581" s="86"/>
      <c r="H581" s="19"/>
      <c r="I581" s="19"/>
      <c r="J581" s="19"/>
      <c r="K581" s="19"/>
      <c r="L581" s="2"/>
      <c r="M581" s="19"/>
      <c r="N581" s="19"/>
      <c r="O581" s="19"/>
      <c r="P581" s="19"/>
      <c r="Q581" s="91"/>
      <c r="R581" s="91"/>
      <c r="S581" s="19"/>
    </row>
    <row r="582" spans="1:19" ht="15.75" customHeight="1" x14ac:dyDescent="0.25">
      <c r="A582" s="84"/>
      <c r="B582" s="19"/>
      <c r="C582" s="92"/>
      <c r="D582" s="90"/>
      <c r="E582" s="86"/>
      <c r="F582" s="86"/>
      <c r="G582" s="86"/>
      <c r="H582" s="19"/>
      <c r="I582" s="19"/>
      <c r="J582" s="19"/>
      <c r="K582" s="19"/>
      <c r="L582" s="2"/>
      <c r="M582" s="19"/>
      <c r="N582" s="19"/>
      <c r="O582" s="19"/>
      <c r="P582" s="19"/>
      <c r="Q582" s="91"/>
      <c r="R582" s="91"/>
      <c r="S582" s="19"/>
    </row>
    <row r="583" spans="1:19" ht="15.75" customHeight="1" x14ac:dyDescent="0.25">
      <c r="A583" s="84"/>
      <c r="B583" s="19"/>
      <c r="C583" s="92"/>
      <c r="D583" s="90"/>
      <c r="E583" s="86"/>
      <c r="F583" s="86"/>
      <c r="G583" s="86"/>
      <c r="H583" s="19"/>
      <c r="I583" s="19"/>
      <c r="J583" s="19"/>
      <c r="K583" s="19"/>
      <c r="L583" s="2"/>
      <c r="M583" s="19"/>
      <c r="N583" s="19"/>
      <c r="O583" s="19"/>
      <c r="P583" s="19"/>
      <c r="Q583" s="91"/>
      <c r="R583" s="91"/>
      <c r="S583" s="19"/>
    </row>
    <row r="584" spans="1:19" ht="15.75" customHeight="1" x14ac:dyDescent="0.25">
      <c r="A584" s="84"/>
      <c r="B584" s="19"/>
      <c r="C584" s="92"/>
      <c r="D584" s="90"/>
      <c r="E584" s="86"/>
      <c r="F584" s="86"/>
      <c r="G584" s="86"/>
      <c r="H584" s="19"/>
      <c r="I584" s="19"/>
      <c r="J584" s="19"/>
      <c r="K584" s="19"/>
      <c r="L584" s="2"/>
      <c r="M584" s="19"/>
      <c r="N584" s="19"/>
      <c r="O584" s="19"/>
      <c r="P584" s="19"/>
      <c r="Q584" s="91"/>
      <c r="R584" s="91"/>
      <c r="S584" s="19"/>
    </row>
    <row r="585" spans="1:19" ht="15.75" customHeight="1" x14ac:dyDescent="0.25">
      <c r="A585" s="84"/>
      <c r="B585" s="19"/>
      <c r="C585" s="92"/>
      <c r="D585" s="90"/>
      <c r="E585" s="86"/>
      <c r="F585" s="86"/>
      <c r="G585" s="86"/>
      <c r="H585" s="19"/>
      <c r="I585" s="19"/>
      <c r="J585" s="19"/>
      <c r="K585" s="19"/>
      <c r="L585" s="2"/>
      <c r="M585" s="19"/>
      <c r="N585" s="19"/>
      <c r="O585" s="19"/>
      <c r="P585" s="19"/>
      <c r="Q585" s="91"/>
      <c r="R585" s="91"/>
      <c r="S585" s="19"/>
    </row>
    <row r="586" spans="1:19" ht="15.75" customHeight="1" x14ac:dyDescent="0.25">
      <c r="A586" s="84"/>
      <c r="B586" s="19"/>
      <c r="C586" s="92"/>
      <c r="D586" s="90"/>
      <c r="E586" s="86"/>
      <c r="F586" s="86"/>
      <c r="G586" s="86"/>
      <c r="H586" s="19"/>
      <c r="I586" s="19"/>
      <c r="J586" s="19"/>
      <c r="K586" s="19"/>
      <c r="L586" s="2"/>
      <c r="M586" s="19"/>
      <c r="N586" s="19"/>
      <c r="O586" s="19"/>
      <c r="P586" s="19"/>
      <c r="Q586" s="91"/>
      <c r="R586" s="91"/>
      <c r="S586" s="19"/>
    </row>
    <row r="587" spans="1:19" ht="15.75" customHeight="1" x14ac:dyDescent="0.25">
      <c r="A587" s="84"/>
      <c r="B587" s="19"/>
      <c r="C587" s="92"/>
      <c r="D587" s="90"/>
      <c r="E587" s="86"/>
      <c r="F587" s="86"/>
      <c r="G587" s="86"/>
      <c r="H587" s="19"/>
      <c r="I587" s="19"/>
      <c r="J587" s="19"/>
      <c r="K587" s="19"/>
      <c r="L587" s="2"/>
      <c r="M587" s="19"/>
      <c r="N587" s="19"/>
      <c r="O587" s="19"/>
      <c r="P587" s="19"/>
      <c r="Q587" s="91"/>
      <c r="R587" s="91"/>
      <c r="S587" s="19"/>
    </row>
    <row r="588" spans="1:19" ht="15.75" customHeight="1" x14ac:dyDescent="0.25">
      <c r="A588" s="84"/>
      <c r="B588" s="19"/>
      <c r="C588" s="92"/>
      <c r="D588" s="90"/>
      <c r="E588" s="86"/>
      <c r="F588" s="86"/>
      <c r="G588" s="86"/>
      <c r="H588" s="19"/>
      <c r="I588" s="19"/>
      <c r="J588" s="19"/>
      <c r="K588" s="19"/>
      <c r="L588" s="2"/>
      <c r="M588" s="19"/>
      <c r="N588" s="19"/>
      <c r="O588" s="19"/>
      <c r="P588" s="19"/>
      <c r="Q588" s="91"/>
      <c r="R588" s="91"/>
      <c r="S588" s="19"/>
    </row>
    <row r="589" spans="1:19" ht="15.75" customHeight="1" x14ac:dyDescent="0.25">
      <c r="A589" s="84"/>
      <c r="B589" s="19"/>
      <c r="C589" s="92"/>
      <c r="D589" s="90"/>
      <c r="E589" s="86"/>
      <c r="F589" s="86"/>
      <c r="G589" s="86"/>
      <c r="H589" s="19"/>
      <c r="I589" s="19"/>
      <c r="J589" s="19"/>
      <c r="K589" s="19"/>
      <c r="L589" s="2"/>
      <c r="M589" s="19"/>
      <c r="N589" s="19"/>
      <c r="O589" s="19"/>
      <c r="P589" s="19"/>
      <c r="Q589" s="91"/>
      <c r="R589" s="91"/>
      <c r="S589" s="19"/>
    </row>
    <row r="590" spans="1:19" ht="15.75" customHeight="1" x14ac:dyDescent="0.25">
      <c r="A590" s="84"/>
      <c r="B590" s="19"/>
      <c r="C590" s="92"/>
      <c r="D590" s="90"/>
      <c r="E590" s="86"/>
      <c r="F590" s="86"/>
      <c r="G590" s="86"/>
      <c r="H590" s="19"/>
      <c r="I590" s="19"/>
      <c r="J590" s="19"/>
      <c r="K590" s="19"/>
      <c r="L590" s="2"/>
      <c r="M590" s="19"/>
      <c r="N590" s="19"/>
      <c r="O590" s="19"/>
      <c r="P590" s="19"/>
      <c r="Q590" s="91"/>
      <c r="R590" s="91"/>
      <c r="S590" s="19"/>
    </row>
    <row r="591" spans="1:19" ht="15.75" customHeight="1" x14ac:dyDescent="0.25">
      <c r="A591" s="84"/>
      <c r="B591" s="19"/>
      <c r="C591" s="92"/>
      <c r="D591" s="90"/>
      <c r="E591" s="86"/>
      <c r="F591" s="86"/>
      <c r="G591" s="86"/>
      <c r="H591" s="19"/>
      <c r="I591" s="19"/>
      <c r="J591" s="19"/>
      <c r="K591" s="19"/>
      <c r="L591" s="2"/>
      <c r="M591" s="19"/>
      <c r="N591" s="19"/>
      <c r="O591" s="19"/>
      <c r="P591" s="19"/>
      <c r="Q591" s="91"/>
      <c r="R591" s="91"/>
      <c r="S591" s="19"/>
    </row>
    <row r="592" spans="1:19" ht="15.75" customHeight="1" x14ac:dyDescent="0.25">
      <c r="A592" s="84"/>
      <c r="B592" s="19"/>
      <c r="C592" s="92"/>
      <c r="D592" s="90"/>
      <c r="E592" s="86"/>
      <c r="F592" s="86"/>
      <c r="G592" s="86"/>
      <c r="H592" s="19"/>
      <c r="I592" s="19"/>
      <c r="J592" s="19"/>
      <c r="K592" s="19"/>
      <c r="L592" s="2"/>
      <c r="M592" s="19"/>
      <c r="N592" s="19"/>
      <c r="O592" s="19"/>
      <c r="P592" s="19"/>
      <c r="Q592" s="91"/>
      <c r="R592" s="91"/>
      <c r="S592" s="19"/>
    </row>
    <row r="593" spans="1:19" ht="15.75" customHeight="1" x14ac:dyDescent="0.25">
      <c r="A593" s="84"/>
      <c r="B593" s="19"/>
      <c r="C593" s="92"/>
      <c r="D593" s="90"/>
      <c r="E593" s="86"/>
      <c r="F593" s="86"/>
      <c r="G593" s="86"/>
      <c r="H593" s="19"/>
      <c r="I593" s="19"/>
      <c r="J593" s="19"/>
      <c r="K593" s="19"/>
      <c r="L593" s="2"/>
      <c r="M593" s="19"/>
      <c r="N593" s="19"/>
      <c r="O593" s="19"/>
      <c r="P593" s="19"/>
      <c r="Q593" s="91"/>
      <c r="R593" s="91"/>
      <c r="S593" s="19"/>
    </row>
    <row r="594" spans="1:19" ht="15.75" customHeight="1" x14ac:dyDescent="0.25">
      <c r="A594" s="84"/>
      <c r="B594" s="19"/>
      <c r="C594" s="92"/>
      <c r="D594" s="90"/>
      <c r="E594" s="86"/>
      <c r="F594" s="86"/>
      <c r="G594" s="86"/>
      <c r="H594" s="19"/>
      <c r="I594" s="19"/>
      <c r="J594" s="19"/>
      <c r="K594" s="19"/>
      <c r="L594" s="2"/>
      <c r="M594" s="19"/>
      <c r="N594" s="19"/>
      <c r="O594" s="19"/>
      <c r="P594" s="19"/>
      <c r="Q594" s="91"/>
      <c r="R594" s="91"/>
      <c r="S594" s="19"/>
    </row>
    <row r="595" spans="1:19" ht="15.75" customHeight="1" x14ac:dyDescent="0.25">
      <c r="A595" s="84"/>
      <c r="B595" s="19"/>
      <c r="C595" s="92"/>
      <c r="D595" s="90"/>
      <c r="E595" s="86"/>
      <c r="F595" s="86"/>
      <c r="G595" s="86"/>
      <c r="H595" s="19"/>
      <c r="I595" s="19"/>
      <c r="J595" s="19"/>
      <c r="K595" s="19"/>
      <c r="L595" s="2"/>
      <c r="M595" s="19"/>
      <c r="N595" s="19"/>
      <c r="O595" s="19"/>
      <c r="P595" s="19"/>
      <c r="Q595" s="91"/>
      <c r="R595" s="91"/>
      <c r="S595" s="19"/>
    </row>
    <row r="596" spans="1:19" ht="15.75" customHeight="1" x14ac:dyDescent="0.25">
      <c r="A596" s="84"/>
      <c r="B596" s="19"/>
      <c r="C596" s="92"/>
      <c r="D596" s="90"/>
      <c r="E596" s="86"/>
      <c r="F596" s="86"/>
      <c r="G596" s="86"/>
      <c r="H596" s="19"/>
      <c r="I596" s="19"/>
      <c r="J596" s="19"/>
      <c r="K596" s="19"/>
      <c r="L596" s="2"/>
      <c r="M596" s="19"/>
      <c r="N596" s="19"/>
      <c r="O596" s="19"/>
      <c r="P596" s="19"/>
      <c r="Q596" s="91"/>
      <c r="R596" s="91"/>
      <c r="S596" s="19"/>
    </row>
    <row r="597" spans="1:19" ht="15.75" customHeight="1" x14ac:dyDescent="0.25">
      <c r="A597" s="84"/>
      <c r="B597" s="19"/>
      <c r="C597" s="92"/>
      <c r="D597" s="90"/>
      <c r="E597" s="86"/>
      <c r="F597" s="86"/>
      <c r="G597" s="86"/>
      <c r="H597" s="19"/>
      <c r="I597" s="19"/>
      <c r="J597" s="19"/>
      <c r="K597" s="19"/>
      <c r="L597" s="2"/>
      <c r="M597" s="19"/>
      <c r="N597" s="19"/>
      <c r="O597" s="19"/>
      <c r="P597" s="19"/>
      <c r="Q597" s="91"/>
      <c r="R597" s="91"/>
      <c r="S597" s="19"/>
    </row>
    <row r="598" spans="1:19" ht="15.75" customHeight="1" x14ac:dyDescent="0.25">
      <c r="A598" s="84"/>
      <c r="B598" s="19"/>
      <c r="C598" s="92"/>
      <c r="D598" s="90"/>
      <c r="E598" s="86"/>
      <c r="F598" s="86"/>
      <c r="G598" s="86"/>
      <c r="H598" s="19"/>
      <c r="I598" s="19"/>
      <c r="J598" s="19"/>
      <c r="K598" s="19"/>
      <c r="L598" s="2"/>
      <c r="M598" s="19"/>
      <c r="N598" s="19"/>
      <c r="O598" s="19"/>
      <c r="P598" s="19"/>
      <c r="Q598" s="91"/>
      <c r="R598" s="91"/>
      <c r="S598" s="19"/>
    </row>
    <row r="599" spans="1:19" ht="15.75" customHeight="1" x14ac:dyDescent="0.25">
      <c r="A599" s="84"/>
      <c r="B599" s="19"/>
      <c r="C599" s="92"/>
      <c r="D599" s="90"/>
      <c r="E599" s="86"/>
      <c r="F599" s="86"/>
      <c r="G599" s="86"/>
      <c r="H599" s="19"/>
      <c r="I599" s="19"/>
      <c r="J599" s="19"/>
      <c r="K599" s="19"/>
      <c r="L599" s="2"/>
      <c r="M599" s="19"/>
      <c r="N599" s="19"/>
      <c r="O599" s="19"/>
      <c r="P599" s="19"/>
      <c r="Q599" s="91"/>
      <c r="R599" s="91"/>
      <c r="S599" s="19"/>
    </row>
    <row r="600" spans="1:19" ht="15.75" customHeight="1" x14ac:dyDescent="0.25">
      <c r="A600" s="84"/>
      <c r="B600" s="19"/>
      <c r="C600" s="92"/>
      <c r="D600" s="90"/>
      <c r="E600" s="86"/>
      <c r="F600" s="86"/>
      <c r="G600" s="86"/>
      <c r="H600" s="19"/>
      <c r="I600" s="19"/>
      <c r="J600" s="19"/>
      <c r="K600" s="19"/>
      <c r="L600" s="2"/>
      <c r="M600" s="19"/>
      <c r="N600" s="19"/>
      <c r="O600" s="19"/>
      <c r="P600" s="19"/>
      <c r="Q600" s="91"/>
      <c r="R600" s="91"/>
      <c r="S600" s="19"/>
    </row>
    <row r="601" spans="1:19" ht="15.75" customHeight="1" x14ac:dyDescent="0.25">
      <c r="A601" s="84"/>
      <c r="B601" s="19"/>
      <c r="C601" s="92"/>
      <c r="D601" s="90"/>
      <c r="E601" s="86"/>
      <c r="F601" s="86"/>
      <c r="G601" s="86"/>
      <c r="H601" s="19"/>
      <c r="I601" s="19"/>
      <c r="J601" s="19"/>
      <c r="K601" s="19"/>
      <c r="L601" s="2"/>
      <c r="M601" s="19"/>
      <c r="N601" s="19"/>
      <c r="O601" s="19"/>
      <c r="P601" s="19"/>
      <c r="Q601" s="91"/>
      <c r="R601" s="91"/>
      <c r="S601" s="19"/>
    </row>
    <row r="602" spans="1:19" ht="15.75" customHeight="1" x14ac:dyDescent="0.25">
      <c r="A602" s="84"/>
      <c r="B602" s="19"/>
      <c r="C602" s="92"/>
      <c r="D602" s="90"/>
      <c r="E602" s="86"/>
      <c r="F602" s="86"/>
      <c r="G602" s="86"/>
      <c r="H602" s="19"/>
      <c r="I602" s="19"/>
      <c r="J602" s="19"/>
      <c r="K602" s="19"/>
      <c r="L602" s="2"/>
      <c r="M602" s="19"/>
      <c r="N602" s="19"/>
      <c r="O602" s="19"/>
      <c r="P602" s="19"/>
      <c r="Q602" s="91"/>
      <c r="R602" s="91"/>
      <c r="S602" s="19"/>
    </row>
    <row r="603" spans="1:19" ht="15.75" customHeight="1" x14ac:dyDescent="0.25">
      <c r="A603" s="84"/>
      <c r="B603" s="19"/>
      <c r="C603" s="92"/>
      <c r="D603" s="90"/>
      <c r="E603" s="86"/>
      <c r="F603" s="86"/>
      <c r="G603" s="86"/>
      <c r="H603" s="19"/>
      <c r="I603" s="19"/>
      <c r="J603" s="19"/>
      <c r="K603" s="19"/>
      <c r="L603" s="2"/>
      <c r="M603" s="19"/>
      <c r="N603" s="19"/>
      <c r="O603" s="19"/>
      <c r="P603" s="19"/>
      <c r="Q603" s="91"/>
      <c r="R603" s="91"/>
      <c r="S603" s="19"/>
    </row>
    <row r="604" spans="1:19" ht="15.75" customHeight="1" x14ac:dyDescent="0.25">
      <c r="A604" s="84"/>
      <c r="B604" s="19"/>
      <c r="C604" s="92"/>
      <c r="D604" s="90"/>
      <c r="E604" s="86"/>
      <c r="F604" s="86"/>
      <c r="G604" s="86"/>
      <c r="H604" s="19"/>
      <c r="I604" s="19"/>
      <c r="J604" s="19"/>
      <c r="K604" s="19"/>
      <c r="L604" s="2"/>
      <c r="M604" s="19"/>
      <c r="N604" s="19"/>
      <c r="O604" s="19"/>
      <c r="P604" s="19"/>
      <c r="Q604" s="91"/>
      <c r="R604" s="91"/>
      <c r="S604" s="19"/>
    </row>
    <row r="605" spans="1:19" ht="15.75" customHeight="1" x14ac:dyDescent="0.25">
      <c r="A605" s="84"/>
      <c r="B605" s="19"/>
      <c r="C605" s="92"/>
      <c r="D605" s="90"/>
      <c r="E605" s="86"/>
      <c r="F605" s="86"/>
      <c r="G605" s="86"/>
      <c r="H605" s="19"/>
      <c r="I605" s="19"/>
      <c r="J605" s="19"/>
      <c r="K605" s="19"/>
      <c r="L605" s="2"/>
      <c r="M605" s="19"/>
      <c r="N605" s="19"/>
      <c r="O605" s="19"/>
      <c r="P605" s="19"/>
      <c r="Q605" s="91"/>
      <c r="R605" s="91"/>
      <c r="S605" s="19"/>
    </row>
    <row r="606" spans="1:19" ht="15.75" customHeight="1" x14ac:dyDescent="0.25">
      <c r="A606" s="84"/>
      <c r="B606" s="19"/>
      <c r="C606" s="92"/>
      <c r="D606" s="90"/>
      <c r="E606" s="86"/>
      <c r="F606" s="86"/>
      <c r="G606" s="86"/>
      <c r="H606" s="19"/>
      <c r="I606" s="19"/>
      <c r="J606" s="19"/>
      <c r="K606" s="19"/>
      <c r="L606" s="2"/>
      <c r="M606" s="19"/>
      <c r="N606" s="19"/>
      <c r="O606" s="19"/>
      <c r="P606" s="19"/>
      <c r="Q606" s="91"/>
      <c r="R606" s="91"/>
      <c r="S606" s="19"/>
    </row>
    <row r="607" spans="1:19" ht="15.75" customHeight="1" x14ac:dyDescent="0.25">
      <c r="A607" s="84"/>
      <c r="B607" s="19"/>
      <c r="C607" s="92"/>
      <c r="D607" s="90"/>
      <c r="E607" s="86"/>
      <c r="F607" s="86"/>
      <c r="G607" s="86"/>
      <c r="H607" s="19"/>
      <c r="I607" s="19"/>
      <c r="J607" s="19"/>
      <c r="K607" s="19"/>
      <c r="L607" s="2"/>
      <c r="M607" s="19"/>
      <c r="N607" s="19"/>
      <c r="O607" s="19"/>
      <c r="P607" s="19"/>
      <c r="Q607" s="91"/>
      <c r="R607" s="91"/>
      <c r="S607" s="19"/>
    </row>
    <row r="608" spans="1:19" ht="15.75" customHeight="1" x14ac:dyDescent="0.25">
      <c r="A608" s="84"/>
      <c r="B608" s="19"/>
      <c r="C608" s="92"/>
      <c r="D608" s="90"/>
      <c r="E608" s="86"/>
      <c r="F608" s="86"/>
      <c r="G608" s="86"/>
      <c r="H608" s="19"/>
      <c r="I608" s="19"/>
      <c r="J608" s="19"/>
      <c r="K608" s="19"/>
      <c r="L608" s="2"/>
      <c r="M608" s="19"/>
      <c r="N608" s="19"/>
      <c r="O608" s="19"/>
      <c r="P608" s="19"/>
      <c r="Q608" s="91"/>
      <c r="R608" s="91"/>
      <c r="S608" s="19"/>
    </row>
    <row r="609" spans="1:19" ht="15.75" customHeight="1" x14ac:dyDescent="0.25">
      <c r="A609" s="84"/>
      <c r="B609" s="19"/>
      <c r="C609" s="92"/>
      <c r="D609" s="90"/>
      <c r="E609" s="86"/>
      <c r="F609" s="86"/>
      <c r="G609" s="86"/>
      <c r="H609" s="19"/>
      <c r="I609" s="19"/>
      <c r="J609" s="19"/>
      <c r="K609" s="19"/>
      <c r="L609" s="2"/>
      <c r="M609" s="19"/>
      <c r="N609" s="19"/>
      <c r="O609" s="19"/>
      <c r="P609" s="19"/>
      <c r="Q609" s="91"/>
      <c r="R609" s="91"/>
      <c r="S609" s="19"/>
    </row>
    <row r="610" spans="1:19" ht="15.75" customHeight="1" x14ac:dyDescent="0.25">
      <c r="A610" s="84"/>
      <c r="B610" s="19"/>
      <c r="C610" s="92"/>
      <c r="D610" s="90"/>
      <c r="E610" s="86"/>
      <c r="F610" s="86"/>
      <c r="G610" s="86"/>
      <c r="H610" s="19"/>
      <c r="I610" s="19"/>
      <c r="J610" s="19"/>
      <c r="K610" s="19"/>
      <c r="L610" s="2"/>
      <c r="M610" s="19"/>
      <c r="N610" s="19"/>
      <c r="O610" s="19"/>
      <c r="P610" s="19"/>
      <c r="Q610" s="91"/>
      <c r="R610" s="91"/>
      <c r="S610" s="19"/>
    </row>
    <row r="611" spans="1:19" ht="15.75" customHeight="1" x14ac:dyDescent="0.25">
      <c r="A611" s="84"/>
      <c r="B611" s="19"/>
      <c r="C611" s="92"/>
      <c r="D611" s="90"/>
      <c r="E611" s="86"/>
      <c r="F611" s="86"/>
      <c r="G611" s="86"/>
      <c r="H611" s="19"/>
      <c r="I611" s="19"/>
      <c r="J611" s="19"/>
      <c r="K611" s="19"/>
      <c r="L611" s="2"/>
      <c r="M611" s="19"/>
      <c r="N611" s="19"/>
      <c r="O611" s="19"/>
      <c r="P611" s="19"/>
      <c r="Q611" s="91"/>
      <c r="R611" s="91"/>
      <c r="S611" s="19"/>
    </row>
    <row r="612" spans="1:19" ht="15.75" customHeight="1" x14ac:dyDescent="0.25">
      <c r="A612" s="84"/>
      <c r="B612" s="19"/>
      <c r="C612" s="92"/>
      <c r="D612" s="90"/>
      <c r="E612" s="86"/>
      <c r="F612" s="86"/>
      <c r="G612" s="86"/>
      <c r="H612" s="19"/>
      <c r="I612" s="19"/>
      <c r="J612" s="19"/>
      <c r="K612" s="19"/>
      <c r="L612" s="2"/>
      <c r="M612" s="19"/>
      <c r="N612" s="19"/>
      <c r="O612" s="19"/>
      <c r="P612" s="19"/>
      <c r="Q612" s="91"/>
      <c r="R612" s="91"/>
      <c r="S612" s="19"/>
    </row>
    <row r="613" spans="1:19" ht="15.75" customHeight="1" x14ac:dyDescent="0.25">
      <c r="A613" s="84"/>
      <c r="B613" s="19"/>
      <c r="C613" s="92"/>
      <c r="D613" s="90"/>
      <c r="E613" s="86"/>
      <c r="F613" s="86"/>
      <c r="G613" s="86"/>
      <c r="H613" s="19"/>
      <c r="I613" s="19"/>
      <c r="J613" s="19"/>
      <c r="K613" s="19"/>
      <c r="L613" s="2"/>
      <c r="M613" s="19"/>
      <c r="N613" s="19"/>
      <c r="O613" s="19"/>
      <c r="P613" s="19"/>
      <c r="Q613" s="91"/>
      <c r="R613" s="91"/>
      <c r="S613" s="19"/>
    </row>
    <row r="614" spans="1:19" ht="15.75" customHeight="1" x14ac:dyDescent="0.25">
      <c r="A614" s="84"/>
      <c r="B614" s="19"/>
      <c r="C614" s="92"/>
      <c r="D614" s="90"/>
      <c r="E614" s="86"/>
      <c r="F614" s="86"/>
      <c r="G614" s="86"/>
      <c r="H614" s="19"/>
      <c r="I614" s="19"/>
      <c r="J614" s="19"/>
      <c r="K614" s="19"/>
      <c r="L614" s="2"/>
      <c r="M614" s="19"/>
      <c r="N614" s="19"/>
      <c r="O614" s="19"/>
      <c r="P614" s="19"/>
      <c r="Q614" s="91"/>
      <c r="R614" s="91"/>
      <c r="S614" s="19"/>
    </row>
    <row r="615" spans="1:19" ht="15.75" customHeight="1" x14ac:dyDescent="0.25">
      <c r="A615" s="84"/>
      <c r="B615" s="19"/>
      <c r="C615" s="92"/>
      <c r="D615" s="90"/>
      <c r="E615" s="86"/>
      <c r="F615" s="86"/>
      <c r="G615" s="86"/>
      <c r="H615" s="19"/>
      <c r="I615" s="19"/>
      <c r="J615" s="19"/>
      <c r="K615" s="19"/>
      <c r="L615" s="2"/>
      <c r="M615" s="19"/>
      <c r="N615" s="19"/>
      <c r="O615" s="19"/>
      <c r="P615" s="19"/>
      <c r="Q615" s="91"/>
      <c r="R615" s="91"/>
      <c r="S615" s="19"/>
    </row>
    <row r="616" spans="1:19" ht="15.75" customHeight="1" x14ac:dyDescent="0.25">
      <c r="A616" s="84"/>
      <c r="B616" s="19"/>
      <c r="C616" s="92"/>
      <c r="D616" s="90"/>
      <c r="E616" s="86"/>
      <c r="F616" s="86"/>
      <c r="G616" s="86"/>
      <c r="H616" s="19"/>
      <c r="I616" s="19"/>
      <c r="J616" s="19"/>
      <c r="K616" s="19"/>
      <c r="L616" s="2"/>
      <c r="M616" s="19"/>
      <c r="N616" s="19"/>
      <c r="O616" s="19"/>
      <c r="P616" s="19"/>
      <c r="Q616" s="91"/>
      <c r="R616" s="91"/>
      <c r="S616" s="19"/>
    </row>
    <row r="617" spans="1:19" ht="15.75" customHeight="1" x14ac:dyDescent="0.25">
      <c r="A617" s="84"/>
      <c r="B617" s="19"/>
      <c r="C617" s="92"/>
      <c r="D617" s="90"/>
      <c r="E617" s="86"/>
      <c r="F617" s="86"/>
      <c r="G617" s="86"/>
      <c r="H617" s="19"/>
      <c r="I617" s="19"/>
      <c r="J617" s="19"/>
      <c r="K617" s="19"/>
      <c r="L617" s="2"/>
      <c r="M617" s="19"/>
      <c r="N617" s="19"/>
      <c r="O617" s="19"/>
      <c r="P617" s="19"/>
      <c r="Q617" s="91"/>
      <c r="R617" s="91"/>
      <c r="S617" s="19"/>
    </row>
    <row r="618" spans="1:19" ht="15.75" customHeight="1" x14ac:dyDescent="0.25">
      <c r="A618" s="84"/>
      <c r="B618" s="19"/>
      <c r="C618" s="92"/>
      <c r="D618" s="90"/>
      <c r="E618" s="86"/>
      <c r="F618" s="86"/>
      <c r="G618" s="86"/>
      <c r="H618" s="19"/>
      <c r="I618" s="19"/>
      <c r="J618" s="19"/>
      <c r="K618" s="19"/>
      <c r="L618" s="2"/>
      <c r="M618" s="19"/>
      <c r="N618" s="19"/>
      <c r="O618" s="19"/>
      <c r="P618" s="19"/>
      <c r="Q618" s="91"/>
      <c r="R618" s="91"/>
      <c r="S618" s="19"/>
    </row>
    <row r="619" spans="1:19" ht="15.75" customHeight="1" x14ac:dyDescent="0.25">
      <c r="A619" s="84"/>
      <c r="B619" s="19"/>
      <c r="C619" s="92"/>
      <c r="D619" s="90"/>
      <c r="E619" s="86"/>
      <c r="F619" s="86"/>
      <c r="G619" s="86"/>
      <c r="H619" s="19"/>
      <c r="I619" s="19"/>
      <c r="J619" s="19"/>
      <c r="K619" s="19"/>
      <c r="L619" s="2"/>
      <c r="M619" s="19"/>
      <c r="N619" s="19"/>
      <c r="O619" s="19"/>
      <c r="P619" s="19"/>
      <c r="Q619" s="91"/>
      <c r="R619" s="91"/>
      <c r="S619" s="19"/>
    </row>
    <row r="620" spans="1:19" ht="15.75" customHeight="1" x14ac:dyDescent="0.25">
      <c r="A620" s="84"/>
      <c r="B620" s="19"/>
      <c r="C620" s="92"/>
      <c r="D620" s="90"/>
      <c r="E620" s="86"/>
      <c r="F620" s="86"/>
      <c r="G620" s="86"/>
      <c r="H620" s="19"/>
      <c r="I620" s="19"/>
      <c r="J620" s="19"/>
      <c r="K620" s="19"/>
      <c r="L620" s="2"/>
      <c r="M620" s="19"/>
      <c r="N620" s="19"/>
      <c r="O620" s="19"/>
      <c r="P620" s="19"/>
      <c r="Q620" s="91"/>
      <c r="R620" s="91"/>
      <c r="S620" s="19"/>
    </row>
    <row r="621" spans="1:19" ht="15.75" customHeight="1" x14ac:dyDescent="0.25">
      <c r="A621" s="84"/>
      <c r="B621" s="19"/>
      <c r="C621" s="92"/>
      <c r="D621" s="90"/>
      <c r="E621" s="86"/>
      <c r="F621" s="86"/>
      <c r="G621" s="86"/>
      <c r="H621" s="19"/>
      <c r="I621" s="19"/>
      <c r="J621" s="19"/>
      <c r="K621" s="19"/>
      <c r="L621" s="2"/>
      <c r="M621" s="19"/>
      <c r="N621" s="19"/>
      <c r="O621" s="19"/>
      <c r="P621" s="19"/>
      <c r="Q621" s="91"/>
      <c r="R621" s="91"/>
      <c r="S621" s="19"/>
    </row>
    <row r="622" spans="1:19" ht="15.75" customHeight="1" x14ac:dyDescent="0.25">
      <c r="A622" s="84"/>
      <c r="B622" s="19"/>
      <c r="C622" s="92"/>
      <c r="D622" s="90"/>
      <c r="E622" s="86"/>
      <c r="F622" s="86"/>
      <c r="G622" s="86"/>
      <c r="H622" s="19"/>
      <c r="I622" s="19"/>
      <c r="J622" s="19"/>
      <c r="K622" s="19"/>
      <c r="L622" s="2"/>
      <c r="M622" s="19"/>
      <c r="N622" s="19"/>
      <c r="O622" s="19"/>
      <c r="P622" s="19"/>
      <c r="Q622" s="91"/>
      <c r="R622" s="91"/>
      <c r="S622" s="19"/>
    </row>
    <row r="623" spans="1:19" ht="15.75" customHeight="1" x14ac:dyDescent="0.25">
      <c r="A623" s="84"/>
      <c r="B623" s="19"/>
      <c r="C623" s="92"/>
      <c r="D623" s="90"/>
      <c r="E623" s="86"/>
      <c r="F623" s="86"/>
      <c r="G623" s="86"/>
      <c r="H623" s="19"/>
      <c r="I623" s="19"/>
      <c r="J623" s="19"/>
      <c r="K623" s="19"/>
      <c r="L623" s="2"/>
      <c r="M623" s="19"/>
      <c r="N623" s="19"/>
      <c r="O623" s="19"/>
      <c r="P623" s="19"/>
      <c r="Q623" s="91"/>
      <c r="R623" s="91"/>
      <c r="S623" s="19"/>
    </row>
    <row r="624" spans="1:19" ht="15.75" customHeight="1" x14ac:dyDescent="0.25">
      <c r="A624" s="84"/>
      <c r="B624" s="19"/>
      <c r="C624" s="92"/>
      <c r="D624" s="90"/>
      <c r="E624" s="86"/>
      <c r="F624" s="86"/>
      <c r="G624" s="86"/>
      <c r="H624" s="19"/>
      <c r="I624" s="19"/>
      <c r="J624" s="19"/>
      <c r="K624" s="19"/>
      <c r="L624" s="2"/>
      <c r="M624" s="19"/>
      <c r="N624" s="19"/>
      <c r="O624" s="19"/>
      <c r="P624" s="19"/>
      <c r="Q624" s="91"/>
      <c r="R624" s="91"/>
      <c r="S624" s="19"/>
    </row>
    <row r="625" spans="1:19" ht="15.75" customHeight="1" x14ac:dyDescent="0.25">
      <c r="A625" s="84"/>
      <c r="B625" s="19"/>
      <c r="C625" s="92"/>
      <c r="D625" s="90"/>
      <c r="E625" s="86"/>
      <c r="F625" s="86"/>
      <c r="G625" s="86"/>
      <c r="H625" s="19"/>
      <c r="I625" s="19"/>
      <c r="J625" s="19"/>
      <c r="K625" s="19"/>
      <c r="L625" s="2"/>
      <c r="M625" s="19"/>
      <c r="N625" s="19"/>
      <c r="O625" s="19"/>
      <c r="P625" s="19"/>
      <c r="Q625" s="91"/>
      <c r="R625" s="91"/>
      <c r="S625" s="19"/>
    </row>
    <row r="626" spans="1:19" ht="15.75" customHeight="1" x14ac:dyDescent="0.25">
      <c r="A626" s="84"/>
      <c r="B626" s="19"/>
      <c r="C626" s="92"/>
      <c r="D626" s="90"/>
      <c r="E626" s="86"/>
      <c r="F626" s="86"/>
      <c r="G626" s="86"/>
      <c r="H626" s="19"/>
      <c r="I626" s="19"/>
      <c r="J626" s="19"/>
      <c r="K626" s="19"/>
      <c r="L626" s="2"/>
      <c r="M626" s="19"/>
      <c r="N626" s="19"/>
      <c r="O626" s="19"/>
      <c r="P626" s="19"/>
      <c r="Q626" s="91"/>
      <c r="R626" s="91"/>
      <c r="S626" s="19"/>
    </row>
    <row r="627" spans="1:19" ht="15.75" customHeight="1" x14ac:dyDescent="0.25">
      <c r="A627" s="84"/>
      <c r="B627" s="19"/>
      <c r="C627" s="92"/>
      <c r="D627" s="90"/>
      <c r="E627" s="86"/>
      <c r="F627" s="86"/>
      <c r="G627" s="86"/>
      <c r="H627" s="19"/>
      <c r="I627" s="19"/>
      <c r="J627" s="19"/>
      <c r="K627" s="19"/>
      <c r="L627" s="2"/>
      <c r="M627" s="19"/>
      <c r="N627" s="19"/>
      <c r="O627" s="19"/>
      <c r="P627" s="19"/>
      <c r="Q627" s="91"/>
      <c r="R627" s="91"/>
      <c r="S627" s="19"/>
    </row>
    <row r="628" spans="1:19" ht="15.75" customHeight="1" x14ac:dyDescent="0.25">
      <c r="A628" s="84"/>
      <c r="B628" s="19"/>
      <c r="C628" s="92"/>
      <c r="D628" s="90"/>
      <c r="E628" s="86"/>
      <c r="F628" s="86"/>
      <c r="G628" s="86"/>
      <c r="H628" s="19"/>
      <c r="I628" s="19"/>
      <c r="J628" s="19"/>
      <c r="K628" s="19"/>
      <c r="L628" s="2"/>
      <c r="M628" s="19"/>
      <c r="N628" s="19"/>
      <c r="O628" s="19"/>
      <c r="P628" s="19"/>
      <c r="Q628" s="91"/>
      <c r="R628" s="91"/>
      <c r="S628" s="19"/>
    </row>
    <row r="629" spans="1:19" ht="15.75" customHeight="1" x14ac:dyDescent="0.25">
      <c r="A629" s="84"/>
      <c r="B629" s="19"/>
      <c r="C629" s="92"/>
      <c r="D629" s="90"/>
      <c r="E629" s="86"/>
      <c r="F629" s="86"/>
      <c r="G629" s="86"/>
      <c r="H629" s="19"/>
      <c r="I629" s="19"/>
      <c r="J629" s="19"/>
      <c r="K629" s="19"/>
      <c r="L629" s="2"/>
      <c r="M629" s="19"/>
      <c r="N629" s="19"/>
      <c r="O629" s="19"/>
      <c r="P629" s="19"/>
      <c r="Q629" s="91"/>
      <c r="R629" s="91"/>
      <c r="S629" s="19"/>
    </row>
    <row r="630" spans="1:19" ht="15.75" customHeight="1" x14ac:dyDescent="0.25">
      <c r="A630" s="84"/>
      <c r="B630" s="19"/>
      <c r="C630" s="92"/>
      <c r="D630" s="90"/>
      <c r="E630" s="86"/>
      <c r="F630" s="86"/>
      <c r="G630" s="86"/>
      <c r="H630" s="19"/>
      <c r="I630" s="19"/>
      <c r="J630" s="19"/>
      <c r="K630" s="19"/>
      <c r="L630" s="2"/>
      <c r="M630" s="19"/>
      <c r="N630" s="19"/>
      <c r="O630" s="19"/>
      <c r="P630" s="19"/>
      <c r="Q630" s="91"/>
      <c r="R630" s="91"/>
      <c r="S630" s="19"/>
    </row>
    <row r="631" spans="1:19" ht="15.75" customHeight="1" x14ac:dyDescent="0.25">
      <c r="A631" s="84"/>
      <c r="B631" s="19"/>
      <c r="C631" s="92"/>
      <c r="D631" s="90"/>
      <c r="E631" s="86"/>
      <c r="F631" s="86"/>
      <c r="G631" s="86"/>
      <c r="H631" s="19"/>
      <c r="I631" s="19"/>
      <c r="J631" s="19"/>
      <c r="K631" s="19"/>
      <c r="L631" s="2"/>
      <c r="M631" s="19"/>
      <c r="N631" s="19"/>
      <c r="O631" s="19"/>
      <c r="P631" s="19"/>
      <c r="Q631" s="91"/>
      <c r="R631" s="91"/>
      <c r="S631" s="19"/>
    </row>
    <row r="632" spans="1:19" ht="15.75" customHeight="1" x14ac:dyDescent="0.25">
      <c r="A632" s="84"/>
      <c r="B632" s="19"/>
      <c r="C632" s="92"/>
      <c r="D632" s="90"/>
      <c r="E632" s="86"/>
      <c r="F632" s="86"/>
      <c r="G632" s="86"/>
      <c r="H632" s="19"/>
      <c r="I632" s="19"/>
      <c r="J632" s="19"/>
      <c r="K632" s="19"/>
      <c r="L632" s="2"/>
      <c r="M632" s="19"/>
      <c r="N632" s="19"/>
      <c r="O632" s="19"/>
      <c r="P632" s="19"/>
      <c r="Q632" s="91"/>
      <c r="R632" s="91"/>
      <c r="S632" s="19"/>
    </row>
    <row r="633" spans="1:19" ht="15.75" customHeight="1" x14ac:dyDescent="0.25">
      <c r="A633" s="84"/>
      <c r="B633" s="19"/>
      <c r="C633" s="92"/>
      <c r="D633" s="90"/>
      <c r="E633" s="86"/>
      <c r="F633" s="86"/>
      <c r="G633" s="86"/>
      <c r="H633" s="19"/>
      <c r="I633" s="19"/>
      <c r="J633" s="19"/>
      <c r="K633" s="19"/>
      <c r="L633" s="2"/>
      <c r="M633" s="19"/>
      <c r="N633" s="19"/>
      <c r="O633" s="19"/>
      <c r="P633" s="19"/>
      <c r="Q633" s="91"/>
      <c r="R633" s="91"/>
      <c r="S633" s="19"/>
    </row>
    <row r="634" spans="1:19" ht="15.75" customHeight="1" x14ac:dyDescent="0.25">
      <c r="A634" s="84"/>
      <c r="B634" s="19"/>
      <c r="C634" s="92"/>
      <c r="D634" s="90"/>
      <c r="E634" s="86"/>
      <c r="F634" s="86"/>
      <c r="G634" s="86"/>
      <c r="H634" s="19"/>
      <c r="I634" s="19"/>
      <c r="J634" s="19"/>
      <c r="K634" s="19"/>
      <c r="L634" s="2"/>
      <c r="M634" s="19"/>
      <c r="N634" s="19"/>
      <c r="O634" s="19"/>
      <c r="P634" s="19"/>
      <c r="Q634" s="91"/>
      <c r="R634" s="91"/>
      <c r="S634" s="19"/>
    </row>
    <row r="635" spans="1:19" ht="15.75" customHeight="1" x14ac:dyDescent="0.25">
      <c r="A635" s="84"/>
      <c r="B635" s="19"/>
      <c r="C635" s="92"/>
      <c r="D635" s="90"/>
      <c r="E635" s="86"/>
      <c r="F635" s="86"/>
      <c r="G635" s="86"/>
      <c r="H635" s="19"/>
      <c r="I635" s="19"/>
      <c r="J635" s="19"/>
      <c r="K635" s="19"/>
      <c r="L635" s="2"/>
      <c r="M635" s="19"/>
      <c r="N635" s="19"/>
      <c r="O635" s="19"/>
      <c r="P635" s="19"/>
      <c r="Q635" s="91"/>
      <c r="R635" s="91"/>
      <c r="S635" s="19"/>
    </row>
    <row r="636" spans="1:19" ht="15.75" customHeight="1" x14ac:dyDescent="0.25">
      <c r="A636" s="84"/>
      <c r="B636" s="19"/>
      <c r="C636" s="92"/>
      <c r="D636" s="90"/>
      <c r="E636" s="86"/>
      <c r="F636" s="86"/>
      <c r="G636" s="86"/>
      <c r="H636" s="19"/>
      <c r="I636" s="19"/>
      <c r="J636" s="19"/>
      <c r="K636" s="19"/>
      <c r="L636" s="2"/>
      <c r="M636" s="19"/>
      <c r="N636" s="19"/>
      <c r="O636" s="19"/>
      <c r="P636" s="19"/>
      <c r="Q636" s="91"/>
      <c r="R636" s="91"/>
      <c r="S636" s="19"/>
    </row>
    <row r="637" spans="1:19" ht="15.75" customHeight="1" x14ac:dyDescent="0.25">
      <c r="A637" s="84"/>
      <c r="B637" s="19"/>
      <c r="C637" s="92"/>
      <c r="D637" s="90"/>
      <c r="E637" s="86"/>
      <c r="F637" s="86"/>
      <c r="G637" s="86"/>
      <c r="H637" s="19"/>
      <c r="I637" s="19"/>
      <c r="J637" s="19"/>
      <c r="K637" s="19"/>
      <c r="L637" s="2"/>
      <c r="M637" s="19"/>
      <c r="N637" s="19"/>
      <c r="O637" s="19"/>
      <c r="P637" s="19"/>
      <c r="Q637" s="91"/>
      <c r="R637" s="91"/>
      <c r="S637" s="19"/>
    </row>
    <row r="638" spans="1:19" ht="15.75" customHeight="1" x14ac:dyDescent="0.25">
      <c r="A638" s="84"/>
      <c r="B638" s="19"/>
      <c r="C638" s="92"/>
      <c r="D638" s="90"/>
      <c r="E638" s="86"/>
      <c r="F638" s="86"/>
      <c r="G638" s="86"/>
      <c r="H638" s="19"/>
      <c r="I638" s="19"/>
      <c r="J638" s="19"/>
      <c r="K638" s="19"/>
      <c r="L638" s="2"/>
      <c r="M638" s="19"/>
      <c r="N638" s="19"/>
      <c r="O638" s="19"/>
      <c r="P638" s="19"/>
      <c r="Q638" s="91"/>
      <c r="R638" s="91"/>
      <c r="S638" s="19"/>
    </row>
    <row r="639" spans="1:19" ht="15.75" customHeight="1" x14ac:dyDescent="0.25">
      <c r="A639" s="84"/>
      <c r="B639" s="19"/>
      <c r="C639" s="92"/>
      <c r="D639" s="90"/>
      <c r="E639" s="86"/>
      <c r="F639" s="86"/>
      <c r="G639" s="86"/>
      <c r="H639" s="19"/>
      <c r="I639" s="19"/>
      <c r="J639" s="19"/>
      <c r="K639" s="19"/>
      <c r="L639" s="2"/>
      <c r="M639" s="19"/>
      <c r="N639" s="19"/>
      <c r="O639" s="19"/>
      <c r="P639" s="19"/>
      <c r="Q639" s="91"/>
      <c r="R639" s="91"/>
      <c r="S639" s="19"/>
    </row>
    <row r="640" spans="1:19" ht="15.75" customHeight="1" x14ac:dyDescent="0.25">
      <c r="A640" s="84"/>
      <c r="B640" s="19"/>
      <c r="C640" s="92"/>
      <c r="D640" s="90"/>
      <c r="E640" s="86"/>
      <c r="F640" s="86"/>
      <c r="G640" s="86"/>
      <c r="H640" s="19"/>
      <c r="I640" s="19"/>
      <c r="J640" s="19"/>
      <c r="K640" s="19"/>
      <c r="L640" s="2"/>
      <c r="M640" s="19"/>
      <c r="N640" s="19"/>
      <c r="O640" s="19"/>
      <c r="P640" s="19"/>
      <c r="Q640" s="91"/>
      <c r="R640" s="91"/>
      <c r="S640" s="19"/>
    </row>
    <row r="641" spans="1:19" ht="15.75" customHeight="1" x14ac:dyDescent="0.25">
      <c r="A641" s="84"/>
      <c r="B641" s="19"/>
      <c r="C641" s="92"/>
      <c r="D641" s="90"/>
      <c r="E641" s="86"/>
      <c r="F641" s="86"/>
      <c r="G641" s="86"/>
      <c r="H641" s="19"/>
      <c r="I641" s="19"/>
      <c r="J641" s="19"/>
      <c r="K641" s="19"/>
      <c r="L641" s="2"/>
      <c r="M641" s="19"/>
      <c r="N641" s="19"/>
      <c r="O641" s="19"/>
      <c r="P641" s="19"/>
      <c r="Q641" s="91"/>
      <c r="R641" s="91"/>
      <c r="S641" s="19"/>
    </row>
    <row r="642" spans="1:19" ht="15.75" customHeight="1" x14ac:dyDescent="0.25">
      <c r="A642" s="84"/>
      <c r="B642" s="19"/>
      <c r="C642" s="92"/>
      <c r="D642" s="90"/>
      <c r="E642" s="86"/>
      <c r="F642" s="86"/>
      <c r="G642" s="86"/>
      <c r="H642" s="19"/>
      <c r="I642" s="19"/>
      <c r="J642" s="19"/>
      <c r="K642" s="19"/>
      <c r="L642" s="2"/>
      <c r="M642" s="19"/>
      <c r="N642" s="19"/>
      <c r="O642" s="19"/>
      <c r="P642" s="19"/>
      <c r="Q642" s="91"/>
      <c r="R642" s="91"/>
      <c r="S642" s="19"/>
    </row>
    <row r="643" spans="1:19" ht="15.75" customHeight="1" x14ac:dyDescent="0.25">
      <c r="A643" s="84"/>
      <c r="B643" s="19"/>
      <c r="C643" s="92"/>
      <c r="D643" s="90"/>
      <c r="E643" s="86"/>
      <c r="F643" s="86"/>
      <c r="G643" s="86"/>
      <c r="H643" s="19"/>
      <c r="I643" s="19"/>
      <c r="J643" s="19"/>
      <c r="K643" s="19"/>
      <c r="L643" s="2"/>
      <c r="M643" s="19"/>
      <c r="N643" s="19"/>
      <c r="O643" s="19"/>
      <c r="P643" s="19"/>
      <c r="Q643" s="91"/>
      <c r="R643" s="91"/>
      <c r="S643" s="19"/>
    </row>
    <row r="644" spans="1:19" ht="15.75" customHeight="1" x14ac:dyDescent="0.25">
      <c r="A644" s="84"/>
      <c r="B644" s="19"/>
      <c r="C644" s="92"/>
      <c r="D644" s="90"/>
      <c r="E644" s="86"/>
      <c r="F644" s="86"/>
      <c r="G644" s="86"/>
      <c r="H644" s="19"/>
      <c r="I644" s="19"/>
      <c r="J644" s="19"/>
      <c r="K644" s="19"/>
      <c r="L644" s="2"/>
      <c r="M644" s="19"/>
      <c r="N644" s="19"/>
      <c r="O644" s="19"/>
      <c r="P644" s="19"/>
      <c r="Q644" s="91"/>
      <c r="R644" s="91"/>
      <c r="S644" s="19"/>
    </row>
    <row r="645" spans="1:19" ht="15.75" customHeight="1" x14ac:dyDescent="0.25">
      <c r="A645" s="84"/>
      <c r="B645" s="19"/>
      <c r="C645" s="92"/>
      <c r="D645" s="90"/>
      <c r="E645" s="86"/>
      <c r="F645" s="86"/>
      <c r="G645" s="86"/>
      <c r="H645" s="19"/>
      <c r="I645" s="19"/>
      <c r="J645" s="19"/>
      <c r="K645" s="19"/>
      <c r="L645" s="2"/>
      <c r="M645" s="19"/>
      <c r="N645" s="19"/>
      <c r="O645" s="19"/>
      <c r="P645" s="19"/>
      <c r="Q645" s="91"/>
      <c r="R645" s="91"/>
      <c r="S645" s="19"/>
    </row>
    <row r="646" spans="1:19" ht="15.75" customHeight="1" x14ac:dyDescent="0.25">
      <c r="A646" s="84"/>
      <c r="B646" s="19"/>
      <c r="C646" s="92"/>
      <c r="D646" s="90"/>
      <c r="E646" s="86"/>
      <c r="F646" s="86"/>
      <c r="G646" s="86"/>
      <c r="H646" s="19"/>
      <c r="I646" s="19"/>
      <c r="J646" s="19"/>
      <c r="K646" s="19"/>
      <c r="L646" s="2"/>
      <c r="M646" s="19"/>
      <c r="N646" s="19"/>
      <c r="O646" s="19"/>
      <c r="P646" s="19"/>
      <c r="Q646" s="91"/>
      <c r="R646" s="91"/>
      <c r="S646" s="19"/>
    </row>
    <row r="647" spans="1:19" ht="15.75" customHeight="1" x14ac:dyDescent="0.25">
      <c r="A647" s="84"/>
      <c r="B647" s="19"/>
      <c r="C647" s="92"/>
      <c r="D647" s="90"/>
      <c r="E647" s="86"/>
      <c r="F647" s="86"/>
      <c r="G647" s="86"/>
      <c r="H647" s="19"/>
      <c r="I647" s="19"/>
      <c r="J647" s="19"/>
      <c r="K647" s="19"/>
      <c r="L647" s="2"/>
      <c r="M647" s="19"/>
      <c r="N647" s="19"/>
      <c r="O647" s="19"/>
      <c r="P647" s="19"/>
      <c r="Q647" s="91"/>
      <c r="R647" s="91"/>
      <c r="S647" s="19"/>
    </row>
    <row r="648" spans="1:19" ht="15.75" customHeight="1" x14ac:dyDescent="0.25">
      <c r="A648" s="84"/>
      <c r="B648" s="19"/>
      <c r="C648" s="92"/>
      <c r="D648" s="90"/>
      <c r="E648" s="86"/>
      <c r="F648" s="86"/>
      <c r="G648" s="86"/>
      <c r="H648" s="19"/>
      <c r="I648" s="19"/>
      <c r="J648" s="19"/>
      <c r="K648" s="19"/>
      <c r="L648" s="2"/>
      <c r="M648" s="19"/>
      <c r="N648" s="19"/>
      <c r="O648" s="19"/>
      <c r="P648" s="19"/>
      <c r="Q648" s="91"/>
      <c r="R648" s="91"/>
      <c r="S648" s="19"/>
    </row>
    <row r="649" spans="1:19" ht="15.75" customHeight="1" x14ac:dyDescent="0.25">
      <c r="A649" s="84"/>
      <c r="B649" s="19"/>
      <c r="C649" s="92"/>
      <c r="D649" s="90"/>
      <c r="E649" s="86"/>
      <c r="F649" s="86"/>
      <c r="G649" s="86"/>
      <c r="H649" s="19"/>
      <c r="I649" s="19"/>
      <c r="J649" s="19"/>
      <c r="K649" s="19"/>
      <c r="L649" s="2"/>
      <c r="M649" s="19"/>
      <c r="N649" s="19"/>
      <c r="O649" s="19"/>
      <c r="P649" s="19"/>
      <c r="Q649" s="91"/>
      <c r="R649" s="91"/>
      <c r="S649" s="19"/>
    </row>
    <row r="650" spans="1:19" ht="15.75" customHeight="1" x14ac:dyDescent="0.25">
      <c r="A650" s="84"/>
      <c r="B650" s="19"/>
      <c r="C650" s="92"/>
      <c r="D650" s="90"/>
      <c r="E650" s="86"/>
      <c r="F650" s="86"/>
      <c r="G650" s="86"/>
      <c r="H650" s="19"/>
      <c r="I650" s="19"/>
      <c r="J650" s="19"/>
      <c r="K650" s="19"/>
      <c r="L650" s="2"/>
      <c r="M650" s="19"/>
      <c r="N650" s="19"/>
      <c r="O650" s="19"/>
      <c r="P650" s="19"/>
      <c r="Q650" s="91"/>
      <c r="R650" s="91"/>
      <c r="S650" s="19"/>
    </row>
    <row r="651" spans="1:19" ht="15.75" customHeight="1" x14ac:dyDescent="0.25">
      <c r="A651" s="84"/>
      <c r="B651" s="19"/>
      <c r="C651" s="92"/>
      <c r="D651" s="90"/>
      <c r="E651" s="86"/>
      <c r="F651" s="86"/>
      <c r="G651" s="86"/>
      <c r="H651" s="19"/>
      <c r="I651" s="19"/>
      <c r="J651" s="19"/>
      <c r="K651" s="19"/>
      <c r="L651" s="2"/>
      <c r="M651" s="19"/>
      <c r="N651" s="19"/>
      <c r="O651" s="19"/>
      <c r="P651" s="19"/>
      <c r="Q651" s="91"/>
      <c r="R651" s="91"/>
      <c r="S651" s="19"/>
    </row>
    <row r="652" spans="1:19" ht="15.75" customHeight="1" x14ac:dyDescent="0.25">
      <c r="A652" s="84"/>
      <c r="B652" s="19"/>
      <c r="C652" s="92"/>
      <c r="D652" s="90"/>
      <c r="E652" s="86"/>
      <c r="F652" s="86"/>
      <c r="G652" s="86"/>
      <c r="H652" s="19"/>
      <c r="I652" s="19"/>
      <c r="J652" s="19"/>
      <c r="K652" s="19"/>
      <c r="L652" s="2"/>
      <c r="M652" s="19"/>
      <c r="N652" s="19"/>
      <c r="O652" s="19"/>
      <c r="P652" s="19"/>
      <c r="Q652" s="91"/>
      <c r="R652" s="91"/>
      <c r="S652" s="19"/>
    </row>
    <row r="653" spans="1:19" ht="15.75" customHeight="1" x14ac:dyDescent="0.25">
      <c r="A653" s="84"/>
      <c r="B653" s="19"/>
      <c r="C653" s="92"/>
      <c r="D653" s="90"/>
      <c r="E653" s="86"/>
      <c r="F653" s="86"/>
      <c r="G653" s="86"/>
      <c r="H653" s="19"/>
      <c r="I653" s="19"/>
      <c r="J653" s="19"/>
      <c r="K653" s="19"/>
      <c r="L653" s="2"/>
      <c r="M653" s="19"/>
      <c r="N653" s="19"/>
      <c r="O653" s="19"/>
      <c r="P653" s="19"/>
      <c r="Q653" s="91"/>
      <c r="R653" s="91"/>
      <c r="S653" s="19"/>
    </row>
    <row r="654" spans="1:19" ht="15.75" customHeight="1" x14ac:dyDescent="0.25">
      <c r="A654" s="84"/>
      <c r="B654" s="19"/>
      <c r="C654" s="92"/>
      <c r="D654" s="90"/>
      <c r="E654" s="86"/>
      <c r="F654" s="86"/>
      <c r="G654" s="86"/>
      <c r="H654" s="19"/>
      <c r="I654" s="19"/>
      <c r="J654" s="19"/>
      <c r="K654" s="19"/>
      <c r="L654" s="2"/>
      <c r="M654" s="19"/>
      <c r="N654" s="19"/>
      <c r="O654" s="19"/>
      <c r="P654" s="19"/>
      <c r="Q654" s="91"/>
      <c r="R654" s="91"/>
      <c r="S654" s="19"/>
    </row>
    <row r="655" spans="1:19" ht="15.75" customHeight="1" x14ac:dyDescent="0.25">
      <c r="A655" s="84"/>
      <c r="B655" s="19"/>
      <c r="C655" s="92"/>
      <c r="D655" s="90"/>
      <c r="E655" s="86"/>
      <c r="F655" s="86"/>
      <c r="G655" s="86"/>
      <c r="H655" s="19"/>
      <c r="I655" s="19"/>
      <c r="J655" s="19"/>
      <c r="K655" s="19"/>
      <c r="L655" s="2"/>
      <c r="M655" s="19"/>
      <c r="N655" s="19"/>
      <c r="O655" s="19"/>
      <c r="P655" s="19"/>
      <c r="Q655" s="91"/>
      <c r="R655" s="91"/>
      <c r="S655" s="19"/>
    </row>
    <row r="656" spans="1:19" ht="15.75" customHeight="1" x14ac:dyDescent="0.25">
      <c r="A656" s="84"/>
      <c r="B656" s="19"/>
      <c r="C656" s="92"/>
      <c r="D656" s="90"/>
      <c r="E656" s="86"/>
      <c r="F656" s="86"/>
      <c r="G656" s="86"/>
      <c r="H656" s="19"/>
      <c r="I656" s="19"/>
      <c r="J656" s="19"/>
      <c r="K656" s="19"/>
      <c r="L656" s="2"/>
      <c r="M656" s="19"/>
      <c r="N656" s="19"/>
      <c r="O656" s="19"/>
      <c r="P656" s="19"/>
      <c r="Q656" s="91"/>
      <c r="R656" s="91"/>
      <c r="S656" s="19"/>
    </row>
    <row r="657" spans="1:19" ht="15.75" customHeight="1" x14ac:dyDescent="0.25">
      <c r="A657" s="84"/>
      <c r="B657" s="19"/>
      <c r="C657" s="92"/>
      <c r="D657" s="90"/>
      <c r="E657" s="86"/>
      <c r="F657" s="86"/>
      <c r="G657" s="86"/>
      <c r="H657" s="19"/>
      <c r="I657" s="19"/>
      <c r="J657" s="19"/>
      <c r="K657" s="19"/>
      <c r="L657" s="2"/>
      <c r="M657" s="19"/>
      <c r="N657" s="19"/>
      <c r="O657" s="19"/>
      <c r="P657" s="19"/>
      <c r="Q657" s="91"/>
      <c r="R657" s="91"/>
      <c r="S657" s="19"/>
    </row>
    <row r="658" spans="1:19" ht="15.75" customHeight="1" x14ac:dyDescent="0.25">
      <c r="A658" s="84"/>
      <c r="B658" s="19"/>
      <c r="C658" s="92"/>
      <c r="D658" s="90"/>
      <c r="E658" s="86"/>
      <c r="F658" s="86"/>
      <c r="G658" s="86"/>
      <c r="H658" s="19"/>
      <c r="I658" s="19"/>
      <c r="J658" s="19"/>
      <c r="K658" s="19"/>
      <c r="L658" s="2"/>
      <c r="M658" s="19"/>
      <c r="N658" s="19"/>
      <c r="O658" s="19"/>
      <c r="P658" s="19"/>
      <c r="Q658" s="91"/>
      <c r="R658" s="91"/>
      <c r="S658" s="19"/>
    </row>
    <row r="659" spans="1:19" ht="15.75" customHeight="1" x14ac:dyDescent="0.25">
      <c r="A659" s="84"/>
      <c r="B659" s="19"/>
      <c r="C659" s="92"/>
      <c r="D659" s="90"/>
      <c r="E659" s="86"/>
      <c r="F659" s="86"/>
      <c r="G659" s="86"/>
      <c r="H659" s="19"/>
      <c r="I659" s="19"/>
      <c r="J659" s="19"/>
      <c r="K659" s="19"/>
      <c r="L659" s="2"/>
      <c r="M659" s="19"/>
      <c r="N659" s="19"/>
      <c r="O659" s="19"/>
      <c r="P659" s="19"/>
      <c r="Q659" s="91"/>
      <c r="R659" s="91"/>
      <c r="S659" s="19"/>
    </row>
    <row r="660" spans="1:19" ht="15.75" customHeight="1" x14ac:dyDescent="0.25">
      <c r="A660" s="84"/>
      <c r="B660" s="19"/>
      <c r="C660" s="92"/>
      <c r="D660" s="90"/>
      <c r="E660" s="86"/>
      <c r="F660" s="86"/>
      <c r="G660" s="86"/>
      <c r="H660" s="19"/>
      <c r="I660" s="19"/>
      <c r="J660" s="19"/>
      <c r="K660" s="19"/>
      <c r="L660" s="2"/>
      <c r="M660" s="19"/>
      <c r="N660" s="19"/>
      <c r="O660" s="19"/>
      <c r="P660" s="19"/>
      <c r="Q660" s="91"/>
      <c r="R660" s="91"/>
      <c r="S660" s="19"/>
    </row>
    <row r="661" spans="1:19" ht="15.75" customHeight="1" x14ac:dyDescent="0.25">
      <c r="A661" s="84"/>
      <c r="B661" s="19"/>
      <c r="C661" s="92"/>
      <c r="D661" s="90"/>
      <c r="E661" s="86"/>
      <c r="F661" s="86"/>
      <c r="G661" s="86"/>
      <c r="H661" s="19"/>
      <c r="I661" s="19"/>
      <c r="J661" s="19"/>
      <c r="K661" s="19"/>
      <c r="L661" s="2"/>
      <c r="M661" s="19"/>
      <c r="N661" s="19"/>
      <c r="O661" s="19"/>
      <c r="P661" s="19"/>
      <c r="Q661" s="91"/>
      <c r="R661" s="91"/>
      <c r="S661" s="19"/>
    </row>
    <row r="662" spans="1:19" ht="15.75" customHeight="1" x14ac:dyDescent="0.25">
      <c r="A662" s="84"/>
      <c r="B662" s="19"/>
      <c r="C662" s="92"/>
      <c r="D662" s="90"/>
      <c r="E662" s="86"/>
      <c r="F662" s="86"/>
      <c r="G662" s="86"/>
      <c r="H662" s="19"/>
      <c r="I662" s="19"/>
      <c r="J662" s="19"/>
      <c r="K662" s="19"/>
      <c r="L662" s="2"/>
      <c r="M662" s="19"/>
      <c r="N662" s="19"/>
      <c r="O662" s="19"/>
      <c r="P662" s="19"/>
      <c r="Q662" s="91"/>
      <c r="R662" s="91"/>
      <c r="S662" s="19"/>
    </row>
    <row r="663" spans="1:19" ht="15.75" customHeight="1" x14ac:dyDescent="0.25">
      <c r="A663" s="84"/>
      <c r="B663" s="19"/>
      <c r="C663" s="92"/>
      <c r="D663" s="90"/>
      <c r="E663" s="86"/>
      <c r="F663" s="86"/>
      <c r="G663" s="86"/>
      <c r="H663" s="19"/>
      <c r="I663" s="19"/>
      <c r="J663" s="19"/>
      <c r="K663" s="19"/>
      <c r="L663" s="2"/>
      <c r="M663" s="19"/>
      <c r="N663" s="19"/>
      <c r="O663" s="19"/>
      <c r="P663" s="19"/>
      <c r="Q663" s="91"/>
      <c r="R663" s="91"/>
      <c r="S663" s="19"/>
    </row>
    <row r="664" spans="1:19" ht="15.75" customHeight="1" x14ac:dyDescent="0.25">
      <c r="A664" s="84"/>
      <c r="B664" s="19"/>
      <c r="C664" s="92"/>
      <c r="D664" s="90"/>
      <c r="E664" s="86"/>
      <c r="F664" s="86"/>
      <c r="G664" s="86"/>
      <c r="H664" s="19"/>
      <c r="I664" s="19"/>
      <c r="J664" s="19"/>
      <c r="K664" s="19"/>
      <c r="L664" s="2"/>
      <c r="M664" s="19"/>
      <c r="N664" s="19"/>
      <c r="O664" s="19"/>
      <c r="P664" s="19"/>
      <c r="Q664" s="91"/>
      <c r="R664" s="91"/>
      <c r="S664" s="19"/>
    </row>
    <row r="665" spans="1:19" ht="15.75" customHeight="1" x14ac:dyDescent="0.25">
      <c r="A665" s="84"/>
      <c r="B665" s="19"/>
      <c r="C665" s="92"/>
      <c r="D665" s="90"/>
      <c r="E665" s="86"/>
      <c r="F665" s="86"/>
      <c r="G665" s="86"/>
      <c r="H665" s="19"/>
      <c r="I665" s="19"/>
      <c r="J665" s="19"/>
      <c r="K665" s="19"/>
      <c r="L665" s="2"/>
      <c r="M665" s="19"/>
      <c r="N665" s="19"/>
      <c r="O665" s="19"/>
      <c r="P665" s="19"/>
      <c r="Q665" s="91"/>
      <c r="R665" s="91"/>
      <c r="S665" s="19"/>
    </row>
    <row r="666" spans="1:19" ht="15.75" customHeight="1" x14ac:dyDescent="0.25">
      <c r="A666" s="84"/>
      <c r="B666" s="19"/>
      <c r="C666" s="92"/>
      <c r="D666" s="90"/>
      <c r="E666" s="86"/>
      <c r="F666" s="86"/>
      <c r="G666" s="86"/>
      <c r="H666" s="19"/>
      <c r="I666" s="19"/>
      <c r="J666" s="19"/>
      <c r="K666" s="19"/>
      <c r="L666" s="2"/>
      <c r="M666" s="19"/>
      <c r="N666" s="19"/>
      <c r="O666" s="19"/>
      <c r="P666" s="19"/>
      <c r="Q666" s="91"/>
      <c r="R666" s="91"/>
      <c r="S666" s="19"/>
    </row>
    <row r="667" spans="1:19" ht="15.75" customHeight="1" x14ac:dyDescent="0.25">
      <c r="A667" s="84"/>
      <c r="B667" s="19"/>
      <c r="C667" s="92"/>
      <c r="D667" s="90"/>
      <c r="E667" s="86"/>
      <c r="F667" s="86"/>
      <c r="G667" s="86"/>
      <c r="H667" s="19"/>
      <c r="I667" s="19"/>
      <c r="J667" s="19"/>
      <c r="K667" s="19"/>
      <c r="L667" s="2"/>
      <c r="M667" s="19"/>
      <c r="N667" s="19"/>
      <c r="O667" s="19"/>
      <c r="P667" s="19"/>
      <c r="Q667" s="91"/>
      <c r="R667" s="91"/>
      <c r="S667" s="19"/>
    </row>
    <row r="668" spans="1:19" ht="15.75" customHeight="1" x14ac:dyDescent="0.25">
      <c r="A668" s="84"/>
      <c r="B668" s="19"/>
      <c r="C668" s="92"/>
      <c r="D668" s="90"/>
      <c r="E668" s="86"/>
      <c r="F668" s="86"/>
      <c r="G668" s="86"/>
      <c r="H668" s="19"/>
      <c r="I668" s="19"/>
      <c r="J668" s="19"/>
      <c r="K668" s="19"/>
      <c r="L668" s="2"/>
      <c r="M668" s="19"/>
      <c r="N668" s="19"/>
      <c r="O668" s="19"/>
      <c r="P668" s="19"/>
      <c r="Q668" s="91"/>
      <c r="R668" s="91"/>
      <c r="S668" s="19"/>
    </row>
    <row r="669" spans="1:19" ht="15.75" customHeight="1" x14ac:dyDescent="0.25">
      <c r="A669" s="84"/>
      <c r="B669" s="19"/>
      <c r="C669" s="92"/>
      <c r="D669" s="90"/>
      <c r="E669" s="86"/>
      <c r="F669" s="86"/>
      <c r="G669" s="86"/>
      <c r="H669" s="19"/>
      <c r="I669" s="19"/>
      <c r="J669" s="19"/>
      <c r="K669" s="19"/>
      <c r="L669" s="2"/>
      <c r="M669" s="19"/>
      <c r="N669" s="19"/>
      <c r="O669" s="19"/>
      <c r="P669" s="19"/>
      <c r="Q669" s="91"/>
      <c r="R669" s="91"/>
      <c r="S669" s="19"/>
    </row>
    <row r="670" spans="1:19" ht="15.75" customHeight="1" x14ac:dyDescent="0.25">
      <c r="A670" s="84"/>
      <c r="B670" s="19"/>
      <c r="C670" s="92"/>
      <c r="D670" s="90"/>
      <c r="E670" s="86"/>
      <c r="F670" s="86"/>
      <c r="G670" s="86"/>
      <c r="H670" s="19"/>
      <c r="I670" s="19"/>
      <c r="J670" s="19"/>
      <c r="K670" s="19"/>
      <c r="L670" s="2"/>
      <c r="M670" s="19"/>
      <c r="N670" s="19"/>
      <c r="O670" s="19"/>
      <c r="P670" s="19"/>
      <c r="Q670" s="91"/>
      <c r="R670" s="91"/>
      <c r="S670" s="19"/>
    </row>
    <row r="671" spans="1:19" ht="15.75" customHeight="1" x14ac:dyDescent="0.25">
      <c r="A671" s="84"/>
      <c r="B671" s="19"/>
      <c r="C671" s="92"/>
      <c r="D671" s="90"/>
      <c r="E671" s="86"/>
      <c r="F671" s="86"/>
      <c r="G671" s="86"/>
      <c r="H671" s="19"/>
      <c r="I671" s="19"/>
      <c r="J671" s="19"/>
      <c r="K671" s="19"/>
      <c r="L671" s="2"/>
      <c r="M671" s="19"/>
      <c r="N671" s="19"/>
      <c r="O671" s="19"/>
      <c r="P671" s="19"/>
      <c r="Q671" s="91"/>
      <c r="R671" s="91"/>
      <c r="S671" s="19"/>
    </row>
    <row r="672" spans="1:19" ht="15.75" customHeight="1" x14ac:dyDescent="0.25">
      <c r="A672" s="84"/>
      <c r="B672" s="19"/>
      <c r="C672" s="92"/>
      <c r="D672" s="90"/>
      <c r="E672" s="86"/>
      <c r="F672" s="86"/>
      <c r="G672" s="86"/>
      <c r="H672" s="19"/>
      <c r="I672" s="19"/>
      <c r="J672" s="19"/>
      <c r="K672" s="19"/>
      <c r="L672" s="2"/>
      <c r="M672" s="19"/>
      <c r="N672" s="19"/>
      <c r="O672" s="19"/>
      <c r="P672" s="19"/>
      <c r="Q672" s="91"/>
      <c r="R672" s="91"/>
      <c r="S672" s="19"/>
    </row>
    <row r="673" spans="1:19" ht="15.75" customHeight="1" x14ac:dyDescent="0.25">
      <c r="A673" s="84"/>
      <c r="B673" s="19"/>
      <c r="C673" s="92"/>
      <c r="D673" s="90"/>
      <c r="E673" s="86"/>
      <c r="F673" s="86"/>
      <c r="G673" s="86"/>
      <c r="H673" s="19"/>
      <c r="I673" s="19"/>
      <c r="J673" s="19"/>
      <c r="K673" s="19"/>
      <c r="L673" s="2"/>
      <c r="M673" s="19"/>
      <c r="N673" s="19"/>
      <c r="O673" s="19"/>
      <c r="P673" s="19"/>
      <c r="Q673" s="91"/>
      <c r="R673" s="91"/>
      <c r="S673" s="19"/>
    </row>
    <row r="674" spans="1:19" ht="15.75" customHeight="1" x14ac:dyDescent="0.25">
      <c r="A674" s="84"/>
      <c r="B674" s="19"/>
      <c r="C674" s="92"/>
      <c r="D674" s="90"/>
      <c r="E674" s="86"/>
      <c r="F674" s="86"/>
      <c r="G674" s="86"/>
      <c r="H674" s="19"/>
      <c r="I674" s="19"/>
      <c r="J674" s="19"/>
      <c r="K674" s="19"/>
      <c r="L674" s="2"/>
      <c r="M674" s="19"/>
      <c r="N674" s="19"/>
      <c r="O674" s="19"/>
      <c r="P674" s="19"/>
      <c r="Q674" s="91"/>
      <c r="R674" s="91"/>
      <c r="S674" s="19"/>
    </row>
    <row r="675" spans="1:19" ht="15.75" customHeight="1" x14ac:dyDescent="0.25">
      <c r="A675" s="84"/>
      <c r="B675" s="19"/>
      <c r="C675" s="92"/>
      <c r="D675" s="90"/>
      <c r="E675" s="86"/>
      <c r="F675" s="86"/>
      <c r="G675" s="86"/>
      <c r="H675" s="19"/>
      <c r="I675" s="19"/>
      <c r="J675" s="19"/>
      <c r="K675" s="19"/>
      <c r="L675" s="2"/>
      <c r="M675" s="19"/>
      <c r="N675" s="19"/>
      <c r="O675" s="19"/>
      <c r="P675" s="19"/>
      <c r="Q675" s="91"/>
      <c r="R675" s="91"/>
      <c r="S675" s="19"/>
    </row>
    <row r="676" spans="1:19" ht="15.75" customHeight="1" x14ac:dyDescent="0.25">
      <c r="A676" s="84"/>
      <c r="B676" s="19"/>
      <c r="C676" s="92"/>
      <c r="D676" s="90"/>
      <c r="E676" s="86"/>
      <c r="F676" s="86"/>
      <c r="G676" s="86"/>
      <c r="H676" s="19"/>
      <c r="I676" s="19"/>
      <c r="J676" s="19"/>
      <c r="K676" s="19"/>
      <c r="L676" s="2"/>
      <c r="M676" s="19"/>
      <c r="N676" s="19"/>
      <c r="O676" s="19"/>
      <c r="P676" s="19"/>
      <c r="Q676" s="91"/>
      <c r="R676" s="91"/>
      <c r="S676" s="19"/>
    </row>
    <row r="677" spans="1:19" ht="15.75" customHeight="1" x14ac:dyDescent="0.25">
      <c r="A677" s="84"/>
      <c r="B677" s="19"/>
      <c r="C677" s="92"/>
      <c r="D677" s="90"/>
      <c r="E677" s="86"/>
      <c r="F677" s="86"/>
      <c r="G677" s="86"/>
      <c r="H677" s="19"/>
      <c r="I677" s="19"/>
      <c r="J677" s="19"/>
      <c r="K677" s="19"/>
      <c r="L677" s="2"/>
      <c r="M677" s="19"/>
      <c r="N677" s="19"/>
      <c r="O677" s="19"/>
      <c r="P677" s="19"/>
      <c r="Q677" s="91"/>
      <c r="R677" s="91"/>
      <c r="S677" s="19"/>
    </row>
    <row r="678" spans="1:19" ht="15.75" customHeight="1" x14ac:dyDescent="0.25">
      <c r="A678" s="84"/>
      <c r="B678" s="19"/>
      <c r="C678" s="92"/>
      <c r="D678" s="90"/>
      <c r="E678" s="86"/>
      <c r="F678" s="86"/>
      <c r="G678" s="86"/>
      <c r="H678" s="19"/>
      <c r="I678" s="19"/>
      <c r="J678" s="19"/>
      <c r="K678" s="19"/>
      <c r="L678" s="2"/>
      <c r="M678" s="19"/>
      <c r="N678" s="19"/>
      <c r="O678" s="19"/>
      <c r="P678" s="19"/>
      <c r="Q678" s="91"/>
      <c r="R678" s="91"/>
      <c r="S678" s="19"/>
    </row>
    <row r="679" spans="1:19" ht="15.75" customHeight="1" x14ac:dyDescent="0.25">
      <c r="A679" s="84"/>
      <c r="B679" s="19"/>
      <c r="C679" s="92"/>
      <c r="D679" s="90"/>
      <c r="E679" s="86"/>
      <c r="F679" s="86"/>
      <c r="G679" s="86"/>
      <c r="H679" s="19"/>
      <c r="I679" s="19"/>
      <c r="J679" s="19"/>
      <c r="K679" s="19"/>
      <c r="L679" s="2"/>
      <c r="M679" s="19"/>
      <c r="N679" s="19"/>
      <c r="O679" s="19"/>
      <c r="P679" s="19"/>
      <c r="Q679" s="91"/>
      <c r="R679" s="91"/>
      <c r="S679" s="19"/>
    </row>
    <row r="680" spans="1:19" ht="15.75" customHeight="1" x14ac:dyDescent="0.25">
      <c r="A680" s="84"/>
      <c r="B680" s="19"/>
      <c r="C680" s="92"/>
      <c r="D680" s="90"/>
      <c r="E680" s="86"/>
      <c r="F680" s="86"/>
      <c r="G680" s="86"/>
      <c r="H680" s="19"/>
      <c r="I680" s="19"/>
      <c r="J680" s="19"/>
      <c r="K680" s="19"/>
      <c r="L680" s="2"/>
      <c r="M680" s="19"/>
      <c r="N680" s="19"/>
      <c r="O680" s="19"/>
      <c r="P680" s="19"/>
      <c r="Q680" s="91"/>
      <c r="R680" s="91"/>
      <c r="S680" s="19"/>
    </row>
    <row r="681" spans="1:19" ht="15.75" customHeight="1" x14ac:dyDescent="0.25">
      <c r="A681" s="84"/>
      <c r="B681" s="19"/>
      <c r="C681" s="92"/>
      <c r="D681" s="90"/>
      <c r="E681" s="86"/>
      <c r="F681" s="86"/>
      <c r="G681" s="86"/>
      <c r="H681" s="19"/>
      <c r="I681" s="19"/>
      <c r="J681" s="19"/>
      <c r="K681" s="19"/>
      <c r="L681" s="2"/>
      <c r="M681" s="19"/>
      <c r="N681" s="19"/>
      <c r="O681" s="19"/>
      <c r="P681" s="19"/>
      <c r="Q681" s="91"/>
      <c r="R681" s="91"/>
      <c r="S681" s="19"/>
    </row>
    <row r="682" spans="1:19" ht="15.75" customHeight="1" x14ac:dyDescent="0.25">
      <c r="A682" s="84"/>
      <c r="B682" s="19"/>
      <c r="C682" s="92"/>
      <c r="D682" s="90"/>
      <c r="E682" s="86"/>
      <c r="F682" s="86"/>
      <c r="G682" s="86"/>
      <c r="H682" s="19"/>
      <c r="I682" s="19"/>
      <c r="J682" s="19"/>
      <c r="K682" s="19"/>
      <c r="L682" s="2"/>
      <c r="M682" s="19"/>
      <c r="N682" s="19"/>
      <c r="O682" s="19"/>
      <c r="P682" s="19"/>
      <c r="Q682" s="91"/>
      <c r="R682" s="91"/>
      <c r="S682" s="19"/>
    </row>
    <row r="683" spans="1:19" ht="15.75" customHeight="1" x14ac:dyDescent="0.25">
      <c r="A683" s="84"/>
      <c r="B683" s="19"/>
      <c r="C683" s="92"/>
      <c r="D683" s="90"/>
      <c r="E683" s="86"/>
      <c r="F683" s="86"/>
      <c r="G683" s="86"/>
      <c r="H683" s="19"/>
      <c r="I683" s="19"/>
      <c r="J683" s="19"/>
      <c r="K683" s="19"/>
      <c r="L683" s="2"/>
      <c r="M683" s="19"/>
      <c r="N683" s="19"/>
      <c r="O683" s="19"/>
      <c r="P683" s="19"/>
      <c r="Q683" s="91"/>
      <c r="R683" s="91"/>
      <c r="S683" s="19"/>
    </row>
    <row r="684" spans="1:19" ht="15.75" customHeight="1" x14ac:dyDescent="0.25">
      <c r="A684" s="84"/>
      <c r="B684" s="19"/>
      <c r="C684" s="92"/>
      <c r="D684" s="90"/>
      <c r="E684" s="86"/>
      <c r="F684" s="86"/>
      <c r="G684" s="86"/>
      <c r="H684" s="19"/>
      <c r="I684" s="19"/>
      <c r="J684" s="19"/>
      <c r="K684" s="19"/>
      <c r="L684" s="2"/>
      <c r="M684" s="19"/>
      <c r="N684" s="19"/>
      <c r="O684" s="19"/>
      <c r="P684" s="19"/>
      <c r="Q684" s="91"/>
      <c r="R684" s="91"/>
      <c r="S684" s="19"/>
    </row>
    <row r="685" spans="1:19" ht="15.75" customHeight="1" x14ac:dyDescent="0.25">
      <c r="A685" s="84"/>
      <c r="B685" s="19"/>
      <c r="C685" s="92"/>
      <c r="D685" s="90"/>
      <c r="E685" s="86"/>
      <c r="F685" s="86"/>
      <c r="G685" s="86"/>
      <c r="H685" s="19"/>
      <c r="I685" s="19"/>
      <c r="J685" s="19"/>
      <c r="K685" s="19"/>
      <c r="L685" s="2"/>
      <c r="M685" s="19"/>
      <c r="N685" s="19"/>
      <c r="O685" s="19"/>
      <c r="P685" s="19"/>
      <c r="Q685" s="91"/>
      <c r="R685" s="91"/>
      <c r="S685" s="19"/>
    </row>
    <row r="686" spans="1:19" ht="15.75" customHeight="1" x14ac:dyDescent="0.25">
      <c r="A686" s="84"/>
      <c r="B686" s="19"/>
      <c r="C686" s="92"/>
      <c r="D686" s="90"/>
      <c r="E686" s="86"/>
      <c r="F686" s="86"/>
      <c r="G686" s="86"/>
      <c r="H686" s="19"/>
      <c r="I686" s="19"/>
      <c r="J686" s="19"/>
      <c r="K686" s="19"/>
      <c r="L686" s="2"/>
      <c r="M686" s="19"/>
      <c r="N686" s="19"/>
      <c r="O686" s="19"/>
      <c r="P686" s="19"/>
      <c r="Q686" s="91"/>
      <c r="R686" s="91"/>
      <c r="S686" s="19"/>
    </row>
    <row r="687" spans="1:19" ht="15.75" customHeight="1" x14ac:dyDescent="0.25">
      <c r="A687" s="84"/>
      <c r="B687" s="19"/>
      <c r="C687" s="92"/>
      <c r="D687" s="90"/>
      <c r="E687" s="86"/>
      <c r="F687" s="86"/>
      <c r="G687" s="86"/>
      <c r="H687" s="19"/>
      <c r="I687" s="19"/>
      <c r="J687" s="19"/>
      <c r="K687" s="19"/>
      <c r="L687" s="2"/>
      <c r="M687" s="19"/>
      <c r="N687" s="19"/>
      <c r="O687" s="19"/>
      <c r="P687" s="19"/>
      <c r="Q687" s="91"/>
      <c r="R687" s="91"/>
      <c r="S687" s="19"/>
    </row>
    <row r="688" spans="1:19" ht="15.75" customHeight="1" x14ac:dyDescent="0.25">
      <c r="A688" s="84"/>
      <c r="B688" s="19"/>
      <c r="C688" s="92"/>
      <c r="D688" s="90"/>
      <c r="E688" s="86"/>
      <c r="F688" s="86"/>
      <c r="G688" s="86"/>
      <c r="H688" s="19"/>
      <c r="I688" s="19"/>
      <c r="J688" s="19"/>
      <c r="K688" s="19"/>
      <c r="L688" s="2"/>
      <c r="M688" s="19"/>
      <c r="N688" s="19"/>
      <c r="O688" s="19"/>
      <c r="P688" s="19"/>
      <c r="Q688" s="91"/>
      <c r="R688" s="91"/>
      <c r="S688" s="19"/>
    </row>
    <row r="689" spans="1:19" ht="15.75" customHeight="1" x14ac:dyDescent="0.25">
      <c r="A689" s="84"/>
      <c r="B689" s="19"/>
      <c r="C689" s="92"/>
      <c r="D689" s="90"/>
      <c r="E689" s="86"/>
      <c r="F689" s="86"/>
      <c r="G689" s="86"/>
      <c r="H689" s="19"/>
      <c r="I689" s="19"/>
      <c r="J689" s="19"/>
      <c r="K689" s="19"/>
      <c r="L689" s="2"/>
      <c r="M689" s="19"/>
      <c r="N689" s="19"/>
      <c r="O689" s="19"/>
      <c r="P689" s="19"/>
      <c r="Q689" s="91"/>
      <c r="R689" s="91"/>
      <c r="S689" s="19"/>
    </row>
    <row r="690" spans="1:19" ht="15.75" customHeight="1" x14ac:dyDescent="0.25">
      <c r="A690" s="84"/>
      <c r="B690" s="19"/>
      <c r="C690" s="92"/>
      <c r="D690" s="90"/>
      <c r="E690" s="86"/>
      <c r="F690" s="86"/>
      <c r="G690" s="86"/>
      <c r="H690" s="19"/>
      <c r="I690" s="19"/>
      <c r="J690" s="19"/>
      <c r="K690" s="19"/>
      <c r="L690" s="2"/>
      <c r="M690" s="19"/>
      <c r="N690" s="19"/>
      <c r="O690" s="19"/>
      <c r="P690" s="19"/>
      <c r="Q690" s="91"/>
      <c r="R690" s="91"/>
      <c r="S690" s="19"/>
    </row>
    <row r="691" spans="1:19" ht="15.75" customHeight="1" x14ac:dyDescent="0.25">
      <c r="A691" s="84"/>
      <c r="B691" s="19"/>
      <c r="C691" s="92"/>
      <c r="D691" s="90"/>
      <c r="E691" s="86"/>
      <c r="F691" s="86"/>
      <c r="G691" s="86"/>
      <c r="H691" s="19"/>
      <c r="I691" s="19"/>
      <c r="J691" s="19"/>
      <c r="K691" s="19"/>
      <c r="L691" s="2"/>
      <c r="M691" s="19"/>
      <c r="N691" s="19"/>
      <c r="O691" s="19"/>
      <c r="P691" s="19"/>
      <c r="Q691" s="91"/>
      <c r="R691" s="91"/>
      <c r="S691" s="19"/>
    </row>
    <row r="692" spans="1:19" ht="15.75" customHeight="1" x14ac:dyDescent="0.25">
      <c r="A692" s="84"/>
      <c r="B692" s="19"/>
      <c r="C692" s="92"/>
      <c r="D692" s="90"/>
      <c r="E692" s="86"/>
      <c r="F692" s="86"/>
      <c r="G692" s="86"/>
      <c r="H692" s="19"/>
      <c r="I692" s="19"/>
      <c r="J692" s="19"/>
      <c r="K692" s="19"/>
      <c r="L692" s="2"/>
      <c r="M692" s="19"/>
      <c r="N692" s="19"/>
      <c r="O692" s="19"/>
      <c r="P692" s="19"/>
      <c r="Q692" s="91"/>
      <c r="R692" s="91"/>
      <c r="S692" s="19"/>
    </row>
    <row r="693" spans="1:19" ht="15.75" customHeight="1" x14ac:dyDescent="0.25">
      <c r="A693" s="84"/>
      <c r="B693" s="19"/>
      <c r="C693" s="92"/>
      <c r="D693" s="90"/>
      <c r="E693" s="86"/>
      <c r="F693" s="86"/>
      <c r="G693" s="86"/>
      <c r="H693" s="19"/>
      <c r="I693" s="19"/>
      <c r="J693" s="19"/>
      <c r="K693" s="19"/>
      <c r="L693" s="2"/>
      <c r="M693" s="19"/>
      <c r="N693" s="19"/>
      <c r="O693" s="19"/>
      <c r="P693" s="19"/>
      <c r="Q693" s="91"/>
      <c r="R693" s="91"/>
      <c r="S693" s="19"/>
    </row>
    <row r="694" spans="1:19" ht="15.75" customHeight="1" x14ac:dyDescent="0.25">
      <c r="A694" s="84"/>
      <c r="B694" s="19"/>
      <c r="C694" s="92"/>
      <c r="D694" s="90"/>
      <c r="E694" s="86"/>
      <c r="F694" s="86"/>
      <c r="G694" s="86"/>
      <c r="H694" s="19"/>
      <c r="I694" s="19"/>
      <c r="J694" s="19"/>
      <c r="K694" s="19"/>
      <c r="L694" s="2"/>
      <c r="M694" s="19"/>
      <c r="N694" s="19"/>
      <c r="O694" s="19"/>
      <c r="P694" s="19"/>
      <c r="Q694" s="91"/>
      <c r="R694" s="91"/>
      <c r="S694" s="19"/>
    </row>
    <row r="695" spans="1:19" ht="15.75" customHeight="1" x14ac:dyDescent="0.25">
      <c r="A695" s="84"/>
      <c r="B695" s="19"/>
      <c r="C695" s="92"/>
      <c r="D695" s="90"/>
      <c r="E695" s="86"/>
      <c r="F695" s="86"/>
      <c r="G695" s="86"/>
      <c r="H695" s="19"/>
      <c r="I695" s="19"/>
      <c r="J695" s="19"/>
      <c r="K695" s="19"/>
      <c r="L695" s="2"/>
      <c r="M695" s="19"/>
      <c r="N695" s="19"/>
      <c r="O695" s="19"/>
      <c r="P695" s="19"/>
      <c r="Q695" s="91"/>
      <c r="R695" s="91"/>
      <c r="S695" s="19"/>
    </row>
    <row r="696" spans="1:19" ht="15.75" customHeight="1" x14ac:dyDescent="0.25">
      <c r="A696" s="84"/>
      <c r="B696" s="19"/>
      <c r="C696" s="92"/>
      <c r="D696" s="90"/>
      <c r="E696" s="86"/>
      <c r="F696" s="86"/>
      <c r="G696" s="86"/>
      <c r="H696" s="19"/>
      <c r="I696" s="19"/>
      <c r="J696" s="19"/>
      <c r="K696" s="19"/>
      <c r="L696" s="2"/>
      <c r="M696" s="19"/>
      <c r="N696" s="19"/>
      <c r="O696" s="19"/>
      <c r="P696" s="19"/>
      <c r="Q696" s="91"/>
      <c r="R696" s="91"/>
      <c r="S696" s="19"/>
    </row>
    <row r="697" spans="1:19" ht="15.75" customHeight="1" x14ac:dyDescent="0.25">
      <c r="A697" s="84"/>
      <c r="B697" s="19"/>
      <c r="C697" s="92"/>
      <c r="D697" s="90"/>
      <c r="E697" s="86"/>
      <c r="F697" s="86"/>
      <c r="G697" s="86"/>
      <c r="H697" s="19"/>
      <c r="I697" s="19"/>
      <c r="J697" s="19"/>
      <c r="K697" s="19"/>
      <c r="L697" s="2"/>
      <c r="M697" s="19"/>
      <c r="N697" s="19"/>
      <c r="O697" s="19"/>
      <c r="P697" s="19"/>
      <c r="Q697" s="91"/>
      <c r="R697" s="91"/>
      <c r="S697" s="19"/>
    </row>
    <row r="698" spans="1:19" ht="15.75" customHeight="1" x14ac:dyDescent="0.25">
      <c r="A698" s="84"/>
      <c r="B698" s="19"/>
      <c r="C698" s="92"/>
      <c r="D698" s="90"/>
      <c r="E698" s="86"/>
      <c r="F698" s="86"/>
      <c r="G698" s="86"/>
      <c r="H698" s="19"/>
      <c r="I698" s="19"/>
      <c r="J698" s="19"/>
      <c r="K698" s="19"/>
      <c r="L698" s="2"/>
      <c r="M698" s="19"/>
      <c r="N698" s="19"/>
      <c r="O698" s="19"/>
      <c r="P698" s="19"/>
      <c r="Q698" s="91"/>
      <c r="R698" s="91"/>
      <c r="S698" s="19"/>
    </row>
    <row r="699" spans="1:19" ht="15.75" customHeight="1" x14ac:dyDescent="0.25">
      <c r="A699" s="84"/>
      <c r="B699" s="19"/>
      <c r="C699" s="92"/>
      <c r="D699" s="90"/>
      <c r="E699" s="86"/>
      <c r="F699" s="86"/>
      <c r="G699" s="86"/>
      <c r="H699" s="19"/>
      <c r="I699" s="19"/>
      <c r="J699" s="19"/>
      <c r="K699" s="19"/>
      <c r="L699" s="2"/>
      <c r="M699" s="19"/>
      <c r="N699" s="19"/>
      <c r="O699" s="19"/>
      <c r="P699" s="19"/>
      <c r="Q699" s="91"/>
      <c r="R699" s="91"/>
      <c r="S699" s="19"/>
    </row>
    <row r="700" spans="1:19" ht="15.75" customHeight="1" x14ac:dyDescent="0.25">
      <c r="A700" s="84"/>
      <c r="B700" s="19"/>
      <c r="C700" s="92"/>
      <c r="D700" s="90"/>
      <c r="E700" s="86"/>
      <c r="F700" s="86"/>
      <c r="G700" s="86"/>
      <c r="H700" s="19"/>
      <c r="I700" s="19"/>
      <c r="J700" s="19"/>
      <c r="K700" s="19"/>
      <c r="L700" s="2"/>
      <c r="M700" s="19"/>
      <c r="N700" s="19"/>
      <c r="O700" s="19"/>
      <c r="P700" s="19"/>
      <c r="Q700" s="91"/>
      <c r="R700" s="91"/>
      <c r="S700" s="19"/>
    </row>
    <row r="701" spans="1:19" ht="15.75" customHeight="1" x14ac:dyDescent="0.25">
      <c r="A701" s="84"/>
      <c r="B701" s="19"/>
      <c r="C701" s="92"/>
      <c r="D701" s="90"/>
      <c r="E701" s="86"/>
      <c r="F701" s="86"/>
      <c r="G701" s="86"/>
      <c r="H701" s="19"/>
      <c r="I701" s="19"/>
      <c r="J701" s="19"/>
      <c r="K701" s="19"/>
      <c r="L701" s="2"/>
      <c r="M701" s="19"/>
      <c r="N701" s="19"/>
      <c r="O701" s="19"/>
      <c r="P701" s="19"/>
      <c r="Q701" s="91"/>
      <c r="R701" s="91"/>
      <c r="S701" s="19"/>
    </row>
    <row r="702" spans="1:19" ht="15.75" customHeight="1" x14ac:dyDescent="0.25">
      <c r="A702" s="84"/>
      <c r="B702" s="19"/>
      <c r="C702" s="92"/>
      <c r="D702" s="90"/>
      <c r="E702" s="86"/>
      <c r="F702" s="86"/>
      <c r="G702" s="86"/>
      <c r="H702" s="19"/>
      <c r="I702" s="19"/>
      <c r="J702" s="19"/>
      <c r="K702" s="19"/>
      <c r="L702" s="2"/>
      <c r="M702" s="19"/>
      <c r="N702" s="19"/>
      <c r="O702" s="19"/>
      <c r="P702" s="19"/>
      <c r="Q702" s="91"/>
      <c r="R702" s="91"/>
      <c r="S702" s="19"/>
    </row>
    <row r="703" spans="1:19" ht="15.75" customHeight="1" x14ac:dyDescent="0.25">
      <c r="A703" s="84"/>
      <c r="B703" s="19"/>
      <c r="C703" s="92"/>
      <c r="D703" s="90"/>
      <c r="E703" s="86"/>
      <c r="F703" s="86"/>
      <c r="G703" s="86"/>
      <c r="H703" s="19"/>
      <c r="I703" s="19"/>
      <c r="J703" s="19"/>
      <c r="K703" s="19"/>
      <c r="L703" s="2"/>
      <c r="M703" s="19"/>
      <c r="N703" s="19"/>
      <c r="O703" s="19"/>
      <c r="P703" s="19"/>
      <c r="Q703" s="91"/>
      <c r="R703" s="91"/>
      <c r="S703" s="19"/>
    </row>
    <row r="704" spans="1:19" ht="15.75" customHeight="1" x14ac:dyDescent="0.25">
      <c r="A704" s="84"/>
      <c r="B704" s="19"/>
      <c r="C704" s="92"/>
      <c r="D704" s="90"/>
      <c r="E704" s="86"/>
      <c r="F704" s="86"/>
      <c r="G704" s="86"/>
      <c r="H704" s="19"/>
      <c r="I704" s="19"/>
      <c r="J704" s="19"/>
      <c r="K704" s="19"/>
      <c r="L704" s="2"/>
      <c r="M704" s="19"/>
      <c r="N704" s="19"/>
      <c r="O704" s="19"/>
      <c r="P704" s="19"/>
      <c r="Q704" s="91"/>
      <c r="R704" s="91"/>
      <c r="S704" s="19"/>
    </row>
    <row r="705" spans="1:19" ht="15.75" customHeight="1" x14ac:dyDescent="0.25">
      <c r="A705" s="84"/>
      <c r="B705" s="19"/>
      <c r="C705" s="92"/>
      <c r="D705" s="90"/>
      <c r="E705" s="86"/>
      <c r="F705" s="86"/>
      <c r="G705" s="86"/>
      <c r="H705" s="19"/>
      <c r="I705" s="19"/>
      <c r="J705" s="19"/>
      <c r="K705" s="19"/>
      <c r="L705" s="2"/>
      <c r="M705" s="19"/>
      <c r="N705" s="19"/>
      <c r="O705" s="19"/>
      <c r="P705" s="19"/>
      <c r="Q705" s="91"/>
      <c r="R705" s="91"/>
      <c r="S705" s="19"/>
    </row>
    <row r="706" spans="1:19" ht="15.75" customHeight="1" x14ac:dyDescent="0.25">
      <c r="A706" s="84"/>
      <c r="B706" s="19"/>
      <c r="C706" s="92"/>
      <c r="D706" s="90"/>
      <c r="E706" s="86"/>
      <c r="F706" s="86"/>
      <c r="G706" s="86"/>
      <c r="H706" s="19"/>
      <c r="I706" s="19"/>
      <c r="J706" s="19"/>
      <c r="K706" s="19"/>
      <c r="L706" s="2"/>
      <c r="M706" s="19"/>
      <c r="N706" s="19"/>
      <c r="O706" s="19"/>
      <c r="P706" s="19"/>
      <c r="Q706" s="91"/>
      <c r="R706" s="91"/>
      <c r="S706" s="19"/>
    </row>
    <row r="707" spans="1:19" ht="15.75" customHeight="1" x14ac:dyDescent="0.25">
      <c r="A707" s="84"/>
      <c r="B707" s="19"/>
      <c r="C707" s="92"/>
      <c r="D707" s="90"/>
      <c r="E707" s="86"/>
      <c r="F707" s="86"/>
      <c r="G707" s="86"/>
      <c r="H707" s="19"/>
      <c r="I707" s="19"/>
      <c r="J707" s="19"/>
      <c r="K707" s="19"/>
      <c r="L707" s="2"/>
      <c r="M707" s="19"/>
      <c r="N707" s="19"/>
      <c r="O707" s="19"/>
      <c r="P707" s="19"/>
      <c r="Q707" s="91"/>
      <c r="R707" s="91"/>
      <c r="S707" s="19"/>
    </row>
    <row r="708" spans="1:19" ht="15.75" customHeight="1" x14ac:dyDescent="0.25">
      <c r="A708" s="84"/>
      <c r="B708" s="19"/>
      <c r="C708" s="92"/>
      <c r="D708" s="90"/>
      <c r="E708" s="86"/>
      <c r="F708" s="86"/>
      <c r="G708" s="86"/>
      <c r="H708" s="19"/>
      <c r="I708" s="19"/>
      <c r="J708" s="19"/>
      <c r="K708" s="19"/>
      <c r="L708" s="2"/>
      <c r="M708" s="19"/>
      <c r="N708" s="19"/>
      <c r="O708" s="19"/>
      <c r="P708" s="19"/>
      <c r="Q708" s="91"/>
      <c r="R708" s="91"/>
      <c r="S708" s="19"/>
    </row>
    <row r="709" spans="1:19" ht="15.75" customHeight="1" x14ac:dyDescent="0.25">
      <c r="A709" s="84"/>
      <c r="B709" s="19"/>
      <c r="C709" s="92"/>
      <c r="D709" s="90"/>
      <c r="E709" s="86"/>
      <c r="F709" s="86"/>
      <c r="G709" s="86"/>
      <c r="H709" s="19"/>
      <c r="I709" s="19"/>
      <c r="J709" s="19"/>
      <c r="K709" s="19"/>
      <c r="L709" s="2"/>
      <c r="M709" s="19"/>
      <c r="N709" s="19"/>
      <c r="O709" s="19"/>
      <c r="P709" s="19"/>
      <c r="Q709" s="91"/>
      <c r="R709" s="91"/>
      <c r="S709" s="19"/>
    </row>
    <row r="710" spans="1:19" ht="15.75" customHeight="1" x14ac:dyDescent="0.25">
      <c r="A710" s="84"/>
      <c r="B710" s="19"/>
      <c r="C710" s="92"/>
      <c r="D710" s="90"/>
      <c r="E710" s="86"/>
      <c r="F710" s="86"/>
      <c r="G710" s="86"/>
      <c r="H710" s="19"/>
      <c r="I710" s="19"/>
      <c r="J710" s="19"/>
      <c r="K710" s="19"/>
      <c r="L710" s="2"/>
      <c r="M710" s="19"/>
      <c r="N710" s="19"/>
      <c r="O710" s="19"/>
      <c r="P710" s="19"/>
      <c r="Q710" s="91"/>
      <c r="R710" s="91"/>
      <c r="S710" s="19"/>
    </row>
    <row r="711" spans="1:19" ht="15.75" customHeight="1" x14ac:dyDescent="0.25">
      <c r="A711" s="84"/>
      <c r="B711" s="19"/>
      <c r="C711" s="92"/>
      <c r="D711" s="90"/>
      <c r="E711" s="86"/>
      <c r="F711" s="86"/>
      <c r="G711" s="86"/>
      <c r="H711" s="19"/>
      <c r="I711" s="19"/>
      <c r="J711" s="19"/>
      <c r="K711" s="19"/>
      <c r="L711" s="2"/>
      <c r="M711" s="19"/>
      <c r="N711" s="19"/>
      <c r="O711" s="19"/>
      <c r="P711" s="19"/>
      <c r="Q711" s="91"/>
      <c r="R711" s="91"/>
      <c r="S711" s="19"/>
    </row>
    <row r="712" spans="1:19" ht="15.75" customHeight="1" x14ac:dyDescent="0.25">
      <c r="A712" s="84"/>
      <c r="B712" s="19"/>
      <c r="C712" s="92"/>
      <c r="D712" s="90"/>
      <c r="E712" s="86"/>
      <c r="F712" s="86"/>
      <c r="G712" s="86"/>
      <c r="H712" s="19"/>
      <c r="I712" s="19"/>
      <c r="J712" s="19"/>
      <c r="K712" s="19"/>
      <c r="L712" s="2"/>
      <c r="M712" s="19"/>
      <c r="N712" s="19"/>
      <c r="O712" s="19"/>
      <c r="P712" s="19"/>
      <c r="Q712" s="91"/>
      <c r="R712" s="91"/>
      <c r="S712" s="19"/>
    </row>
    <row r="713" spans="1:19" ht="15.75" customHeight="1" x14ac:dyDescent="0.25">
      <c r="A713" s="84"/>
      <c r="B713" s="19"/>
      <c r="C713" s="92"/>
      <c r="D713" s="90"/>
      <c r="E713" s="86"/>
      <c r="F713" s="86"/>
      <c r="G713" s="86"/>
      <c r="H713" s="19"/>
      <c r="I713" s="19"/>
      <c r="J713" s="19"/>
      <c r="K713" s="19"/>
      <c r="L713" s="2"/>
      <c r="M713" s="19"/>
      <c r="N713" s="19"/>
      <c r="O713" s="19"/>
      <c r="P713" s="19"/>
      <c r="Q713" s="91"/>
      <c r="R713" s="91"/>
      <c r="S713" s="19"/>
    </row>
    <row r="714" spans="1:19" ht="15.75" customHeight="1" x14ac:dyDescent="0.25">
      <c r="A714" s="84"/>
      <c r="B714" s="19"/>
      <c r="C714" s="92"/>
      <c r="D714" s="90"/>
      <c r="E714" s="86"/>
      <c r="F714" s="86"/>
      <c r="G714" s="86"/>
      <c r="H714" s="19"/>
      <c r="I714" s="19"/>
      <c r="J714" s="19"/>
      <c r="K714" s="19"/>
      <c r="L714" s="2"/>
      <c r="M714" s="19"/>
      <c r="N714" s="19"/>
      <c r="O714" s="19"/>
      <c r="P714" s="19"/>
      <c r="Q714" s="91"/>
      <c r="R714" s="91"/>
      <c r="S714" s="19"/>
    </row>
    <row r="715" spans="1:19" ht="15.75" customHeight="1" x14ac:dyDescent="0.25">
      <c r="A715" s="84"/>
      <c r="B715" s="19"/>
      <c r="C715" s="92"/>
      <c r="D715" s="90"/>
      <c r="E715" s="86"/>
      <c r="F715" s="86"/>
      <c r="G715" s="86"/>
      <c r="H715" s="19"/>
      <c r="I715" s="19"/>
      <c r="J715" s="19"/>
      <c r="K715" s="19"/>
      <c r="L715" s="2"/>
      <c r="M715" s="19"/>
      <c r="N715" s="19"/>
      <c r="O715" s="19"/>
      <c r="P715" s="19"/>
      <c r="Q715" s="91"/>
      <c r="R715" s="91"/>
      <c r="S715" s="19"/>
    </row>
    <row r="716" spans="1:19" ht="15.75" customHeight="1" x14ac:dyDescent="0.25">
      <c r="A716" s="84"/>
      <c r="B716" s="19"/>
      <c r="C716" s="92"/>
      <c r="D716" s="90"/>
      <c r="E716" s="86"/>
      <c r="F716" s="86"/>
      <c r="G716" s="86"/>
      <c r="H716" s="19"/>
      <c r="I716" s="19"/>
      <c r="J716" s="19"/>
      <c r="K716" s="19"/>
      <c r="L716" s="2"/>
      <c r="M716" s="19"/>
      <c r="N716" s="19"/>
      <c r="O716" s="19"/>
      <c r="P716" s="19"/>
      <c r="Q716" s="91"/>
      <c r="R716" s="91"/>
      <c r="S716" s="19"/>
    </row>
    <row r="717" spans="1:19" ht="15.75" customHeight="1" x14ac:dyDescent="0.25">
      <c r="A717" s="84"/>
      <c r="B717" s="19"/>
      <c r="C717" s="92"/>
      <c r="D717" s="90"/>
      <c r="E717" s="86"/>
      <c r="F717" s="86"/>
      <c r="G717" s="86"/>
      <c r="H717" s="19"/>
      <c r="I717" s="19"/>
      <c r="J717" s="19"/>
      <c r="K717" s="19"/>
      <c r="L717" s="2"/>
      <c r="M717" s="19"/>
      <c r="N717" s="19"/>
      <c r="O717" s="19"/>
      <c r="P717" s="19"/>
      <c r="Q717" s="91"/>
      <c r="R717" s="91"/>
      <c r="S717" s="19"/>
    </row>
    <row r="718" spans="1:19" ht="15.75" customHeight="1" x14ac:dyDescent="0.25">
      <c r="A718" s="84"/>
      <c r="B718" s="19"/>
      <c r="C718" s="92"/>
      <c r="D718" s="90"/>
      <c r="E718" s="86"/>
      <c r="F718" s="86"/>
      <c r="G718" s="86"/>
      <c r="H718" s="19"/>
      <c r="I718" s="19"/>
      <c r="J718" s="19"/>
      <c r="K718" s="19"/>
      <c r="L718" s="2"/>
      <c r="M718" s="19"/>
      <c r="N718" s="19"/>
      <c r="O718" s="19"/>
      <c r="P718" s="19"/>
      <c r="Q718" s="91"/>
      <c r="R718" s="91"/>
      <c r="S718" s="19"/>
    </row>
    <row r="719" spans="1:19" ht="15.75" customHeight="1" x14ac:dyDescent="0.25">
      <c r="A719" s="84"/>
      <c r="B719" s="19"/>
      <c r="C719" s="92"/>
      <c r="D719" s="90"/>
      <c r="E719" s="86"/>
      <c r="F719" s="86"/>
      <c r="G719" s="86"/>
      <c r="H719" s="19"/>
      <c r="I719" s="19"/>
      <c r="J719" s="19"/>
      <c r="K719" s="19"/>
      <c r="L719" s="2"/>
      <c r="M719" s="19"/>
      <c r="N719" s="19"/>
      <c r="O719" s="19"/>
      <c r="P719" s="19"/>
      <c r="Q719" s="91"/>
      <c r="R719" s="91"/>
      <c r="S719" s="19"/>
    </row>
    <row r="720" spans="1:19" ht="15.75" customHeight="1" x14ac:dyDescent="0.25">
      <c r="A720" s="84"/>
      <c r="B720" s="19"/>
      <c r="C720" s="92"/>
      <c r="D720" s="90"/>
      <c r="E720" s="86"/>
      <c r="F720" s="86"/>
      <c r="G720" s="86"/>
      <c r="H720" s="19"/>
      <c r="I720" s="19"/>
      <c r="J720" s="19"/>
      <c r="K720" s="19"/>
      <c r="L720" s="2"/>
      <c r="M720" s="19"/>
      <c r="N720" s="19"/>
      <c r="O720" s="19"/>
      <c r="P720" s="19"/>
      <c r="Q720" s="91"/>
      <c r="R720" s="91"/>
      <c r="S720" s="19"/>
    </row>
    <row r="721" spans="1:19" ht="15.75" customHeight="1" x14ac:dyDescent="0.25">
      <c r="A721" s="84"/>
      <c r="B721" s="19"/>
      <c r="C721" s="92"/>
      <c r="D721" s="90"/>
      <c r="E721" s="86"/>
      <c r="F721" s="86"/>
      <c r="G721" s="86"/>
      <c r="H721" s="19"/>
      <c r="I721" s="19"/>
      <c r="J721" s="19"/>
      <c r="K721" s="19"/>
      <c r="L721" s="2"/>
      <c r="M721" s="19"/>
      <c r="N721" s="19"/>
      <c r="O721" s="19"/>
      <c r="P721" s="19"/>
      <c r="Q721" s="91"/>
      <c r="R721" s="91"/>
      <c r="S721" s="19"/>
    </row>
    <row r="722" spans="1:19" ht="15.75" customHeight="1" x14ac:dyDescent="0.25">
      <c r="A722" s="84"/>
      <c r="B722" s="19"/>
      <c r="C722" s="92"/>
      <c r="D722" s="90"/>
      <c r="E722" s="86"/>
      <c r="F722" s="86"/>
      <c r="G722" s="86"/>
      <c r="H722" s="19"/>
      <c r="I722" s="19"/>
      <c r="J722" s="19"/>
      <c r="K722" s="19"/>
      <c r="L722" s="2"/>
      <c r="M722" s="19"/>
      <c r="N722" s="19"/>
      <c r="O722" s="19"/>
      <c r="P722" s="19"/>
      <c r="Q722" s="91"/>
      <c r="R722" s="91"/>
      <c r="S722" s="19"/>
    </row>
    <row r="723" spans="1:19" ht="15.75" customHeight="1" x14ac:dyDescent="0.25">
      <c r="A723" s="84"/>
      <c r="B723" s="19"/>
      <c r="C723" s="92"/>
      <c r="D723" s="90"/>
      <c r="E723" s="86"/>
      <c r="F723" s="86"/>
      <c r="G723" s="86"/>
      <c r="H723" s="19"/>
      <c r="I723" s="19"/>
      <c r="J723" s="19"/>
      <c r="K723" s="19"/>
      <c r="L723" s="2"/>
      <c r="M723" s="19"/>
      <c r="N723" s="19"/>
      <c r="O723" s="19"/>
      <c r="P723" s="19"/>
      <c r="Q723" s="91"/>
      <c r="R723" s="91"/>
      <c r="S723" s="19"/>
    </row>
    <row r="724" spans="1:19" ht="15.75" customHeight="1" x14ac:dyDescent="0.25">
      <c r="A724" s="84"/>
      <c r="B724" s="19"/>
      <c r="C724" s="92"/>
      <c r="D724" s="90"/>
      <c r="E724" s="86"/>
      <c r="F724" s="86"/>
      <c r="G724" s="86"/>
      <c r="H724" s="19"/>
      <c r="I724" s="19"/>
      <c r="J724" s="19"/>
      <c r="K724" s="19"/>
      <c r="L724" s="2"/>
      <c r="M724" s="19"/>
      <c r="N724" s="19"/>
      <c r="O724" s="19"/>
      <c r="P724" s="19"/>
      <c r="Q724" s="91"/>
      <c r="R724" s="91"/>
      <c r="S724" s="19"/>
    </row>
    <row r="725" spans="1:19" ht="15.75" customHeight="1" x14ac:dyDescent="0.25">
      <c r="A725" s="84"/>
      <c r="B725" s="19"/>
      <c r="C725" s="92"/>
      <c r="D725" s="90"/>
      <c r="E725" s="86"/>
      <c r="F725" s="86"/>
      <c r="G725" s="86"/>
      <c r="H725" s="19"/>
      <c r="I725" s="19"/>
      <c r="J725" s="19"/>
      <c r="K725" s="19"/>
      <c r="L725" s="2"/>
      <c r="M725" s="19"/>
      <c r="N725" s="19"/>
      <c r="O725" s="19"/>
      <c r="P725" s="19"/>
      <c r="Q725" s="91"/>
      <c r="R725" s="91"/>
      <c r="S725" s="19"/>
    </row>
    <row r="726" spans="1:19" ht="15.75" customHeight="1" x14ac:dyDescent="0.25">
      <c r="A726" s="84"/>
      <c r="B726" s="19"/>
      <c r="C726" s="92"/>
      <c r="D726" s="90"/>
      <c r="E726" s="86"/>
      <c r="F726" s="86"/>
      <c r="G726" s="86"/>
      <c r="H726" s="19"/>
      <c r="I726" s="19"/>
      <c r="J726" s="19"/>
      <c r="K726" s="19"/>
      <c r="L726" s="2"/>
      <c r="M726" s="19"/>
      <c r="N726" s="19"/>
      <c r="O726" s="19"/>
      <c r="P726" s="19"/>
      <c r="Q726" s="91"/>
      <c r="R726" s="91"/>
      <c r="S726" s="19"/>
    </row>
    <row r="727" spans="1:19" ht="15.75" customHeight="1" x14ac:dyDescent="0.25">
      <c r="A727" s="84"/>
      <c r="B727" s="19"/>
      <c r="C727" s="92"/>
      <c r="D727" s="90"/>
      <c r="E727" s="86"/>
      <c r="F727" s="86"/>
      <c r="G727" s="86"/>
      <c r="H727" s="19"/>
      <c r="I727" s="19"/>
      <c r="J727" s="19"/>
      <c r="K727" s="19"/>
      <c r="L727" s="2"/>
      <c r="M727" s="19"/>
      <c r="N727" s="19"/>
      <c r="O727" s="19"/>
      <c r="P727" s="19"/>
      <c r="Q727" s="91"/>
      <c r="R727" s="91"/>
      <c r="S727" s="19"/>
    </row>
    <row r="728" spans="1:19" ht="15.75" customHeight="1" x14ac:dyDescent="0.25">
      <c r="A728" s="84"/>
      <c r="B728" s="19"/>
      <c r="C728" s="92"/>
      <c r="D728" s="90"/>
      <c r="E728" s="86"/>
      <c r="F728" s="86"/>
      <c r="G728" s="86"/>
      <c r="H728" s="19"/>
      <c r="I728" s="19"/>
      <c r="J728" s="19"/>
      <c r="K728" s="19"/>
      <c r="L728" s="2"/>
      <c r="M728" s="19"/>
      <c r="N728" s="19"/>
      <c r="O728" s="19"/>
      <c r="P728" s="19"/>
      <c r="Q728" s="91"/>
      <c r="R728" s="91"/>
      <c r="S728" s="19"/>
    </row>
    <row r="729" spans="1:19" ht="15.75" customHeight="1" x14ac:dyDescent="0.25">
      <c r="A729" s="84"/>
      <c r="B729" s="19"/>
      <c r="C729" s="92"/>
      <c r="D729" s="90"/>
      <c r="E729" s="86"/>
      <c r="F729" s="86"/>
      <c r="G729" s="86"/>
      <c r="H729" s="19"/>
      <c r="I729" s="19"/>
      <c r="J729" s="19"/>
      <c r="K729" s="19"/>
      <c r="L729" s="2"/>
      <c r="M729" s="19"/>
      <c r="N729" s="19"/>
      <c r="O729" s="19"/>
      <c r="P729" s="19"/>
      <c r="Q729" s="91"/>
      <c r="R729" s="91"/>
      <c r="S729" s="19"/>
    </row>
    <row r="730" spans="1:19" ht="15.75" customHeight="1" x14ac:dyDescent="0.25">
      <c r="A730" s="84"/>
      <c r="B730" s="19"/>
      <c r="C730" s="92"/>
      <c r="D730" s="90"/>
      <c r="E730" s="86"/>
      <c r="F730" s="86"/>
      <c r="G730" s="86"/>
      <c r="H730" s="19"/>
      <c r="I730" s="19"/>
      <c r="J730" s="19"/>
      <c r="K730" s="19"/>
      <c r="L730" s="2"/>
      <c r="M730" s="19"/>
      <c r="N730" s="19"/>
      <c r="O730" s="19"/>
      <c r="P730" s="19"/>
      <c r="Q730" s="91"/>
      <c r="R730" s="91"/>
      <c r="S730" s="19"/>
    </row>
    <row r="731" spans="1:19" ht="15.75" customHeight="1" x14ac:dyDescent="0.25">
      <c r="A731" s="84"/>
      <c r="B731" s="19"/>
      <c r="C731" s="92"/>
      <c r="D731" s="90"/>
      <c r="E731" s="86"/>
      <c r="F731" s="86"/>
      <c r="G731" s="86"/>
      <c r="H731" s="19"/>
      <c r="I731" s="19"/>
      <c r="J731" s="19"/>
      <c r="K731" s="19"/>
      <c r="L731" s="2"/>
      <c r="M731" s="19"/>
      <c r="N731" s="19"/>
      <c r="O731" s="19"/>
      <c r="P731" s="19"/>
      <c r="Q731" s="91"/>
      <c r="R731" s="91"/>
      <c r="S731" s="19"/>
    </row>
    <row r="732" spans="1:19" ht="15.75" customHeight="1" x14ac:dyDescent="0.25">
      <c r="A732" s="84"/>
      <c r="B732" s="19"/>
      <c r="C732" s="92"/>
      <c r="D732" s="90"/>
      <c r="E732" s="86"/>
      <c r="F732" s="86"/>
      <c r="G732" s="86"/>
      <c r="H732" s="19"/>
      <c r="I732" s="19"/>
      <c r="J732" s="19"/>
      <c r="K732" s="19"/>
      <c r="L732" s="2"/>
      <c r="M732" s="19"/>
      <c r="N732" s="19"/>
      <c r="O732" s="19"/>
      <c r="P732" s="19"/>
      <c r="Q732" s="91"/>
      <c r="R732" s="91"/>
      <c r="S732" s="19"/>
    </row>
    <row r="733" spans="1:19" ht="15.75" customHeight="1" x14ac:dyDescent="0.25">
      <c r="A733" s="84"/>
      <c r="B733" s="19"/>
      <c r="C733" s="92"/>
      <c r="D733" s="90"/>
      <c r="E733" s="86"/>
      <c r="F733" s="86"/>
      <c r="G733" s="86"/>
      <c r="H733" s="19"/>
      <c r="I733" s="19"/>
      <c r="J733" s="19"/>
      <c r="K733" s="19"/>
      <c r="L733" s="2"/>
      <c r="M733" s="19"/>
      <c r="N733" s="19"/>
      <c r="O733" s="19"/>
      <c r="P733" s="19"/>
      <c r="Q733" s="91"/>
      <c r="R733" s="91"/>
      <c r="S733" s="19"/>
    </row>
    <row r="734" spans="1:19" ht="15.75" customHeight="1" x14ac:dyDescent="0.25">
      <c r="A734" s="84"/>
      <c r="B734" s="19"/>
      <c r="C734" s="92"/>
      <c r="D734" s="90"/>
      <c r="E734" s="86"/>
      <c r="F734" s="86"/>
      <c r="G734" s="86"/>
      <c r="H734" s="19"/>
      <c r="I734" s="19"/>
      <c r="J734" s="19"/>
      <c r="K734" s="19"/>
      <c r="L734" s="2"/>
      <c r="M734" s="19"/>
      <c r="N734" s="19"/>
      <c r="O734" s="19"/>
      <c r="P734" s="19"/>
      <c r="Q734" s="91"/>
      <c r="R734" s="91"/>
      <c r="S734" s="19"/>
    </row>
    <row r="735" spans="1:19" ht="15.75" customHeight="1" x14ac:dyDescent="0.25">
      <c r="A735" s="84"/>
      <c r="B735" s="19"/>
      <c r="C735" s="92"/>
      <c r="D735" s="90"/>
      <c r="E735" s="86"/>
      <c r="F735" s="86"/>
      <c r="G735" s="86"/>
      <c r="H735" s="19"/>
      <c r="I735" s="19"/>
      <c r="J735" s="19"/>
      <c r="K735" s="19"/>
      <c r="L735" s="2"/>
      <c r="M735" s="19"/>
      <c r="N735" s="19"/>
      <c r="O735" s="19"/>
      <c r="P735" s="19"/>
      <c r="Q735" s="91"/>
      <c r="R735" s="91"/>
      <c r="S735" s="19"/>
    </row>
    <row r="736" spans="1:19" ht="15.75" customHeight="1" x14ac:dyDescent="0.25">
      <c r="A736" s="84"/>
      <c r="B736" s="19"/>
      <c r="C736" s="92"/>
      <c r="D736" s="90"/>
      <c r="E736" s="86"/>
      <c r="F736" s="86"/>
      <c r="G736" s="86"/>
      <c r="H736" s="19"/>
      <c r="I736" s="19"/>
      <c r="J736" s="19"/>
      <c r="K736" s="19"/>
      <c r="L736" s="2"/>
      <c r="M736" s="19"/>
      <c r="N736" s="19"/>
      <c r="O736" s="19"/>
      <c r="P736" s="19"/>
      <c r="Q736" s="91"/>
      <c r="R736" s="91"/>
      <c r="S736" s="19"/>
    </row>
    <row r="737" spans="1:19" ht="15.75" customHeight="1" x14ac:dyDescent="0.25">
      <c r="A737" s="84"/>
      <c r="B737" s="19"/>
      <c r="C737" s="92"/>
      <c r="D737" s="90"/>
      <c r="E737" s="86"/>
      <c r="F737" s="86"/>
      <c r="G737" s="86"/>
      <c r="H737" s="19"/>
      <c r="I737" s="19"/>
      <c r="J737" s="19"/>
      <c r="K737" s="19"/>
      <c r="L737" s="2"/>
      <c r="M737" s="19"/>
      <c r="N737" s="19"/>
      <c r="O737" s="19"/>
      <c r="P737" s="19"/>
      <c r="Q737" s="91"/>
      <c r="R737" s="91"/>
      <c r="S737" s="19"/>
    </row>
    <row r="738" spans="1:19" ht="15.75" customHeight="1" x14ac:dyDescent="0.25">
      <c r="A738" s="84"/>
      <c r="B738" s="19"/>
      <c r="C738" s="92"/>
      <c r="D738" s="90"/>
      <c r="E738" s="86"/>
      <c r="F738" s="86"/>
      <c r="G738" s="86"/>
      <c r="H738" s="19"/>
      <c r="I738" s="19"/>
      <c r="J738" s="19"/>
      <c r="K738" s="19"/>
      <c r="L738" s="2"/>
      <c r="M738" s="19"/>
      <c r="N738" s="19"/>
      <c r="O738" s="19"/>
      <c r="P738" s="19"/>
      <c r="Q738" s="91"/>
      <c r="R738" s="91"/>
      <c r="S738" s="19"/>
    </row>
    <row r="739" spans="1:19" ht="15.75" customHeight="1" x14ac:dyDescent="0.25">
      <c r="A739" s="84"/>
      <c r="B739" s="19"/>
      <c r="C739" s="92"/>
      <c r="D739" s="90"/>
      <c r="E739" s="86"/>
      <c r="F739" s="86"/>
      <c r="G739" s="86"/>
      <c r="H739" s="19"/>
      <c r="I739" s="19"/>
      <c r="J739" s="19"/>
      <c r="K739" s="19"/>
      <c r="L739" s="2"/>
      <c r="M739" s="19"/>
      <c r="N739" s="19"/>
      <c r="O739" s="19"/>
      <c r="P739" s="19"/>
      <c r="Q739" s="91"/>
      <c r="R739" s="91"/>
      <c r="S739" s="19"/>
    </row>
    <row r="740" spans="1:19" ht="15.75" customHeight="1" x14ac:dyDescent="0.25">
      <c r="A740" s="84"/>
      <c r="B740" s="19"/>
      <c r="C740" s="92"/>
      <c r="D740" s="90"/>
      <c r="E740" s="86"/>
      <c r="F740" s="86"/>
      <c r="G740" s="86"/>
      <c r="H740" s="19"/>
      <c r="I740" s="19"/>
      <c r="J740" s="19"/>
      <c r="K740" s="19"/>
      <c r="L740" s="2"/>
      <c r="M740" s="19"/>
      <c r="N740" s="19"/>
      <c r="O740" s="19"/>
      <c r="P740" s="19"/>
      <c r="Q740" s="91"/>
      <c r="R740" s="91"/>
      <c r="S740" s="19"/>
    </row>
    <row r="741" spans="1:19" ht="15.75" customHeight="1" x14ac:dyDescent="0.25">
      <c r="A741" s="84"/>
      <c r="B741" s="19"/>
      <c r="C741" s="92"/>
      <c r="D741" s="90"/>
      <c r="E741" s="86"/>
      <c r="F741" s="86"/>
      <c r="G741" s="86"/>
      <c r="H741" s="19"/>
      <c r="I741" s="19"/>
      <c r="J741" s="19"/>
      <c r="K741" s="19"/>
      <c r="L741" s="2"/>
      <c r="M741" s="19"/>
      <c r="N741" s="19"/>
      <c r="O741" s="19"/>
      <c r="P741" s="19"/>
      <c r="Q741" s="91"/>
      <c r="R741" s="91"/>
      <c r="S741" s="19"/>
    </row>
    <row r="742" spans="1:19" ht="15.75" customHeight="1" x14ac:dyDescent="0.25">
      <c r="A742" s="84"/>
      <c r="B742" s="19"/>
      <c r="C742" s="92"/>
      <c r="D742" s="90"/>
      <c r="E742" s="86"/>
      <c r="F742" s="86"/>
      <c r="G742" s="86"/>
      <c r="H742" s="19"/>
      <c r="I742" s="19"/>
      <c r="J742" s="19"/>
      <c r="K742" s="19"/>
      <c r="L742" s="2"/>
      <c r="M742" s="19"/>
      <c r="N742" s="19"/>
      <c r="O742" s="19"/>
      <c r="P742" s="19"/>
      <c r="Q742" s="91"/>
      <c r="R742" s="91"/>
      <c r="S742" s="19"/>
    </row>
    <row r="743" spans="1:19" ht="15.75" customHeight="1" x14ac:dyDescent="0.25">
      <c r="A743" s="84"/>
      <c r="B743" s="19"/>
      <c r="C743" s="92"/>
      <c r="D743" s="90"/>
      <c r="E743" s="86"/>
      <c r="F743" s="86"/>
      <c r="G743" s="86"/>
      <c r="H743" s="19"/>
      <c r="I743" s="19"/>
      <c r="J743" s="19"/>
      <c r="K743" s="19"/>
      <c r="L743" s="2"/>
      <c r="M743" s="19"/>
      <c r="N743" s="19"/>
      <c r="O743" s="19"/>
      <c r="P743" s="19"/>
      <c r="Q743" s="91"/>
      <c r="R743" s="91"/>
      <c r="S743" s="19"/>
    </row>
    <row r="744" spans="1:19" ht="15.75" customHeight="1" x14ac:dyDescent="0.25">
      <c r="A744" s="84"/>
      <c r="B744" s="19"/>
      <c r="C744" s="92"/>
      <c r="D744" s="90"/>
      <c r="E744" s="86"/>
      <c r="F744" s="86"/>
      <c r="G744" s="86"/>
      <c r="H744" s="19"/>
      <c r="I744" s="19"/>
      <c r="J744" s="19"/>
      <c r="K744" s="19"/>
      <c r="L744" s="2"/>
      <c r="M744" s="19"/>
      <c r="N744" s="19"/>
      <c r="O744" s="19"/>
      <c r="P744" s="19"/>
      <c r="Q744" s="91"/>
      <c r="R744" s="91"/>
      <c r="S744" s="19"/>
    </row>
    <row r="745" spans="1:19" ht="15.75" customHeight="1" x14ac:dyDescent="0.25">
      <c r="A745" s="84"/>
      <c r="B745" s="19"/>
      <c r="C745" s="92"/>
      <c r="D745" s="90"/>
      <c r="E745" s="86"/>
      <c r="F745" s="86"/>
      <c r="G745" s="86"/>
      <c r="H745" s="19"/>
      <c r="I745" s="19"/>
      <c r="J745" s="19"/>
      <c r="K745" s="19"/>
      <c r="L745" s="2"/>
      <c r="M745" s="19"/>
      <c r="N745" s="19"/>
      <c r="O745" s="19"/>
      <c r="P745" s="19"/>
      <c r="Q745" s="91"/>
      <c r="R745" s="91"/>
      <c r="S745" s="19"/>
    </row>
    <row r="746" spans="1:19" ht="15.75" customHeight="1" x14ac:dyDescent="0.25">
      <c r="A746" s="84"/>
      <c r="B746" s="19"/>
      <c r="C746" s="92"/>
      <c r="D746" s="90"/>
      <c r="E746" s="86"/>
      <c r="F746" s="86"/>
      <c r="G746" s="86"/>
      <c r="H746" s="19"/>
      <c r="I746" s="19"/>
      <c r="J746" s="19"/>
      <c r="K746" s="19"/>
      <c r="L746" s="2"/>
      <c r="M746" s="19"/>
      <c r="N746" s="19"/>
      <c r="O746" s="19"/>
      <c r="P746" s="19"/>
      <c r="Q746" s="91"/>
      <c r="R746" s="91"/>
      <c r="S746" s="19"/>
    </row>
    <row r="747" spans="1:19" ht="15.75" customHeight="1" x14ac:dyDescent="0.25">
      <c r="A747" s="84"/>
      <c r="B747" s="19"/>
      <c r="C747" s="92"/>
      <c r="D747" s="90"/>
      <c r="E747" s="86"/>
      <c r="F747" s="86"/>
      <c r="G747" s="86"/>
      <c r="H747" s="19"/>
      <c r="I747" s="19"/>
      <c r="J747" s="19"/>
      <c r="K747" s="19"/>
      <c r="L747" s="2"/>
      <c r="M747" s="19"/>
      <c r="N747" s="19"/>
      <c r="O747" s="19"/>
      <c r="P747" s="19"/>
      <c r="Q747" s="91"/>
      <c r="R747" s="91"/>
      <c r="S747" s="19"/>
    </row>
    <row r="748" spans="1:19" ht="15.75" customHeight="1" x14ac:dyDescent="0.25">
      <c r="A748" s="84"/>
      <c r="B748" s="19"/>
      <c r="C748" s="92"/>
      <c r="D748" s="90"/>
      <c r="E748" s="86"/>
      <c r="F748" s="86"/>
      <c r="G748" s="86"/>
      <c r="H748" s="19"/>
      <c r="I748" s="19"/>
      <c r="J748" s="19"/>
      <c r="K748" s="19"/>
      <c r="L748" s="2"/>
      <c r="M748" s="19"/>
      <c r="N748" s="19"/>
      <c r="O748" s="19"/>
      <c r="P748" s="19"/>
      <c r="Q748" s="91"/>
      <c r="R748" s="91"/>
      <c r="S748" s="19"/>
    </row>
    <row r="749" spans="1:19" ht="15.75" customHeight="1" x14ac:dyDescent="0.25">
      <c r="A749" s="84"/>
      <c r="B749" s="19"/>
      <c r="C749" s="92"/>
      <c r="D749" s="90"/>
      <c r="E749" s="86"/>
      <c r="F749" s="86"/>
      <c r="G749" s="86"/>
      <c r="H749" s="19"/>
      <c r="I749" s="19"/>
      <c r="J749" s="19"/>
      <c r="K749" s="19"/>
      <c r="L749" s="2"/>
      <c r="M749" s="19"/>
      <c r="N749" s="19"/>
      <c r="O749" s="19"/>
      <c r="P749" s="19"/>
      <c r="Q749" s="91"/>
      <c r="R749" s="91"/>
      <c r="S749" s="19"/>
    </row>
    <row r="750" spans="1:19" ht="15.75" customHeight="1" x14ac:dyDescent="0.25">
      <c r="A750" s="84"/>
      <c r="B750" s="19"/>
      <c r="C750" s="92"/>
      <c r="D750" s="90"/>
      <c r="E750" s="86"/>
      <c r="F750" s="86"/>
      <c r="G750" s="86"/>
      <c r="H750" s="19"/>
      <c r="I750" s="19"/>
      <c r="J750" s="19"/>
      <c r="K750" s="19"/>
      <c r="L750" s="2"/>
      <c r="M750" s="19"/>
      <c r="N750" s="19"/>
      <c r="O750" s="19"/>
      <c r="P750" s="19"/>
      <c r="Q750" s="91"/>
      <c r="R750" s="91"/>
      <c r="S750" s="19"/>
    </row>
    <row r="751" spans="1:19" ht="15.75" customHeight="1" x14ac:dyDescent="0.25">
      <c r="A751" s="84"/>
      <c r="B751" s="19"/>
      <c r="C751" s="92"/>
      <c r="D751" s="90"/>
      <c r="E751" s="86"/>
      <c r="F751" s="86"/>
      <c r="G751" s="86"/>
      <c r="H751" s="19"/>
      <c r="I751" s="19"/>
      <c r="J751" s="19"/>
      <c r="K751" s="19"/>
      <c r="L751" s="2"/>
      <c r="M751" s="19"/>
      <c r="N751" s="19"/>
      <c r="O751" s="19"/>
      <c r="P751" s="19"/>
      <c r="Q751" s="91"/>
      <c r="R751" s="91"/>
      <c r="S751" s="19"/>
    </row>
    <row r="752" spans="1:19" ht="15.75" customHeight="1" x14ac:dyDescent="0.25">
      <c r="A752" s="84"/>
      <c r="B752" s="19"/>
      <c r="C752" s="92"/>
      <c r="D752" s="90"/>
      <c r="E752" s="86"/>
      <c r="F752" s="86"/>
      <c r="G752" s="86"/>
      <c r="H752" s="19"/>
      <c r="I752" s="19"/>
      <c r="J752" s="19"/>
      <c r="K752" s="19"/>
      <c r="L752" s="2"/>
      <c r="M752" s="19"/>
      <c r="N752" s="19"/>
      <c r="O752" s="19"/>
      <c r="P752" s="19"/>
      <c r="Q752" s="91"/>
      <c r="R752" s="91"/>
      <c r="S752" s="19"/>
    </row>
    <row r="753" spans="1:19" ht="15.75" customHeight="1" x14ac:dyDescent="0.25">
      <c r="A753" s="84"/>
      <c r="B753" s="19"/>
      <c r="C753" s="92"/>
      <c r="D753" s="90"/>
      <c r="E753" s="86"/>
      <c r="F753" s="86"/>
      <c r="G753" s="86"/>
      <c r="H753" s="19"/>
      <c r="I753" s="19"/>
      <c r="J753" s="19"/>
      <c r="K753" s="19"/>
      <c r="L753" s="2"/>
      <c r="M753" s="19"/>
      <c r="N753" s="19"/>
      <c r="O753" s="19"/>
      <c r="P753" s="19"/>
      <c r="Q753" s="91"/>
      <c r="R753" s="91"/>
      <c r="S753" s="19"/>
    </row>
    <row r="754" spans="1:19" ht="15.75" customHeight="1" x14ac:dyDescent="0.25">
      <c r="A754" s="84"/>
      <c r="B754" s="19"/>
      <c r="C754" s="92"/>
      <c r="D754" s="90"/>
      <c r="E754" s="86"/>
      <c r="F754" s="86"/>
      <c r="G754" s="86"/>
      <c r="H754" s="19"/>
      <c r="I754" s="19"/>
      <c r="J754" s="19"/>
      <c r="K754" s="19"/>
      <c r="L754" s="2"/>
      <c r="M754" s="19"/>
      <c r="N754" s="19"/>
      <c r="O754" s="19"/>
      <c r="P754" s="19"/>
      <c r="Q754" s="91"/>
      <c r="R754" s="91"/>
      <c r="S754" s="19"/>
    </row>
    <row r="755" spans="1:19" ht="15.75" customHeight="1" x14ac:dyDescent="0.25">
      <c r="A755" s="84"/>
      <c r="B755" s="19"/>
      <c r="C755" s="92"/>
      <c r="D755" s="90"/>
      <c r="E755" s="86"/>
      <c r="F755" s="86"/>
      <c r="G755" s="86"/>
      <c r="H755" s="19"/>
      <c r="I755" s="19"/>
      <c r="J755" s="19"/>
      <c r="K755" s="19"/>
      <c r="L755" s="2"/>
      <c r="M755" s="19"/>
      <c r="N755" s="19"/>
      <c r="O755" s="19"/>
      <c r="P755" s="19"/>
      <c r="Q755" s="91"/>
      <c r="R755" s="91"/>
      <c r="S755" s="19"/>
    </row>
    <row r="756" spans="1:19" ht="15.75" customHeight="1" x14ac:dyDescent="0.25">
      <c r="A756" s="84"/>
      <c r="B756" s="19"/>
      <c r="C756" s="92"/>
      <c r="D756" s="90"/>
      <c r="E756" s="86"/>
      <c r="F756" s="86"/>
      <c r="G756" s="86"/>
      <c r="H756" s="19"/>
      <c r="I756" s="19"/>
      <c r="J756" s="19"/>
      <c r="K756" s="19"/>
      <c r="L756" s="2"/>
      <c r="M756" s="19"/>
      <c r="N756" s="19"/>
      <c r="O756" s="19"/>
      <c r="P756" s="19"/>
      <c r="Q756" s="91"/>
      <c r="R756" s="91"/>
      <c r="S756" s="19"/>
    </row>
    <row r="757" spans="1:19" ht="15.75" customHeight="1" x14ac:dyDescent="0.25">
      <c r="A757" s="84"/>
      <c r="B757" s="19"/>
      <c r="C757" s="92"/>
      <c r="D757" s="90"/>
      <c r="E757" s="86"/>
      <c r="F757" s="86"/>
      <c r="G757" s="86"/>
      <c r="H757" s="19"/>
      <c r="I757" s="19"/>
      <c r="J757" s="19"/>
      <c r="K757" s="19"/>
      <c r="L757" s="2"/>
      <c r="M757" s="19"/>
      <c r="N757" s="19"/>
      <c r="O757" s="19"/>
      <c r="P757" s="19"/>
      <c r="Q757" s="91"/>
      <c r="R757" s="91"/>
      <c r="S757" s="19"/>
    </row>
    <row r="758" spans="1:19" ht="15.75" customHeight="1" x14ac:dyDescent="0.25">
      <c r="A758" s="84"/>
      <c r="B758" s="19"/>
      <c r="C758" s="92"/>
      <c r="D758" s="90"/>
      <c r="E758" s="86"/>
      <c r="F758" s="86"/>
      <c r="G758" s="86"/>
      <c r="H758" s="19"/>
      <c r="I758" s="19"/>
      <c r="J758" s="19"/>
      <c r="K758" s="19"/>
      <c r="L758" s="2"/>
      <c r="M758" s="19"/>
      <c r="N758" s="19"/>
      <c r="O758" s="19"/>
      <c r="P758" s="19"/>
      <c r="Q758" s="91"/>
      <c r="R758" s="91"/>
      <c r="S758" s="19"/>
    </row>
    <row r="759" spans="1:19" ht="15.75" customHeight="1" x14ac:dyDescent="0.25">
      <c r="A759" s="84"/>
      <c r="B759" s="19"/>
      <c r="C759" s="92"/>
      <c r="D759" s="90"/>
      <c r="E759" s="86"/>
      <c r="F759" s="86"/>
      <c r="G759" s="86"/>
      <c r="H759" s="19"/>
      <c r="I759" s="19"/>
      <c r="J759" s="19"/>
      <c r="K759" s="19"/>
      <c r="L759" s="2"/>
      <c r="M759" s="19"/>
      <c r="N759" s="19"/>
      <c r="O759" s="19"/>
      <c r="P759" s="19"/>
      <c r="Q759" s="91"/>
      <c r="R759" s="91"/>
      <c r="S759" s="19"/>
    </row>
    <row r="760" spans="1:19" ht="15.75" customHeight="1" x14ac:dyDescent="0.25">
      <c r="A760" s="84"/>
      <c r="B760" s="19"/>
      <c r="C760" s="92"/>
      <c r="D760" s="90"/>
      <c r="E760" s="86"/>
      <c r="F760" s="86"/>
      <c r="G760" s="86"/>
      <c r="H760" s="19"/>
      <c r="I760" s="19"/>
      <c r="J760" s="19"/>
      <c r="K760" s="19"/>
      <c r="L760" s="2"/>
      <c r="M760" s="19"/>
      <c r="N760" s="19"/>
      <c r="O760" s="19"/>
      <c r="P760" s="19"/>
      <c r="Q760" s="91"/>
      <c r="R760" s="91"/>
      <c r="S760" s="19"/>
    </row>
    <row r="761" spans="1:19" ht="15.75" customHeight="1" x14ac:dyDescent="0.25">
      <c r="A761" s="84"/>
      <c r="B761" s="19"/>
      <c r="C761" s="92"/>
      <c r="D761" s="90"/>
      <c r="E761" s="86"/>
      <c r="F761" s="86"/>
      <c r="G761" s="86"/>
      <c r="H761" s="19"/>
      <c r="I761" s="19"/>
      <c r="J761" s="19"/>
      <c r="K761" s="19"/>
      <c r="L761" s="2"/>
      <c r="M761" s="19"/>
      <c r="N761" s="19"/>
      <c r="O761" s="19"/>
      <c r="P761" s="19"/>
      <c r="Q761" s="91"/>
      <c r="R761" s="91"/>
      <c r="S761" s="19"/>
    </row>
    <row r="762" spans="1:19" ht="15.75" customHeight="1" x14ac:dyDescent="0.25">
      <c r="A762" s="84"/>
      <c r="B762" s="19"/>
      <c r="C762" s="92"/>
      <c r="D762" s="90"/>
      <c r="E762" s="86"/>
      <c r="F762" s="86"/>
      <c r="G762" s="86"/>
      <c r="H762" s="19"/>
      <c r="I762" s="19"/>
      <c r="J762" s="19"/>
      <c r="K762" s="19"/>
      <c r="L762" s="2"/>
      <c r="M762" s="19"/>
      <c r="N762" s="19"/>
      <c r="O762" s="19"/>
      <c r="P762" s="19"/>
      <c r="Q762" s="91"/>
      <c r="R762" s="91"/>
      <c r="S762" s="19"/>
    </row>
    <row r="763" spans="1:19" ht="15.75" customHeight="1" x14ac:dyDescent="0.25">
      <c r="A763" s="84"/>
      <c r="B763" s="19"/>
      <c r="C763" s="92"/>
      <c r="D763" s="90"/>
      <c r="E763" s="86"/>
      <c r="F763" s="86"/>
      <c r="G763" s="86"/>
      <c r="H763" s="19"/>
      <c r="I763" s="19"/>
      <c r="J763" s="19"/>
      <c r="K763" s="19"/>
      <c r="L763" s="2"/>
      <c r="M763" s="19"/>
      <c r="N763" s="19"/>
      <c r="O763" s="19"/>
      <c r="P763" s="19"/>
      <c r="Q763" s="91"/>
      <c r="R763" s="91"/>
      <c r="S763" s="19"/>
    </row>
    <row r="764" spans="1:19" ht="15.75" customHeight="1" x14ac:dyDescent="0.25">
      <c r="A764" s="84"/>
      <c r="B764" s="19"/>
      <c r="C764" s="92"/>
      <c r="D764" s="90"/>
      <c r="E764" s="86"/>
      <c r="F764" s="86"/>
      <c r="G764" s="86"/>
      <c r="H764" s="19"/>
      <c r="I764" s="19"/>
      <c r="J764" s="19"/>
      <c r="K764" s="19"/>
      <c r="L764" s="2"/>
      <c r="M764" s="19"/>
      <c r="N764" s="19"/>
      <c r="O764" s="19"/>
      <c r="P764" s="19"/>
      <c r="Q764" s="91"/>
      <c r="R764" s="91"/>
      <c r="S764" s="19"/>
    </row>
    <row r="765" spans="1:19" ht="15.75" customHeight="1" x14ac:dyDescent="0.25">
      <c r="A765" s="84"/>
      <c r="B765" s="19"/>
      <c r="C765" s="92"/>
      <c r="D765" s="90"/>
      <c r="E765" s="86"/>
      <c r="F765" s="86"/>
      <c r="G765" s="86"/>
      <c r="H765" s="19"/>
      <c r="I765" s="19"/>
      <c r="J765" s="19"/>
      <c r="K765" s="19"/>
      <c r="L765" s="2"/>
      <c r="M765" s="19"/>
      <c r="N765" s="19"/>
      <c r="O765" s="19"/>
      <c r="P765" s="19"/>
      <c r="Q765" s="91"/>
      <c r="R765" s="91"/>
      <c r="S765" s="19"/>
    </row>
    <row r="766" spans="1:19" ht="15.75" customHeight="1" x14ac:dyDescent="0.25">
      <c r="A766" s="84"/>
      <c r="B766" s="19"/>
      <c r="C766" s="92"/>
      <c r="D766" s="90"/>
      <c r="E766" s="86"/>
      <c r="F766" s="86"/>
      <c r="G766" s="86"/>
      <c r="H766" s="19"/>
      <c r="I766" s="19"/>
      <c r="J766" s="19"/>
      <c r="K766" s="19"/>
      <c r="L766" s="2"/>
      <c r="M766" s="19"/>
      <c r="N766" s="19"/>
      <c r="O766" s="19"/>
      <c r="P766" s="19"/>
      <c r="Q766" s="91"/>
      <c r="R766" s="91"/>
      <c r="S766" s="19"/>
    </row>
    <row r="767" spans="1:19" ht="15.75" customHeight="1" x14ac:dyDescent="0.25">
      <c r="A767" s="84"/>
      <c r="B767" s="19"/>
      <c r="C767" s="92"/>
      <c r="D767" s="90"/>
      <c r="E767" s="86"/>
      <c r="F767" s="86"/>
      <c r="G767" s="86"/>
      <c r="H767" s="19"/>
      <c r="I767" s="19"/>
      <c r="J767" s="19"/>
      <c r="K767" s="19"/>
      <c r="L767" s="2"/>
      <c r="M767" s="19"/>
      <c r="N767" s="19"/>
      <c r="O767" s="19"/>
      <c r="P767" s="19"/>
      <c r="Q767" s="91"/>
      <c r="R767" s="91"/>
      <c r="S767" s="19"/>
    </row>
    <row r="768" spans="1:19" ht="15.75" customHeight="1" x14ac:dyDescent="0.25">
      <c r="A768" s="84"/>
      <c r="B768" s="19"/>
      <c r="C768" s="92"/>
      <c r="D768" s="90"/>
      <c r="E768" s="86"/>
      <c r="F768" s="86"/>
      <c r="G768" s="86"/>
      <c r="H768" s="19"/>
      <c r="I768" s="19"/>
      <c r="J768" s="19"/>
      <c r="K768" s="19"/>
      <c r="L768" s="2"/>
      <c r="M768" s="19"/>
      <c r="N768" s="19"/>
      <c r="O768" s="19"/>
      <c r="P768" s="19"/>
      <c r="Q768" s="91"/>
      <c r="R768" s="91"/>
      <c r="S768" s="19"/>
    </row>
    <row r="769" spans="1:19" ht="15.75" customHeight="1" x14ac:dyDescent="0.25">
      <c r="A769" s="84"/>
      <c r="B769" s="19"/>
      <c r="C769" s="92"/>
      <c r="D769" s="90"/>
      <c r="E769" s="86"/>
      <c r="F769" s="86"/>
      <c r="G769" s="86"/>
      <c r="H769" s="19"/>
      <c r="I769" s="19"/>
      <c r="J769" s="19"/>
      <c r="K769" s="19"/>
      <c r="L769" s="2"/>
      <c r="M769" s="19"/>
      <c r="N769" s="19"/>
      <c r="O769" s="19"/>
      <c r="P769" s="19"/>
      <c r="Q769" s="91"/>
      <c r="R769" s="91"/>
      <c r="S769" s="19"/>
    </row>
    <row r="770" spans="1:19" ht="15.75" customHeight="1" x14ac:dyDescent="0.25">
      <c r="A770" s="84"/>
      <c r="B770" s="19"/>
      <c r="C770" s="92"/>
      <c r="D770" s="90"/>
      <c r="E770" s="86"/>
      <c r="F770" s="86"/>
      <c r="G770" s="86"/>
      <c r="H770" s="19"/>
      <c r="I770" s="19"/>
      <c r="J770" s="19"/>
      <c r="K770" s="19"/>
      <c r="L770" s="2"/>
      <c r="M770" s="19"/>
      <c r="N770" s="19"/>
      <c r="O770" s="19"/>
      <c r="P770" s="19"/>
      <c r="Q770" s="91"/>
      <c r="R770" s="91"/>
      <c r="S770" s="19"/>
    </row>
    <row r="771" spans="1:19" ht="15.75" customHeight="1" x14ac:dyDescent="0.25">
      <c r="A771" s="84"/>
      <c r="B771" s="19"/>
      <c r="C771" s="92"/>
      <c r="D771" s="90"/>
      <c r="E771" s="86"/>
      <c r="F771" s="86"/>
      <c r="G771" s="86"/>
      <c r="H771" s="19"/>
      <c r="I771" s="19"/>
      <c r="J771" s="19"/>
      <c r="K771" s="19"/>
      <c r="L771" s="2"/>
      <c r="M771" s="19"/>
      <c r="N771" s="19"/>
      <c r="O771" s="19"/>
      <c r="P771" s="19"/>
      <c r="Q771" s="91"/>
      <c r="R771" s="91"/>
      <c r="S771" s="19"/>
    </row>
    <row r="772" spans="1:19" ht="15.75" customHeight="1" x14ac:dyDescent="0.25">
      <c r="A772" s="84"/>
      <c r="B772" s="19"/>
      <c r="C772" s="92"/>
      <c r="D772" s="90"/>
      <c r="E772" s="86"/>
      <c r="F772" s="86"/>
      <c r="G772" s="86"/>
      <c r="H772" s="19"/>
      <c r="I772" s="19"/>
      <c r="J772" s="19"/>
      <c r="K772" s="19"/>
      <c r="L772" s="2"/>
      <c r="M772" s="19"/>
      <c r="N772" s="19"/>
      <c r="O772" s="19"/>
      <c r="P772" s="19"/>
      <c r="Q772" s="91"/>
      <c r="R772" s="91"/>
      <c r="S772" s="19"/>
    </row>
    <row r="773" spans="1:19" ht="15.75" customHeight="1" x14ac:dyDescent="0.25">
      <c r="A773" s="84"/>
      <c r="B773" s="19"/>
      <c r="C773" s="92"/>
      <c r="D773" s="90"/>
      <c r="E773" s="86"/>
      <c r="F773" s="86"/>
      <c r="G773" s="86"/>
      <c r="H773" s="19"/>
      <c r="I773" s="19"/>
      <c r="J773" s="19"/>
      <c r="K773" s="19"/>
      <c r="L773" s="2"/>
      <c r="M773" s="19"/>
      <c r="N773" s="19"/>
      <c r="O773" s="19"/>
      <c r="P773" s="19"/>
      <c r="Q773" s="91"/>
      <c r="R773" s="91"/>
      <c r="S773" s="19"/>
    </row>
    <row r="774" spans="1:19" ht="15.75" customHeight="1" x14ac:dyDescent="0.25">
      <c r="A774" s="84"/>
      <c r="B774" s="19"/>
      <c r="C774" s="92"/>
      <c r="D774" s="90"/>
      <c r="E774" s="86"/>
      <c r="F774" s="86"/>
      <c r="G774" s="86"/>
      <c r="H774" s="19"/>
      <c r="I774" s="19"/>
      <c r="J774" s="19"/>
      <c r="K774" s="19"/>
      <c r="L774" s="2"/>
      <c r="M774" s="19"/>
      <c r="N774" s="19"/>
      <c r="O774" s="19"/>
      <c r="P774" s="19"/>
      <c r="Q774" s="91"/>
      <c r="R774" s="91"/>
      <c r="S774" s="19"/>
    </row>
    <row r="775" spans="1:19" ht="15.75" customHeight="1" x14ac:dyDescent="0.25">
      <c r="A775" s="84"/>
      <c r="B775" s="19"/>
      <c r="C775" s="92"/>
      <c r="D775" s="90"/>
      <c r="E775" s="86"/>
      <c r="F775" s="86"/>
      <c r="G775" s="86"/>
      <c r="H775" s="19"/>
      <c r="I775" s="19"/>
      <c r="J775" s="19"/>
      <c r="K775" s="19"/>
      <c r="L775" s="2"/>
      <c r="M775" s="19"/>
      <c r="N775" s="19"/>
      <c r="O775" s="19"/>
      <c r="P775" s="19"/>
      <c r="Q775" s="91"/>
      <c r="R775" s="91"/>
      <c r="S775" s="19"/>
    </row>
    <row r="776" spans="1:19" ht="15.75" customHeight="1" x14ac:dyDescent="0.25">
      <c r="A776" s="84"/>
      <c r="B776" s="19"/>
      <c r="C776" s="92"/>
      <c r="D776" s="90"/>
      <c r="E776" s="86"/>
      <c r="F776" s="86"/>
      <c r="G776" s="86"/>
      <c r="H776" s="19"/>
      <c r="I776" s="19"/>
      <c r="J776" s="19"/>
      <c r="K776" s="19"/>
      <c r="L776" s="2"/>
      <c r="M776" s="19"/>
      <c r="N776" s="19"/>
      <c r="O776" s="19"/>
      <c r="P776" s="19"/>
      <c r="Q776" s="91"/>
      <c r="R776" s="91"/>
      <c r="S776" s="19"/>
    </row>
    <row r="777" spans="1:19" ht="15.75" customHeight="1" x14ac:dyDescent="0.25">
      <c r="A777" s="84"/>
      <c r="B777" s="19"/>
      <c r="C777" s="92"/>
      <c r="D777" s="90"/>
      <c r="E777" s="86"/>
      <c r="F777" s="86"/>
      <c r="G777" s="86"/>
      <c r="H777" s="19"/>
      <c r="I777" s="19"/>
      <c r="J777" s="19"/>
      <c r="K777" s="19"/>
      <c r="L777" s="2"/>
      <c r="M777" s="19"/>
      <c r="N777" s="19"/>
      <c r="O777" s="19"/>
      <c r="P777" s="19"/>
      <c r="Q777" s="91"/>
      <c r="R777" s="91"/>
      <c r="S777" s="19"/>
    </row>
    <row r="778" spans="1:19" ht="15.75" customHeight="1" x14ac:dyDescent="0.25">
      <c r="A778" s="84"/>
      <c r="B778" s="19"/>
      <c r="C778" s="92"/>
      <c r="D778" s="90"/>
      <c r="E778" s="86"/>
      <c r="F778" s="86"/>
      <c r="G778" s="86"/>
      <c r="H778" s="19"/>
      <c r="I778" s="19"/>
      <c r="J778" s="19"/>
      <c r="K778" s="19"/>
      <c r="L778" s="2"/>
      <c r="M778" s="19"/>
      <c r="N778" s="19"/>
      <c r="O778" s="19"/>
      <c r="P778" s="19"/>
      <c r="Q778" s="91"/>
      <c r="R778" s="91"/>
      <c r="S778" s="19"/>
    </row>
    <row r="779" spans="1:19" ht="15.75" customHeight="1" x14ac:dyDescent="0.25">
      <c r="A779" s="84"/>
      <c r="B779" s="19"/>
      <c r="C779" s="92"/>
      <c r="D779" s="90"/>
      <c r="E779" s="86"/>
      <c r="F779" s="86"/>
      <c r="G779" s="86"/>
      <c r="H779" s="19"/>
      <c r="I779" s="19"/>
      <c r="J779" s="19"/>
      <c r="K779" s="19"/>
      <c r="L779" s="2"/>
      <c r="M779" s="19"/>
      <c r="N779" s="19"/>
      <c r="O779" s="19"/>
      <c r="P779" s="19"/>
      <c r="Q779" s="91"/>
      <c r="R779" s="91"/>
      <c r="S779" s="19"/>
    </row>
    <row r="780" spans="1:19" ht="15.75" customHeight="1" x14ac:dyDescent="0.25">
      <c r="A780" s="84"/>
      <c r="B780" s="19"/>
      <c r="C780" s="92"/>
      <c r="D780" s="90"/>
      <c r="E780" s="86"/>
      <c r="F780" s="86"/>
      <c r="G780" s="86"/>
      <c r="H780" s="19"/>
      <c r="I780" s="19"/>
      <c r="J780" s="19"/>
      <c r="K780" s="19"/>
      <c r="L780" s="2"/>
      <c r="M780" s="19"/>
      <c r="N780" s="19"/>
      <c r="O780" s="19"/>
      <c r="P780" s="19"/>
      <c r="Q780" s="91"/>
      <c r="R780" s="91"/>
      <c r="S780" s="19"/>
    </row>
    <row r="781" spans="1:19" ht="15.75" customHeight="1" x14ac:dyDescent="0.25">
      <c r="A781" s="84"/>
      <c r="B781" s="19"/>
      <c r="C781" s="92"/>
      <c r="D781" s="90"/>
      <c r="E781" s="86"/>
      <c r="F781" s="86"/>
      <c r="G781" s="86"/>
      <c r="H781" s="19"/>
      <c r="I781" s="19"/>
      <c r="J781" s="19"/>
      <c r="K781" s="19"/>
      <c r="L781" s="2"/>
      <c r="M781" s="19"/>
      <c r="N781" s="19"/>
      <c r="O781" s="19"/>
      <c r="P781" s="19"/>
      <c r="Q781" s="91"/>
      <c r="R781" s="91"/>
      <c r="S781" s="19"/>
    </row>
    <row r="782" spans="1:19" ht="15.75" customHeight="1" x14ac:dyDescent="0.25">
      <c r="A782" s="84"/>
      <c r="B782" s="19"/>
      <c r="C782" s="92"/>
      <c r="D782" s="90"/>
      <c r="E782" s="86"/>
      <c r="F782" s="86"/>
      <c r="G782" s="86"/>
      <c r="H782" s="19"/>
      <c r="I782" s="19"/>
      <c r="J782" s="19"/>
      <c r="K782" s="19"/>
      <c r="L782" s="2"/>
      <c r="M782" s="19"/>
      <c r="N782" s="19"/>
      <c r="O782" s="19"/>
      <c r="P782" s="19"/>
      <c r="Q782" s="91"/>
      <c r="R782" s="91"/>
      <c r="S782" s="19"/>
    </row>
    <row r="783" spans="1:19" ht="15.75" customHeight="1" x14ac:dyDescent="0.25">
      <c r="A783" s="84"/>
      <c r="B783" s="19"/>
      <c r="C783" s="92"/>
      <c r="D783" s="90"/>
      <c r="E783" s="86"/>
      <c r="F783" s="86"/>
      <c r="G783" s="86"/>
      <c r="H783" s="19"/>
      <c r="I783" s="19"/>
      <c r="J783" s="19"/>
      <c r="K783" s="19"/>
      <c r="L783" s="2"/>
      <c r="M783" s="19"/>
      <c r="N783" s="19"/>
      <c r="O783" s="19"/>
      <c r="P783" s="19"/>
      <c r="Q783" s="91"/>
      <c r="R783" s="91"/>
      <c r="S783" s="19"/>
    </row>
    <row r="784" spans="1:19" ht="15.75" customHeight="1" x14ac:dyDescent="0.25">
      <c r="A784" s="84"/>
      <c r="B784" s="19"/>
      <c r="C784" s="92"/>
      <c r="D784" s="90"/>
      <c r="E784" s="86"/>
      <c r="F784" s="86"/>
      <c r="G784" s="86"/>
      <c r="H784" s="19"/>
      <c r="I784" s="19"/>
      <c r="J784" s="19"/>
      <c r="K784" s="19"/>
      <c r="L784" s="2"/>
      <c r="M784" s="19"/>
      <c r="N784" s="19"/>
      <c r="O784" s="19"/>
      <c r="P784" s="19"/>
      <c r="Q784" s="91"/>
      <c r="R784" s="91"/>
      <c r="S784" s="19"/>
    </row>
    <row r="785" spans="1:19" ht="15.75" customHeight="1" x14ac:dyDescent="0.25">
      <c r="A785" s="84"/>
      <c r="B785" s="19"/>
      <c r="C785" s="92"/>
      <c r="D785" s="90"/>
      <c r="E785" s="86"/>
      <c r="F785" s="86"/>
      <c r="G785" s="86"/>
      <c r="H785" s="19"/>
      <c r="I785" s="19"/>
      <c r="J785" s="19"/>
      <c r="K785" s="19"/>
      <c r="L785" s="2"/>
      <c r="M785" s="19"/>
      <c r="N785" s="19"/>
      <c r="O785" s="19"/>
      <c r="P785" s="19"/>
      <c r="Q785" s="91"/>
      <c r="R785" s="91"/>
      <c r="S785" s="19"/>
    </row>
    <row r="786" spans="1:19" ht="15.75" customHeight="1" x14ac:dyDescent="0.25">
      <c r="A786" s="84"/>
      <c r="B786" s="19"/>
      <c r="C786" s="92"/>
      <c r="D786" s="90"/>
      <c r="E786" s="86"/>
      <c r="F786" s="86"/>
      <c r="G786" s="86"/>
      <c r="H786" s="19"/>
      <c r="I786" s="19"/>
      <c r="J786" s="19"/>
      <c r="K786" s="19"/>
      <c r="L786" s="2"/>
      <c r="M786" s="19"/>
      <c r="N786" s="19"/>
      <c r="O786" s="19"/>
      <c r="P786" s="19"/>
      <c r="Q786" s="91"/>
      <c r="R786" s="91"/>
      <c r="S786" s="19"/>
    </row>
    <row r="787" spans="1:19" ht="15.75" customHeight="1" x14ac:dyDescent="0.25">
      <c r="A787" s="84"/>
      <c r="B787" s="19"/>
      <c r="C787" s="92"/>
      <c r="D787" s="90"/>
      <c r="E787" s="86"/>
      <c r="F787" s="86"/>
      <c r="G787" s="86"/>
      <c r="H787" s="19"/>
      <c r="I787" s="19"/>
      <c r="J787" s="19"/>
      <c r="K787" s="19"/>
      <c r="L787" s="2"/>
      <c r="M787" s="19"/>
      <c r="N787" s="19"/>
      <c r="O787" s="19"/>
      <c r="P787" s="19"/>
      <c r="Q787" s="91"/>
      <c r="R787" s="91"/>
      <c r="S787" s="19"/>
    </row>
    <row r="788" spans="1:19" ht="15.75" customHeight="1" x14ac:dyDescent="0.25">
      <c r="A788" s="84"/>
      <c r="B788" s="19"/>
      <c r="C788" s="92"/>
      <c r="D788" s="90"/>
      <c r="E788" s="86"/>
      <c r="F788" s="86"/>
      <c r="G788" s="86"/>
      <c r="H788" s="19"/>
      <c r="I788" s="19"/>
      <c r="J788" s="19"/>
      <c r="K788" s="19"/>
      <c r="L788" s="2"/>
      <c r="M788" s="19"/>
      <c r="N788" s="19"/>
      <c r="O788" s="19"/>
      <c r="P788" s="19"/>
      <c r="Q788" s="91"/>
      <c r="R788" s="91"/>
      <c r="S788" s="19"/>
    </row>
    <row r="789" spans="1:19" ht="15.75" customHeight="1" x14ac:dyDescent="0.25">
      <c r="A789" s="84"/>
      <c r="B789" s="19"/>
      <c r="C789" s="92"/>
      <c r="D789" s="90"/>
      <c r="E789" s="86"/>
      <c r="F789" s="86"/>
      <c r="G789" s="86"/>
      <c r="H789" s="19"/>
      <c r="I789" s="19"/>
      <c r="J789" s="19"/>
      <c r="K789" s="19"/>
      <c r="L789" s="2"/>
      <c r="M789" s="19"/>
      <c r="N789" s="19"/>
      <c r="O789" s="19"/>
      <c r="P789" s="19"/>
      <c r="Q789" s="91"/>
      <c r="R789" s="91"/>
      <c r="S789" s="19"/>
    </row>
    <row r="790" spans="1:19" ht="15.75" customHeight="1" x14ac:dyDescent="0.25">
      <c r="A790" s="84"/>
      <c r="B790" s="19"/>
      <c r="C790" s="92"/>
      <c r="D790" s="90"/>
      <c r="E790" s="86"/>
      <c r="F790" s="86"/>
      <c r="G790" s="86"/>
      <c r="H790" s="19"/>
      <c r="I790" s="19"/>
      <c r="J790" s="19"/>
      <c r="K790" s="19"/>
      <c r="L790" s="2"/>
      <c r="M790" s="19"/>
      <c r="N790" s="19"/>
      <c r="O790" s="19"/>
      <c r="P790" s="19"/>
      <c r="Q790" s="91"/>
      <c r="R790" s="91"/>
      <c r="S790" s="19"/>
    </row>
    <row r="791" spans="1:19" ht="15.75" customHeight="1" x14ac:dyDescent="0.25">
      <c r="A791" s="84"/>
      <c r="B791" s="19"/>
      <c r="C791" s="92"/>
      <c r="D791" s="90"/>
      <c r="E791" s="86"/>
      <c r="F791" s="86"/>
      <c r="G791" s="86"/>
      <c r="H791" s="19"/>
      <c r="I791" s="19"/>
      <c r="J791" s="19"/>
      <c r="K791" s="19"/>
      <c r="L791" s="2"/>
      <c r="M791" s="19"/>
      <c r="N791" s="19"/>
      <c r="O791" s="19"/>
      <c r="P791" s="19"/>
      <c r="Q791" s="91"/>
      <c r="R791" s="91"/>
      <c r="S791" s="19"/>
    </row>
    <row r="792" spans="1:19" ht="15.75" customHeight="1" x14ac:dyDescent="0.25">
      <c r="A792" s="84"/>
      <c r="B792" s="19"/>
      <c r="C792" s="92"/>
      <c r="D792" s="90"/>
      <c r="E792" s="86"/>
      <c r="F792" s="86"/>
      <c r="G792" s="86"/>
      <c r="H792" s="19"/>
      <c r="I792" s="19"/>
      <c r="J792" s="19"/>
      <c r="K792" s="19"/>
      <c r="L792" s="2"/>
      <c r="M792" s="19"/>
      <c r="N792" s="19"/>
      <c r="O792" s="19"/>
      <c r="P792" s="19"/>
      <c r="Q792" s="91"/>
      <c r="R792" s="91"/>
      <c r="S792" s="19"/>
    </row>
    <row r="793" spans="1:19" ht="15.75" customHeight="1" x14ac:dyDescent="0.25">
      <c r="A793" s="84"/>
      <c r="B793" s="19"/>
      <c r="C793" s="92"/>
      <c r="D793" s="90"/>
      <c r="E793" s="86"/>
      <c r="F793" s="86"/>
      <c r="G793" s="86"/>
      <c r="H793" s="19"/>
      <c r="I793" s="19"/>
      <c r="J793" s="19"/>
      <c r="K793" s="19"/>
      <c r="L793" s="2"/>
      <c r="M793" s="19"/>
      <c r="N793" s="19"/>
      <c r="O793" s="19"/>
      <c r="P793" s="19"/>
      <c r="Q793" s="91"/>
      <c r="R793" s="91"/>
      <c r="S793" s="19"/>
    </row>
    <row r="794" spans="1:19" ht="15.75" customHeight="1" x14ac:dyDescent="0.25">
      <c r="A794" s="84"/>
      <c r="B794" s="19"/>
      <c r="C794" s="92"/>
      <c r="D794" s="90"/>
      <c r="E794" s="86"/>
      <c r="F794" s="86"/>
      <c r="G794" s="86"/>
      <c r="H794" s="19"/>
      <c r="I794" s="19"/>
      <c r="J794" s="19"/>
      <c r="K794" s="19"/>
      <c r="L794" s="2"/>
      <c r="M794" s="19"/>
      <c r="N794" s="19"/>
      <c r="O794" s="19"/>
      <c r="P794" s="19"/>
      <c r="Q794" s="91"/>
      <c r="R794" s="91"/>
      <c r="S794" s="19"/>
    </row>
    <row r="795" spans="1:19" ht="15.75" customHeight="1" x14ac:dyDescent="0.25">
      <c r="A795" s="84"/>
      <c r="B795" s="19"/>
      <c r="C795" s="92"/>
      <c r="D795" s="90"/>
      <c r="E795" s="86"/>
      <c r="F795" s="86"/>
      <c r="G795" s="86"/>
      <c r="H795" s="19"/>
      <c r="I795" s="19"/>
      <c r="J795" s="19"/>
      <c r="K795" s="19"/>
      <c r="L795" s="2"/>
      <c r="M795" s="19"/>
      <c r="N795" s="19"/>
      <c r="O795" s="19"/>
      <c r="P795" s="19"/>
      <c r="Q795" s="91"/>
      <c r="R795" s="91"/>
      <c r="S795" s="19"/>
    </row>
    <row r="796" spans="1:19" ht="15.75" customHeight="1" x14ac:dyDescent="0.25">
      <c r="A796" s="84"/>
      <c r="B796" s="19"/>
      <c r="C796" s="92"/>
      <c r="D796" s="90"/>
      <c r="E796" s="86"/>
      <c r="F796" s="86"/>
      <c r="G796" s="86"/>
      <c r="H796" s="19"/>
      <c r="I796" s="19"/>
      <c r="J796" s="19"/>
      <c r="K796" s="19"/>
      <c r="L796" s="2"/>
      <c r="M796" s="19"/>
      <c r="N796" s="19"/>
      <c r="O796" s="19"/>
      <c r="P796" s="19"/>
      <c r="Q796" s="91"/>
      <c r="R796" s="91"/>
      <c r="S796" s="19"/>
    </row>
    <row r="797" spans="1:19" ht="15.75" customHeight="1" x14ac:dyDescent="0.25">
      <c r="A797" s="84"/>
      <c r="B797" s="19"/>
      <c r="C797" s="92"/>
      <c r="D797" s="90"/>
      <c r="E797" s="86"/>
      <c r="F797" s="86"/>
      <c r="G797" s="86"/>
      <c r="H797" s="19"/>
      <c r="I797" s="19"/>
      <c r="J797" s="19"/>
      <c r="K797" s="19"/>
      <c r="L797" s="2"/>
      <c r="M797" s="19"/>
      <c r="N797" s="19"/>
      <c r="O797" s="19"/>
      <c r="P797" s="19"/>
      <c r="Q797" s="91"/>
      <c r="R797" s="91"/>
      <c r="S797" s="19"/>
    </row>
    <row r="798" spans="1:19" ht="15.75" customHeight="1" x14ac:dyDescent="0.25">
      <c r="A798" s="84"/>
      <c r="B798" s="19"/>
      <c r="C798" s="92"/>
      <c r="D798" s="90"/>
      <c r="E798" s="86"/>
      <c r="F798" s="86"/>
      <c r="G798" s="86"/>
      <c r="H798" s="19"/>
      <c r="I798" s="19"/>
      <c r="J798" s="19"/>
      <c r="K798" s="19"/>
      <c r="L798" s="2"/>
      <c r="M798" s="19"/>
      <c r="N798" s="19"/>
      <c r="O798" s="19"/>
      <c r="P798" s="19"/>
      <c r="Q798" s="91"/>
      <c r="R798" s="91"/>
      <c r="S798" s="19"/>
    </row>
    <row r="799" spans="1:19" ht="15.75" customHeight="1" x14ac:dyDescent="0.25">
      <c r="A799" s="84"/>
      <c r="B799" s="19"/>
      <c r="C799" s="92"/>
      <c r="D799" s="90"/>
      <c r="E799" s="86"/>
      <c r="F799" s="86"/>
      <c r="G799" s="86"/>
      <c r="H799" s="19"/>
      <c r="I799" s="19"/>
      <c r="J799" s="19"/>
      <c r="K799" s="19"/>
      <c r="L799" s="2"/>
      <c r="M799" s="19"/>
      <c r="N799" s="19"/>
      <c r="O799" s="19"/>
      <c r="P799" s="19"/>
      <c r="Q799" s="91"/>
      <c r="R799" s="91"/>
      <c r="S799" s="19"/>
    </row>
    <row r="800" spans="1:19" ht="15.75" customHeight="1" x14ac:dyDescent="0.25">
      <c r="A800" s="84"/>
      <c r="B800" s="19"/>
      <c r="C800" s="92"/>
      <c r="D800" s="90"/>
      <c r="E800" s="86"/>
      <c r="F800" s="86"/>
      <c r="G800" s="86"/>
      <c r="H800" s="19"/>
      <c r="I800" s="19"/>
      <c r="J800" s="19"/>
      <c r="K800" s="19"/>
      <c r="L800" s="2"/>
      <c r="M800" s="19"/>
      <c r="N800" s="19"/>
      <c r="O800" s="19"/>
      <c r="P800" s="19"/>
      <c r="Q800" s="91"/>
      <c r="R800" s="91"/>
      <c r="S800" s="19"/>
    </row>
    <row r="801" spans="1:19" ht="15.75" customHeight="1" x14ac:dyDescent="0.25">
      <c r="A801" s="84"/>
      <c r="B801" s="19"/>
      <c r="C801" s="92"/>
      <c r="D801" s="90"/>
      <c r="E801" s="86"/>
      <c r="F801" s="86"/>
      <c r="G801" s="86"/>
      <c r="H801" s="19"/>
      <c r="I801" s="19"/>
      <c r="J801" s="19"/>
      <c r="K801" s="19"/>
      <c r="L801" s="2"/>
      <c r="M801" s="19"/>
      <c r="N801" s="19"/>
      <c r="O801" s="19"/>
      <c r="P801" s="19"/>
      <c r="Q801" s="91"/>
      <c r="R801" s="91"/>
      <c r="S801" s="19"/>
    </row>
    <row r="802" spans="1:19" ht="15.75" customHeight="1" x14ac:dyDescent="0.25">
      <c r="A802" s="84"/>
      <c r="B802" s="19"/>
      <c r="C802" s="92"/>
      <c r="D802" s="90"/>
      <c r="E802" s="86"/>
      <c r="F802" s="86"/>
      <c r="G802" s="86"/>
      <c r="H802" s="19"/>
      <c r="I802" s="19"/>
      <c r="J802" s="19"/>
      <c r="K802" s="19"/>
      <c r="L802" s="2"/>
      <c r="M802" s="19"/>
      <c r="N802" s="19"/>
      <c r="O802" s="19"/>
      <c r="P802" s="19"/>
      <c r="Q802" s="91"/>
      <c r="R802" s="91"/>
      <c r="S802" s="19"/>
    </row>
    <row r="803" spans="1:19" ht="15.75" customHeight="1" x14ac:dyDescent="0.25">
      <c r="A803" s="84"/>
      <c r="B803" s="19"/>
      <c r="C803" s="92"/>
      <c r="D803" s="90"/>
      <c r="E803" s="86"/>
      <c r="F803" s="86"/>
      <c r="G803" s="86"/>
      <c r="H803" s="19"/>
      <c r="I803" s="19"/>
      <c r="J803" s="19"/>
      <c r="K803" s="19"/>
      <c r="L803" s="2"/>
      <c r="M803" s="19"/>
      <c r="N803" s="19"/>
      <c r="O803" s="19"/>
      <c r="P803" s="19"/>
      <c r="Q803" s="91"/>
      <c r="R803" s="91"/>
      <c r="S803" s="19"/>
    </row>
    <row r="804" spans="1:19" ht="15.75" customHeight="1" x14ac:dyDescent="0.25">
      <c r="A804" s="84"/>
      <c r="B804" s="19"/>
      <c r="C804" s="92"/>
      <c r="D804" s="90"/>
      <c r="E804" s="86"/>
      <c r="F804" s="86"/>
      <c r="G804" s="86"/>
      <c r="H804" s="19"/>
      <c r="I804" s="19"/>
      <c r="J804" s="19"/>
      <c r="K804" s="19"/>
      <c r="L804" s="2"/>
      <c r="M804" s="19"/>
      <c r="N804" s="19"/>
      <c r="O804" s="19"/>
      <c r="P804" s="19"/>
      <c r="Q804" s="91"/>
      <c r="R804" s="91"/>
      <c r="S804" s="19"/>
    </row>
    <row r="805" spans="1:19" ht="15.75" customHeight="1" x14ac:dyDescent="0.25">
      <c r="A805" s="84"/>
      <c r="B805" s="19"/>
      <c r="C805" s="92"/>
      <c r="D805" s="90"/>
      <c r="E805" s="86"/>
      <c r="F805" s="86"/>
      <c r="G805" s="86"/>
      <c r="H805" s="19"/>
      <c r="I805" s="19"/>
      <c r="J805" s="19"/>
      <c r="K805" s="19"/>
      <c r="L805" s="2"/>
      <c r="M805" s="19"/>
      <c r="N805" s="19"/>
      <c r="O805" s="19"/>
      <c r="P805" s="19"/>
      <c r="Q805" s="91"/>
      <c r="R805" s="91"/>
      <c r="S805" s="19"/>
    </row>
    <row r="806" spans="1:19" ht="15.75" customHeight="1" x14ac:dyDescent="0.25">
      <c r="A806" s="84"/>
      <c r="B806" s="19"/>
      <c r="C806" s="92"/>
      <c r="D806" s="90"/>
      <c r="E806" s="86"/>
      <c r="F806" s="86"/>
      <c r="G806" s="86"/>
      <c r="H806" s="19"/>
      <c r="I806" s="19"/>
      <c r="J806" s="19"/>
      <c r="K806" s="19"/>
      <c r="L806" s="2"/>
      <c r="M806" s="19"/>
      <c r="N806" s="19"/>
      <c r="O806" s="19"/>
      <c r="P806" s="19"/>
      <c r="Q806" s="91"/>
      <c r="R806" s="91"/>
      <c r="S806" s="19"/>
    </row>
    <row r="807" spans="1:19" ht="15.75" customHeight="1" x14ac:dyDescent="0.25">
      <c r="A807" s="84"/>
      <c r="B807" s="19"/>
      <c r="C807" s="92"/>
      <c r="D807" s="90"/>
      <c r="E807" s="86"/>
      <c r="F807" s="86"/>
      <c r="G807" s="86"/>
      <c r="H807" s="19"/>
      <c r="I807" s="19"/>
      <c r="J807" s="19"/>
      <c r="K807" s="19"/>
      <c r="L807" s="2"/>
      <c r="M807" s="19"/>
      <c r="N807" s="19"/>
      <c r="O807" s="19"/>
      <c r="P807" s="19"/>
      <c r="Q807" s="91"/>
      <c r="R807" s="91"/>
      <c r="S807" s="19"/>
    </row>
    <row r="808" spans="1:19" ht="15.75" customHeight="1" x14ac:dyDescent="0.25">
      <c r="A808" s="84"/>
      <c r="B808" s="19"/>
      <c r="C808" s="92"/>
      <c r="D808" s="90"/>
      <c r="E808" s="86"/>
      <c r="F808" s="86"/>
      <c r="G808" s="86"/>
      <c r="H808" s="19"/>
      <c r="I808" s="19"/>
      <c r="J808" s="19"/>
      <c r="K808" s="19"/>
      <c r="L808" s="2"/>
      <c r="M808" s="19"/>
      <c r="N808" s="19"/>
      <c r="O808" s="19"/>
      <c r="P808" s="19"/>
      <c r="Q808" s="91"/>
      <c r="R808" s="91"/>
      <c r="S808" s="19"/>
    </row>
    <row r="809" spans="1:19" ht="15.75" customHeight="1" x14ac:dyDescent="0.25">
      <c r="A809" s="84"/>
      <c r="B809" s="19"/>
      <c r="C809" s="92"/>
      <c r="D809" s="90"/>
      <c r="E809" s="86"/>
      <c r="F809" s="86"/>
      <c r="G809" s="86"/>
      <c r="H809" s="19"/>
      <c r="I809" s="19"/>
      <c r="J809" s="19"/>
      <c r="K809" s="19"/>
      <c r="L809" s="2"/>
      <c r="M809" s="19"/>
      <c r="N809" s="19"/>
      <c r="O809" s="19"/>
      <c r="P809" s="19"/>
      <c r="Q809" s="91"/>
      <c r="R809" s="91"/>
      <c r="S809" s="19"/>
    </row>
    <row r="810" spans="1:19" ht="15.75" customHeight="1" x14ac:dyDescent="0.25">
      <c r="A810" s="84"/>
      <c r="B810" s="19"/>
      <c r="C810" s="92"/>
      <c r="D810" s="90"/>
      <c r="E810" s="86"/>
      <c r="F810" s="86"/>
      <c r="G810" s="86"/>
      <c r="H810" s="19"/>
      <c r="I810" s="19"/>
      <c r="J810" s="19"/>
      <c r="K810" s="19"/>
      <c r="L810" s="2"/>
      <c r="M810" s="19"/>
      <c r="N810" s="19"/>
      <c r="O810" s="19"/>
      <c r="P810" s="19"/>
      <c r="Q810" s="91"/>
      <c r="R810" s="91"/>
      <c r="S810" s="19"/>
    </row>
    <row r="811" spans="1:19" ht="15.75" customHeight="1" x14ac:dyDescent="0.25">
      <c r="A811" s="84"/>
      <c r="B811" s="19"/>
      <c r="C811" s="92"/>
      <c r="D811" s="90"/>
      <c r="E811" s="86"/>
      <c r="F811" s="86"/>
      <c r="G811" s="86"/>
      <c r="H811" s="19"/>
      <c r="I811" s="19"/>
      <c r="J811" s="19"/>
      <c r="K811" s="19"/>
      <c r="L811" s="2"/>
      <c r="M811" s="19"/>
      <c r="N811" s="19"/>
      <c r="O811" s="19"/>
      <c r="P811" s="19"/>
      <c r="Q811" s="91"/>
      <c r="R811" s="91"/>
      <c r="S811" s="19"/>
    </row>
    <row r="812" spans="1:19" ht="15.75" customHeight="1" x14ac:dyDescent="0.25">
      <c r="A812" s="84"/>
      <c r="B812" s="19"/>
      <c r="C812" s="92"/>
      <c r="D812" s="90"/>
      <c r="E812" s="86"/>
      <c r="F812" s="86"/>
      <c r="G812" s="86"/>
      <c r="H812" s="19"/>
      <c r="I812" s="19"/>
      <c r="J812" s="19"/>
      <c r="K812" s="19"/>
      <c r="L812" s="2"/>
      <c r="M812" s="19"/>
      <c r="N812" s="19"/>
      <c r="O812" s="19"/>
      <c r="P812" s="19"/>
      <c r="Q812" s="91"/>
      <c r="R812" s="91"/>
      <c r="S812" s="19"/>
    </row>
    <row r="813" spans="1:19" ht="15.75" customHeight="1" x14ac:dyDescent="0.25">
      <c r="A813" s="84"/>
      <c r="B813" s="19"/>
      <c r="C813" s="92"/>
      <c r="D813" s="90"/>
      <c r="E813" s="86"/>
      <c r="F813" s="86"/>
      <c r="G813" s="86"/>
      <c r="H813" s="19"/>
      <c r="I813" s="19"/>
      <c r="J813" s="19"/>
      <c r="K813" s="19"/>
      <c r="L813" s="2"/>
      <c r="M813" s="19"/>
      <c r="N813" s="19"/>
      <c r="O813" s="19"/>
      <c r="P813" s="19"/>
      <c r="Q813" s="91"/>
      <c r="R813" s="91"/>
      <c r="S813" s="19"/>
    </row>
    <row r="814" spans="1:19" ht="15.75" customHeight="1" x14ac:dyDescent="0.25">
      <c r="A814" s="84"/>
      <c r="B814" s="19"/>
      <c r="C814" s="92"/>
      <c r="D814" s="90"/>
      <c r="E814" s="86"/>
      <c r="F814" s="86"/>
      <c r="G814" s="86"/>
      <c r="H814" s="19"/>
      <c r="I814" s="19"/>
      <c r="J814" s="19"/>
      <c r="K814" s="19"/>
      <c r="L814" s="2"/>
      <c r="M814" s="19"/>
      <c r="N814" s="19"/>
      <c r="O814" s="19"/>
      <c r="P814" s="19"/>
      <c r="Q814" s="91"/>
      <c r="R814" s="91"/>
      <c r="S814" s="19"/>
    </row>
    <row r="815" spans="1:19" ht="15.75" customHeight="1" x14ac:dyDescent="0.25">
      <c r="A815" s="84"/>
      <c r="B815" s="19"/>
      <c r="C815" s="92"/>
      <c r="D815" s="90"/>
      <c r="E815" s="86"/>
      <c r="F815" s="86"/>
      <c r="G815" s="86"/>
      <c r="H815" s="19"/>
      <c r="I815" s="19"/>
      <c r="J815" s="19"/>
      <c r="K815" s="19"/>
      <c r="L815" s="2"/>
      <c r="M815" s="19"/>
      <c r="N815" s="19"/>
      <c r="O815" s="19"/>
      <c r="P815" s="19"/>
      <c r="Q815" s="91"/>
      <c r="R815" s="91"/>
      <c r="S815" s="19"/>
    </row>
    <row r="816" spans="1:19" ht="15.75" customHeight="1" x14ac:dyDescent="0.25">
      <c r="A816" s="84"/>
      <c r="B816" s="19"/>
      <c r="C816" s="92"/>
      <c r="D816" s="90"/>
      <c r="E816" s="86"/>
      <c r="F816" s="86"/>
      <c r="G816" s="86"/>
      <c r="H816" s="19"/>
      <c r="I816" s="19"/>
      <c r="J816" s="19"/>
      <c r="K816" s="19"/>
      <c r="L816" s="2"/>
      <c r="M816" s="19"/>
      <c r="N816" s="19"/>
      <c r="O816" s="19"/>
      <c r="P816" s="19"/>
      <c r="Q816" s="91"/>
      <c r="R816" s="91"/>
      <c r="S816" s="19"/>
    </row>
    <row r="817" spans="1:19" ht="15.75" customHeight="1" x14ac:dyDescent="0.25">
      <c r="A817" s="84"/>
      <c r="B817" s="19"/>
      <c r="C817" s="92"/>
      <c r="D817" s="90"/>
      <c r="E817" s="86"/>
      <c r="F817" s="86"/>
      <c r="G817" s="86"/>
      <c r="H817" s="19"/>
      <c r="I817" s="19"/>
      <c r="J817" s="19"/>
      <c r="K817" s="19"/>
      <c r="L817" s="2"/>
      <c r="M817" s="19"/>
      <c r="N817" s="19"/>
      <c r="O817" s="19"/>
      <c r="P817" s="19"/>
      <c r="Q817" s="91"/>
      <c r="R817" s="91"/>
      <c r="S817" s="19"/>
    </row>
    <row r="818" spans="1:19" ht="15.75" customHeight="1" x14ac:dyDescent="0.25">
      <c r="A818" s="84"/>
      <c r="B818" s="19"/>
      <c r="C818" s="92"/>
      <c r="D818" s="90"/>
      <c r="E818" s="86"/>
      <c r="F818" s="86"/>
      <c r="G818" s="86"/>
      <c r="H818" s="19"/>
      <c r="I818" s="19"/>
      <c r="J818" s="19"/>
      <c r="K818" s="19"/>
      <c r="L818" s="2"/>
      <c r="M818" s="19"/>
      <c r="N818" s="19"/>
      <c r="O818" s="19"/>
      <c r="P818" s="19"/>
      <c r="Q818" s="91"/>
      <c r="R818" s="91"/>
      <c r="S818" s="19"/>
    </row>
    <row r="819" spans="1:19" ht="15.75" customHeight="1" x14ac:dyDescent="0.25">
      <c r="A819" s="84"/>
      <c r="B819" s="19"/>
      <c r="C819" s="92"/>
      <c r="D819" s="90"/>
      <c r="E819" s="86"/>
      <c r="F819" s="86"/>
      <c r="G819" s="86"/>
      <c r="H819" s="19"/>
      <c r="I819" s="19"/>
      <c r="J819" s="19"/>
      <c r="K819" s="19"/>
      <c r="L819" s="2"/>
      <c r="M819" s="19"/>
      <c r="N819" s="19"/>
      <c r="O819" s="19"/>
      <c r="P819" s="19"/>
      <c r="Q819" s="91"/>
      <c r="R819" s="91"/>
      <c r="S819" s="19"/>
    </row>
    <row r="820" spans="1:19" ht="15.75" customHeight="1" x14ac:dyDescent="0.25">
      <c r="A820" s="84"/>
      <c r="B820" s="19"/>
      <c r="C820" s="92"/>
      <c r="D820" s="90"/>
      <c r="E820" s="86"/>
      <c r="F820" s="86"/>
      <c r="G820" s="86"/>
      <c r="H820" s="19"/>
      <c r="I820" s="19"/>
      <c r="J820" s="19"/>
      <c r="K820" s="19"/>
      <c r="L820" s="2"/>
      <c r="M820" s="19"/>
      <c r="N820" s="19"/>
      <c r="O820" s="19"/>
      <c r="P820" s="19"/>
      <c r="Q820" s="91"/>
      <c r="R820" s="91"/>
      <c r="S820" s="19"/>
    </row>
    <row r="821" spans="1:19" ht="15.75" customHeight="1" x14ac:dyDescent="0.25">
      <c r="A821" s="84"/>
      <c r="B821" s="19"/>
      <c r="C821" s="92"/>
      <c r="D821" s="90"/>
      <c r="E821" s="86"/>
      <c r="F821" s="86"/>
      <c r="G821" s="86"/>
      <c r="H821" s="19"/>
      <c r="I821" s="19"/>
      <c r="J821" s="19"/>
      <c r="K821" s="19"/>
      <c r="L821" s="2"/>
      <c r="M821" s="19"/>
      <c r="N821" s="19"/>
      <c r="O821" s="19"/>
      <c r="P821" s="19"/>
      <c r="Q821" s="91"/>
      <c r="R821" s="91"/>
      <c r="S821" s="19"/>
    </row>
    <row r="822" spans="1:19" ht="15.75" customHeight="1" x14ac:dyDescent="0.25">
      <c r="A822" s="84"/>
      <c r="B822" s="19"/>
      <c r="C822" s="92"/>
      <c r="D822" s="90"/>
      <c r="E822" s="86"/>
      <c r="F822" s="86"/>
      <c r="G822" s="86"/>
      <c r="H822" s="19"/>
      <c r="I822" s="19"/>
      <c r="J822" s="19"/>
      <c r="K822" s="19"/>
      <c r="L822" s="2"/>
      <c r="M822" s="19"/>
      <c r="N822" s="19"/>
      <c r="O822" s="19"/>
      <c r="P822" s="19"/>
      <c r="Q822" s="91"/>
      <c r="R822" s="91"/>
      <c r="S822" s="19"/>
    </row>
    <row r="823" spans="1:19" ht="15.75" customHeight="1" x14ac:dyDescent="0.25">
      <c r="A823" s="84"/>
      <c r="B823" s="19"/>
      <c r="C823" s="92"/>
      <c r="D823" s="90"/>
      <c r="E823" s="86"/>
      <c r="F823" s="86"/>
      <c r="G823" s="86"/>
      <c r="H823" s="19"/>
      <c r="I823" s="19"/>
      <c r="J823" s="19"/>
      <c r="K823" s="19"/>
      <c r="L823" s="2"/>
      <c r="M823" s="19"/>
      <c r="N823" s="19"/>
      <c r="O823" s="19"/>
      <c r="P823" s="19"/>
      <c r="Q823" s="91"/>
      <c r="R823" s="91"/>
      <c r="S823" s="19"/>
    </row>
    <row r="824" spans="1:19" ht="15.75" customHeight="1" x14ac:dyDescent="0.25">
      <c r="A824" s="84"/>
      <c r="B824" s="19"/>
      <c r="C824" s="92"/>
      <c r="D824" s="90"/>
      <c r="E824" s="86"/>
      <c r="F824" s="86"/>
      <c r="G824" s="86"/>
      <c r="H824" s="19"/>
      <c r="I824" s="19"/>
      <c r="J824" s="19"/>
      <c r="K824" s="19"/>
      <c r="L824" s="2"/>
      <c r="M824" s="19"/>
      <c r="N824" s="19"/>
      <c r="O824" s="19"/>
      <c r="P824" s="19"/>
      <c r="Q824" s="91"/>
      <c r="R824" s="91"/>
      <c r="S824" s="19"/>
    </row>
    <row r="825" spans="1:19" ht="15.75" customHeight="1" x14ac:dyDescent="0.25">
      <c r="A825" s="84"/>
      <c r="B825" s="19"/>
      <c r="C825" s="92"/>
      <c r="D825" s="90"/>
      <c r="E825" s="86"/>
      <c r="F825" s="86"/>
      <c r="G825" s="86"/>
      <c r="H825" s="19"/>
      <c r="I825" s="19"/>
      <c r="J825" s="19"/>
      <c r="K825" s="19"/>
      <c r="L825" s="2"/>
      <c r="M825" s="19"/>
      <c r="N825" s="19"/>
      <c r="O825" s="19"/>
      <c r="P825" s="19"/>
      <c r="Q825" s="91"/>
      <c r="R825" s="91"/>
      <c r="S825" s="19"/>
    </row>
    <row r="826" spans="1:19" ht="15.75" customHeight="1" x14ac:dyDescent="0.25">
      <c r="A826" s="84"/>
      <c r="B826" s="19"/>
      <c r="C826" s="92"/>
      <c r="D826" s="90"/>
      <c r="E826" s="86"/>
      <c r="F826" s="86"/>
      <c r="G826" s="86"/>
      <c r="H826" s="19"/>
      <c r="I826" s="19"/>
      <c r="J826" s="19"/>
      <c r="K826" s="19"/>
      <c r="L826" s="2"/>
      <c r="M826" s="19"/>
      <c r="N826" s="19"/>
      <c r="O826" s="19"/>
      <c r="P826" s="19"/>
      <c r="Q826" s="91"/>
      <c r="R826" s="91"/>
      <c r="S826" s="19"/>
    </row>
    <row r="827" spans="1:19" ht="15.75" customHeight="1" x14ac:dyDescent="0.25">
      <c r="A827" s="84"/>
      <c r="B827" s="19"/>
      <c r="C827" s="92"/>
      <c r="D827" s="90"/>
      <c r="E827" s="86"/>
      <c r="F827" s="86"/>
      <c r="G827" s="86"/>
      <c r="H827" s="19"/>
      <c r="I827" s="19"/>
      <c r="J827" s="19"/>
      <c r="K827" s="19"/>
      <c r="L827" s="2"/>
      <c r="M827" s="19"/>
      <c r="N827" s="19"/>
      <c r="O827" s="19"/>
      <c r="P827" s="19"/>
      <c r="Q827" s="91"/>
      <c r="R827" s="91"/>
      <c r="S827" s="19"/>
    </row>
    <row r="828" spans="1:19" ht="15.75" customHeight="1" x14ac:dyDescent="0.25">
      <c r="A828" s="84"/>
      <c r="B828" s="19"/>
      <c r="C828" s="92"/>
      <c r="D828" s="90"/>
      <c r="E828" s="86"/>
      <c r="F828" s="86"/>
      <c r="G828" s="86"/>
      <c r="H828" s="19"/>
      <c r="I828" s="19"/>
      <c r="J828" s="19"/>
      <c r="K828" s="19"/>
      <c r="L828" s="2"/>
      <c r="M828" s="19"/>
      <c r="N828" s="19"/>
      <c r="O828" s="19"/>
      <c r="P828" s="19"/>
      <c r="Q828" s="91"/>
      <c r="R828" s="91"/>
      <c r="S828" s="19"/>
    </row>
    <row r="829" spans="1:19" ht="15.75" customHeight="1" x14ac:dyDescent="0.25">
      <c r="A829" s="84"/>
      <c r="B829" s="19"/>
      <c r="C829" s="92"/>
      <c r="D829" s="90"/>
      <c r="E829" s="86"/>
      <c r="F829" s="86"/>
      <c r="G829" s="86"/>
      <c r="H829" s="19"/>
      <c r="I829" s="19"/>
      <c r="J829" s="19"/>
      <c r="K829" s="19"/>
      <c r="L829" s="2"/>
      <c r="M829" s="19"/>
      <c r="N829" s="19"/>
      <c r="O829" s="19"/>
      <c r="P829" s="19"/>
      <c r="Q829" s="91"/>
      <c r="R829" s="91"/>
      <c r="S829" s="19"/>
    </row>
    <row r="830" spans="1:19" ht="15.75" customHeight="1" x14ac:dyDescent="0.25">
      <c r="A830" s="84"/>
      <c r="B830" s="19"/>
      <c r="C830" s="92"/>
      <c r="D830" s="90"/>
      <c r="E830" s="86"/>
      <c r="F830" s="86"/>
      <c r="G830" s="86"/>
      <c r="H830" s="19"/>
      <c r="I830" s="19"/>
      <c r="J830" s="19"/>
      <c r="K830" s="19"/>
      <c r="L830" s="2"/>
      <c r="M830" s="19"/>
      <c r="N830" s="19"/>
      <c r="O830" s="19"/>
      <c r="P830" s="19"/>
      <c r="Q830" s="91"/>
      <c r="R830" s="91"/>
      <c r="S830" s="19"/>
    </row>
    <row r="831" spans="1:19" ht="15.75" customHeight="1" x14ac:dyDescent="0.25">
      <c r="A831" s="84"/>
      <c r="B831" s="19"/>
      <c r="C831" s="92"/>
      <c r="D831" s="90"/>
      <c r="E831" s="86"/>
      <c r="F831" s="86"/>
      <c r="G831" s="86"/>
      <c r="H831" s="19"/>
      <c r="I831" s="19"/>
      <c r="J831" s="19"/>
      <c r="K831" s="19"/>
      <c r="L831" s="2"/>
      <c r="M831" s="19"/>
      <c r="N831" s="19"/>
      <c r="O831" s="19"/>
      <c r="P831" s="19"/>
      <c r="Q831" s="91"/>
      <c r="R831" s="91"/>
      <c r="S831" s="19"/>
    </row>
    <row r="832" spans="1:19" ht="15.75" customHeight="1" x14ac:dyDescent="0.25">
      <c r="A832" s="84"/>
      <c r="B832" s="19"/>
      <c r="C832" s="92"/>
      <c r="D832" s="90"/>
      <c r="E832" s="86"/>
      <c r="F832" s="86"/>
      <c r="G832" s="86"/>
      <c r="H832" s="19"/>
      <c r="I832" s="19"/>
      <c r="J832" s="19"/>
      <c r="K832" s="19"/>
      <c r="L832" s="2"/>
      <c r="M832" s="19"/>
      <c r="N832" s="19"/>
      <c r="O832" s="19"/>
      <c r="P832" s="19"/>
      <c r="Q832" s="91"/>
      <c r="R832" s="91"/>
      <c r="S832" s="19"/>
    </row>
    <row r="833" spans="1:19" ht="15.75" customHeight="1" x14ac:dyDescent="0.25">
      <c r="A833" s="84"/>
      <c r="B833" s="19"/>
      <c r="C833" s="92"/>
      <c r="D833" s="90"/>
      <c r="E833" s="86"/>
      <c r="F833" s="86"/>
      <c r="G833" s="86"/>
      <c r="H833" s="19"/>
      <c r="I833" s="19"/>
      <c r="J833" s="19"/>
      <c r="K833" s="19"/>
      <c r="L833" s="2"/>
      <c r="M833" s="19"/>
      <c r="N833" s="19"/>
      <c r="O833" s="19"/>
      <c r="P833" s="19"/>
      <c r="Q833" s="91"/>
      <c r="R833" s="91"/>
      <c r="S833" s="19"/>
    </row>
    <row r="834" spans="1:19" ht="15.75" customHeight="1" x14ac:dyDescent="0.25">
      <c r="A834" s="84"/>
      <c r="B834" s="19"/>
      <c r="C834" s="92"/>
      <c r="D834" s="90"/>
      <c r="E834" s="86"/>
      <c r="F834" s="86"/>
      <c r="G834" s="86"/>
      <c r="H834" s="19"/>
      <c r="I834" s="19"/>
      <c r="J834" s="19"/>
      <c r="K834" s="19"/>
      <c r="L834" s="2"/>
      <c r="M834" s="19"/>
      <c r="N834" s="19"/>
      <c r="O834" s="19"/>
      <c r="P834" s="19"/>
      <c r="Q834" s="91"/>
      <c r="R834" s="91"/>
      <c r="S834" s="19"/>
    </row>
    <row r="835" spans="1:19" ht="15.75" customHeight="1" x14ac:dyDescent="0.25">
      <c r="A835" s="84"/>
      <c r="B835" s="19"/>
      <c r="C835" s="92"/>
      <c r="D835" s="90"/>
      <c r="E835" s="86"/>
      <c r="F835" s="86"/>
      <c r="G835" s="86"/>
      <c r="H835" s="19"/>
      <c r="I835" s="19"/>
      <c r="J835" s="19"/>
      <c r="K835" s="19"/>
      <c r="L835" s="2"/>
      <c r="M835" s="19"/>
      <c r="N835" s="19"/>
      <c r="O835" s="19"/>
      <c r="P835" s="19"/>
      <c r="Q835" s="91"/>
      <c r="R835" s="91"/>
      <c r="S835" s="19"/>
    </row>
    <row r="836" spans="1:19" ht="15.75" customHeight="1" x14ac:dyDescent="0.25">
      <c r="A836" s="84"/>
      <c r="B836" s="19"/>
      <c r="C836" s="92"/>
      <c r="D836" s="90"/>
      <c r="E836" s="86"/>
      <c r="F836" s="86"/>
      <c r="G836" s="86"/>
      <c r="H836" s="19"/>
      <c r="I836" s="19"/>
      <c r="J836" s="19"/>
      <c r="K836" s="19"/>
      <c r="L836" s="2"/>
      <c r="M836" s="19"/>
      <c r="N836" s="19"/>
      <c r="O836" s="19"/>
      <c r="P836" s="19"/>
      <c r="Q836" s="91"/>
      <c r="R836" s="91"/>
      <c r="S836" s="19"/>
    </row>
    <row r="837" spans="1:19" ht="15.75" customHeight="1" x14ac:dyDescent="0.25">
      <c r="A837" s="84"/>
      <c r="B837" s="19"/>
      <c r="C837" s="92"/>
      <c r="D837" s="90"/>
      <c r="E837" s="86"/>
      <c r="F837" s="86"/>
      <c r="G837" s="86"/>
      <c r="H837" s="19"/>
      <c r="I837" s="19"/>
      <c r="J837" s="19"/>
      <c r="K837" s="19"/>
      <c r="L837" s="2"/>
      <c r="M837" s="19"/>
      <c r="N837" s="19"/>
      <c r="O837" s="19"/>
      <c r="P837" s="19"/>
      <c r="Q837" s="91"/>
      <c r="R837" s="91"/>
      <c r="S837" s="19"/>
    </row>
    <row r="838" spans="1:19" ht="15.75" customHeight="1" x14ac:dyDescent="0.25">
      <c r="A838" s="84"/>
      <c r="B838" s="19"/>
      <c r="C838" s="92"/>
      <c r="D838" s="90"/>
      <c r="E838" s="86"/>
      <c r="F838" s="86"/>
      <c r="G838" s="86"/>
      <c r="H838" s="19"/>
      <c r="I838" s="19"/>
      <c r="J838" s="19"/>
      <c r="K838" s="19"/>
      <c r="L838" s="2"/>
      <c r="M838" s="19"/>
      <c r="N838" s="19"/>
      <c r="O838" s="19"/>
      <c r="P838" s="19"/>
      <c r="Q838" s="91"/>
      <c r="R838" s="91"/>
      <c r="S838" s="19"/>
    </row>
    <row r="839" spans="1:19" ht="15.75" customHeight="1" x14ac:dyDescent="0.25">
      <c r="A839" s="84"/>
      <c r="B839" s="19"/>
      <c r="C839" s="92"/>
      <c r="D839" s="90"/>
      <c r="E839" s="86"/>
      <c r="F839" s="86"/>
      <c r="G839" s="86"/>
      <c r="H839" s="19"/>
      <c r="I839" s="19"/>
      <c r="J839" s="19"/>
      <c r="K839" s="19"/>
      <c r="L839" s="2"/>
      <c r="M839" s="19"/>
      <c r="N839" s="19"/>
      <c r="O839" s="19"/>
      <c r="P839" s="19"/>
      <c r="Q839" s="91"/>
      <c r="R839" s="91"/>
      <c r="S839" s="19"/>
    </row>
    <row r="840" spans="1:19" ht="15.75" customHeight="1" x14ac:dyDescent="0.25">
      <c r="A840" s="84"/>
      <c r="B840" s="19"/>
      <c r="C840" s="92"/>
      <c r="D840" s="90"/>
      <c r="E840" s="86"/>
      <c r="F840" s="86"/>
      <c r="G840" s="86"/>
      <c r="H840" s="19"/>
      <c r="I840" s="19"/>
      <c r="J840" s="19"/>
      <c r="K840" s="19"/>
      <c r="L840" s="2"/>
      <c r="M840" s="19"/>
      <c r="N840" s="19"/>
      <c r="O840" s="19"/>
      <c r="P840" s="19"/>
      <c r="Q840" s="91"/>
      <c r="R840" s="91"/>
      <c r="S840" s="19"/>
    </row>
    <row r="841" spans="1:19" ht="15.75" customHeight="1" x14ac:dyDescent="0.25">
      <c r="A841" s="84"/>
      <c r="B841" s="19"/>
      <c r="C841" s="92"/>
      <c r="D841" s="90"/>
      <c r="E841" s="86"/>
      <c r="F841" s="86"/>
      <c r="G841" s="86"/>
      <c r="H841" s="19"/>
      <c r="I841" s="19"/>
      <c r="J841" s="19"/>
      <c r="K841" s="19"/>
      <c r="L841" s="2"/>
      <c r="M841" s="19"/>
      <c r="N841" s="19"/>
      <c r="O841" s="19"/>
      <c r="P841" s="19"/>
      <c r="Q841" s="91"/>
      <c r="R841" s="91"/>
      <c r="S841" s="19"/>
    </row>
    <row r="842" spans="1:19" ht="15.75" customHeight="1" x14ac:dyDescent="0.25">
      <c r="A842" s="84"/>
      <c r="B842" s="19"/>
      <c r="C842" s="92"/>
      <c r="D842" s="90"/>
      <c r="E842" s="86"/>
      <c r="F842" s="86"/>
      <c r="G842" s="86"/>
      <c r="H842" s="19"/>
      <c r="I842" s="19"/>
      <c r="J842" s="19"/>
      <c r="K842" s="19"/>
      <c r="L842" s="2"/>
      <c r="M842" s="19"/>
      <c r="N842" s="19"/>
      <c r="O842" s="19"/>
      <c r="P842" s="19"/>
      <c r="Q842" s="91"/>
      <c r="R842" s="91"/>
      <c r="S842" s="19"/>
    </row>
    <row r="843" spans="1:19" ht="15.75" customHeight="1" x14ac:dyDescent="0.25">
      <c r="A843" s="84"/>
      <c r="B843" s="19"/>
      <c r="C843" s="92"/>
      <c r="D843" s="90"/>
      <c r="E843" s="86"/>
      <c r="F843" s="86"/>
      <c r="G843" s="86"/>
      <c r="H843" s="19"/>
      <c r="I843" s="19"/>
      <c r="J843" s="19"/>
      <c r="K843" s="19"/>
      <c r="L843" s="2"/>
      <c r="M843" s="19"/>
      <c r="N843" s="19"/>
      <c r="O843" s="19"/>
      <c r="P843" s="19"/>
      <c r="Q843" s="91"/>
      <c r="R843" s="91"/>
      <c r="S843" s="19"/>
    </row>
    <row r="844" spans="1:19" ht="15.75" customHeight="1" x14ac:dyDescent="0.25">
      <c r="A844" s="84"/>
      <c r="B844" s="19"/>
      <c r="C844" s="92"/>
      <c r="D844" s="90"/>
      <c r="E844" s="86"/>
      <c r="F844" s="86"/>
      <c r="G844" s="86"/>
      <c r="H844" s="19"/>
      <c r="I844" s="19"/>
      <c r="J844" s="19"/>
      <c r="K844" s="19"/>
      <c r="L844" s="2"/>
      <c r="M844" s="19"/>
      <c r="N844" s="19"/>
      <c r="O844" s="19"/>
      <c r="P844" s="19"/>
      <c r="Q844" s="91"/>
      <c r="R844" s="91"/>
      <c r="S844" s="19"/>
    </row>
    <row r="845" spans="1:19" ht="15.75" customHeight="1" x14ac:dyDescent="0.25">
      <c r="A845" s="84"/>
      <c r="B845" s="19"/>
      <c r="C845" s="92"/>
      <c r="D845" s="90"/>
      <c r="E845" s="86"/>
      <c r="F845" s="86"/>
      <c r="G845" s="86"/>
      <c r="H845" s="19"/>
      <c r="I845" s="19"/>
      <c r="J845" s="19"/>
      <c r="K845" s="19"/>
      <c r="L845" s="2"/>
      <c r="M845" s="19"/>
      <c r="N845" s="19"/>
      <c r="O845" s="19"/>
      <c r="P845" s="19"/>
      <c r="Q845" s="91"/>
      <c r="R845" s="91"/>
      <c r="S845" s="19"/>
    </row>
    <row r="846" spans="1:19" ht="15.75" customHeight="1" x14ac:dyDescent="0.25">
      <c r="A846" s="84"/>
      <c r="B846" s="19"/>
      <c r="C846" s="92"/>
      <c r="D846" s="90"/>
      <c r="E846" s="86"/>
      <c r="F846" s="86"/>
      <c r="G846" s="86"/>
      <c r="H846" s="19"/>
      <c r="I846" s="19"/>
      <c r="J846" s="19"/>
      <c r="K846" s="19"/>
      <c r="L846" s="2"/>
      <c r="M846" s="19"/>
      <c r="N846" s="19"/>
      <c r="O846" s="19"/>
      <c r="P846" s="19"/>
      <c r="Q846" s="91"/>
      <c r="R846" s="91"/>
      <c r="S846" s="19"/>
    </row>
    <row r="847" spans="1:19" ht="15.75" customHeight="1" x14ac:dyDescent="0.25">
      <c r="A847" s="84"/>
      <c r="B847" s="19"/>
      <c r="C847" s="92"/>
      <c r="D847" s="90"/>
      <c r="E847" s="86"/>
      <c r="F847" s="86"/>
      <c r="G847" s="86"/>
      <c r="H847" s="19"/>
      <c r="I847" s="19"/>
      <c r="J847" s="19"/>
      <c r="K847" s="19"/>
      <c r="L847" s="2"/>
      <c r="M847" s="19"/>
      <c r="N847" s="19"/>
      <c r="O847" s="19"/>
      <c r="P847" s="19"/>
      <c r="Q847" s="91"/>
      <c r="R847" s="91"/>
      <c r="S847" s="19"/>
    </row>
    <row r="848" spans="1:19" ht="15.75" customHeight="1" x14ac:dyDescent="0.25">
      <c r="A848" s="84"/>
      <c r="B848" s="19"/>
      <c r="C848" s="92"/>
      <c r="D848" s="90"/>
      <c r="E848" s="86"/>
      <c r="F848" s="86"/>
      <c r="G848" s="86"/>
      <c r="H848" s="19"/>
      <c r="I848" s="19"/>
      <c r="J848" s="19"/>
      <c r="K848" s="19"/>
      <c r="L848" s="2"/>
      <c r="M848" s="19"/>
      <c r="N848" s="19"/>
      <c r="O848" s="19"/>
      <c r="P848" s="19"/>
      <c r="Q848" s="91"/>
      <c r="R848" s="91"/>
      <c r="S848" s="19"/>
    </row>
    <row r="849" spans="1:19" ht="15.75" customHeight="1" x14ac:dyDescent="0.25">
      <c r="A849" s="84"/>
      <c r="B849" s="19"/>
      <c r="C849" s="92"/>
      <c r="D849" s="90"/>
      <c r="E849" s="86"/>
      <c r="F849" s="86"/>
      <c r="G849" s="86"/>
      <c r="H849" s="19"/>
      <c r="I849" s="19"/>
      <c r="J849" s="19"/>
      <c r="K849" s="19"/>
      <c r="L849" s="2"/>
      <c r="M849" s="19"/>
      <c r="N849" s="19"/>
      <c r="O849" s="19"/>
      <c r="P849" s="19"/>
      <c r="Q849" s="91"/>
      <c r="R849" s="91"/>
      <c r="S849" s="19"/>
    </row>
    <row r="850" spans="1:19" ht="15.75" customHeight="1" x14ac:dyDescent="0.25">
      <c r="A850" s="84"/>
      <c r="B850" s="19"/>
      <c r="C850" s="92"/>
      <c r="D850" s="90"/>
      <c r="E850" s="86"/>
      <c r="F850" s="86"/>
      <c r="G850" s="86"/>
      <c r="H850" s="19"/>
      <c r="I850" s="19"/>
      <c r="J850" s="19"/>
      <c r="K850" s="19"/>
      <c r="L850" s="2"/>
      <c r="M850" s="19"/>
      <c r="N850" s="19"/>
      <c r="O850" s="19"/>
      <c r="P850" s="19"/>
      <c r="Q850" s="91"/>
      <c r="R850" s="91"/>
      <c r="S850" s="19"/>
    </row>
    <row r="851" spans="1:19" ht="15.75" customHeight="1" x14ac:dyDescent="0.25">
      <c r="A851" s="84"/>
      <c r="B851" s="19"/>
      <c r="C851" s="92"/>
      <c r="D851" s="90"/>
      <c r="E851" s="86"/>
      <c r="F851" s="86"/>
      <c r="G851" s="86"/>
      <c r="H851" s="19"/>
      <c r="I851" s="19"/>
      <c r="J851" s="19"/>
      <c r="K851" s="19"/>
      <c r="L851" s="2"/>
      <c r="M851" s="19"/>
      <c r="N851" s="19"/>
      <c r="O851" s="19"/>
      <c r="P851" s="19"/>
      <c r="Q851" s="91"/>
      <c r="R851" s="91"/>
      <c r="S851" s="19"/>
    </row>
    <row r="852" spans="1:19" ht="15.75" customHeight="1" x14ac:dyDescent="0.25">
      <c r="A852" s="84"/>
      <c r="B852" s="19"/>
      <c r="C852" s="92"/>
      <c r="D852" s="90"/>
      <c r="E852" s="86"/>
      <c r="F852" s="86"/>
      <c r="G852" s="86"/>
      <c r="H852" s="19"/>
      <c r="I852" s="19"/>
      <c r="J852" s="19"/>
      <c r="K852" s="19"/>
      <c r="L852" s="2"/>
      <c r="M852" s="19"/>
      <c r="N852" s="19"/>
      <c r="O852" s="19"/>
      <c r="P852" s="19"/>
      <c r="Q852" s="91"/>
      <c r="R852" s="91"/>
      <c r="S852" s="19"/>
    </row>
    <row r="853" spans="1:19" ht="15.75" customHeight="1" x14ac:dyDescent="0.25">
      <c r="A853" s="84"/>
      <c r="B853" s="19"/>
      <c r="C853" s="92"/>
      <c r="D853" s="90"/>
      <c r="E853" s="86"/>
      <c r="F853" s="86"/>
      <c r="G853" s="86"/>
      <c r="H853" s="19"/>
      <c r="I853" s="19"/>
      <c r="J853" s="19"/>
      <c r="K853" s="19"/>
      <c r="L853" s="2"/>
      <c r="M853" s="19"/>
      <c r="N853" s="19"/>
      <c r="O853" s="19"/>
      <c r="P853" s="19"/>
      <c r="Q853" s="91"/>
      <c r="R853" s="91"/>
      <c r="S853" s="19"/>
    </row>
    <row r="854" spans="1:19" ht="15.75" customHeight="1" x14ac:dyDescent="0.25">
      <c r="A854" s="84"/>
      <c r="B854" s="19"/>
      <c r="C854" s="92"/>
      <c r="D854" s="90"/>
      <c r="E854" s="86"/>
      <c r="F854" s="86"/>
      <c r="G854" s="86"/>
      <c r="H854" s="19"/>
      <c r="I854" s="19"/>
      <c r="J854" s="19"/>
      <c r="K854" s="19"/>
      <c r="L854" s="2"/>
      <c r="M854" s="19"/>
      <c r="N854" s="19"/>
      <c r="O854" s="19"/>
      <c r="P854" s="19"/>
      <c r="Q854" s="91"/>
      <c r="R854" s="91"/>
      <c r="S854" s="19"/>
    </row>
    <row r="855" spans="1:19" ht="15.75" customHeight="1" x14ac:dyDescent="0.25">
      <c r="A855" s="84"/>
      <c r="B855" s="19"/>
      <c r="C855" s="92"/>
      <c r="D855" s="90"/>
      <c r="E855" s="86"/>
      <c r="F855" s="86"/>
      <c r="G855" s="86"/>
      <c r="H855" s="19"/>
      <c r="I855" s="19"/>
      <c r="J855" s="19"/>
      <c r="K855" s="19"/>
      <c r="L855" s="2"/>
      <c r="M855" s="19"/>
      <c r="N855" s="19"/>
      <c r="O855" s="19"/>
      <c r="P855" s="19"/>
      <c r="Q855" s="91"/>
      <c r="R855" s="91"/>
      <c r="S855" s="19"/>
    </row>
    <row r="856" spans="1:19" ht="15.75" customHeight="1" x14ac:dyDescent="0.25">
      <c r="A856" s="84"/>
      <c r="B856" s="19"/>
      <c r="C856" s="92"/>
      <c r="D856" s="90"/>
      <c r="E856" s="86"/>
      <c r="F856" s="86"/>
      <c r="G856" s="86"/>
      <c r="H856" s="19"/>
      <c r="I856" s="19"/>
      <c r="J856" s="19"/>
      <c r="K856" s="19"/>
      <c r="L856" s="2"/>
      <c r="M856" s="19"/>
      <c r="N856" s="19"/>
      <c r="O856" s="19"/>
      <c r="P856" s="19"/>
      <c r="Q856" s="91"/>
      <c r="R856" s="91"/>
      <c r="S856" s="19"/>
    </row>
    <row r="857" spans="1:19" ht="15.75" customHeight="1" x14ac:dyDescent="0.25">
      <c r="A857" s="84"/>
      <c r="B857" s="19"/>
      <c r="C857" s="92"/>
      <c r="D857" s="90"/>
      <c r="E857" s="86"/>
      <c r="F857" s="86"/>
      <c r="G857" s="86"/>
      <c r="H857" s="19"/>
      <c r="I857" s="19"/>
      <c r="J857" s="19"/>
      <c r="K857" s="19"/>
      <c r="L857" s="2"/>
      <c r="M857" s="19"/>
      <c r="N857" s="19"/>
      <c r="O857" s="19"/>
      <c r="P857" s="19"/>
      <c r="Q857" s="91"/>
      <c r="R857" s="91"/>
      <c r="S857" s="19"/>
    </row>
    <row r="858" spans="1:19" ht="15.75" customHeight="1" x14ac:dyDescent="0.25">
      <c r="A858" s="84"/>
      <c r="B858" s="19"/>
      <c r="C858" s="92"/>
      <c r="D858" s="90"/>
      <c r="E858" s="86"/>
      <c r="F858" s="86"/>
      <c r="G858" s="86"/>
      <c r="H858" s="19"/>
      <c r="I858" s="19"/>
      <c r="J858" s="19"/>
      <c r="K858" s="19"/>
      <c r="L858" s="2"/>
      <c r="M858" s="19"/>
      <c r="N858" s="19"/>
      <c r="O858" s="19"/>
      <c r="P858" s="19"/>
      <c r="Q858" s="91"/>
      <c r="R858" s="91"/>
      <c r="S858" s="19"/>
    </row>
    <row r="859" spans="1:19" ht="15.75" customHeight="1" x14ac:dyDescent="0.25">
      <c r="A859" s="84"/>
      <c r="B859" s="19"/>
      <c r="C859" s="92"/>
      <c r="D859" s="90"/>
      <c r="E859" s="86"/>
      <c r="F859" s="86"/>
      <c r="G859" s="86"/>
      <c r="H859" s="19"/>
      <c r="I859" s="19"/>
      <c r="J859" s="19"/>
      <c r="K859" s="19"/>
      <c r="L859" s="2"/>
      <c r="M859" s="19"/>
      <c r="N859" s="19"/>
      <c r="O859" s="19"/>
      <c r="P859" s="19"/>
      <c r="Q859" s="91"/>
      <c r="R859" s="91"/>
      <c r="S859" s="19"/>
    </row>
    <row r="860" spans="1:19" ht="15.75" customHeight="1" x14ac:dyDescent="0.25">
      <c r="A860" s="84"/>
      <c r="B860" s="19"/>
      <c r="C860" s="92"/>
      <c r="D860" s="90"/>
      <c r="E860" s="86"/>
      <c r="F860" s="86"/>
      <c r="G860" s="86"/>
      <c r="H860" s="19"/>
      <c r="I860" s="19"/>
      <c r="J860" s="19"/>
      <c r="K860" s="19"/>
      <c r="L860" s="2"/>
      <c r="M860" s="19"/>
      <c r="N860" s="19"/>
      <c r="O860" s="19"/>
      <c r="P860" s="19"/>
      <c r="Q860" s="91"/>
      <c r="R860" s="91"/>
      <c r="S860" s="19"/>
    </row>
    <row r="861" spans="1:19" ht="15.75" customHeight="1" x14ac:dyDescent="0.25">
      <c r="A861" s="84"/>
      <c r="B861" s="19"/>
      <c r="C861" s="92"/>
      <c r="D861" s="90"/>
      <c r="E861" s="86"/>
      <c r="F861" s="86"/>
      <c r="G861" s="86"/>
      <c r="H861" s="19"/>
      <c r="I861" s="19"/>
      <c r="J861" s="19"/>
      <c r="K861" s="19"/>
      <c r="L861" s="2"/>
      <c r="M861" s="19"/>
      <c r="N861" s="19"/>
      <c r="O861" s="19"/>
      <c r="P861" s="19"/>
      <c r="Q861" s="91"/>
      <c r="R861" s="91"/>
      <c r="S861" s="19"/>
    </row>
    <row r="862" spans="1:19" ht="15.75" customHeight="1" x14ac:dyDescent="0.25">
      <c r="A862" s="84"/>
      <c r="B862" s="19"/>
      <c r="C862" s="92"/>
      <c r="D862" s="90"/>
      <c r="E862" s="86"/>
      <c r="F862" s="86"/>
      <c r="G862" s="86"/>
      <c r="H862" s="19"/>
      <c r="I862" s="19"/>
      <c r="J862" s="19"/>
      <c r="K862" s="19"/>
      <c r="L862" s="2"/>
      <c r="M862" s="19"/>
      <c r="N862" s="19"/>
      <c r="O862" s="19"/>
      <c r="P862" s="19"/>
      <c r="Q862" s="91"/>
      <c r="R862" s="91"/>
      <c r="S862" s="19"/>
    </row>
    <row r="863" spans="1:19" ht="15.75" customHeight="1" x14ac:dyDescent="0.25">
      <c r="A863" s="84"/>
      <c r="B863" s="19"/>
      <c r="C863" s="92"/>
      <c r="D863" s="90"/>
      <c r="E863" s="86"/>
      <c r="F863" s="86"/>
      <c r="G863" s="86"/>
      <c r="H863" s="19"/>
      <c r="I863" s="19"/>
      <c r="J863" s="19"/>
      <c r="K863" s="19"/>
      <c r="L863" s="2"/>
      <c r="M863" s="19"/>
      <c r="N863" s="19"/>
      <c r="O863" s="19"/>
      <c r="P863" s="19"/>
      <c r="Q863" s="91"/>
      <c r="R863" s="91"/>
      <c r="S863" s="19"/>
    </row>
    <row r="864" spans="1:19" ht="15.75" customHeight="1" x14ac:dyDescent="0.25">
      <c r="A864" s="84"/>
      <c r="B864" s="19"/>
      <c r="C864" s="92"/>
      <c r="D864" s="90"/>
      <c r="E864" s="86"/>
      <c r="F864" s="86"/>
      <c r="G864" s="86"/>
      <c r="H864" s="19"/>
      <c r="I864" s="19"/>
      <c r="J864" s="19"/>
      <c r="K864" s="19"/>
      <c r="L864" s="2"/>
      <c r="M864" s="19"/>
      <c r="N864" s="19"/>
      <c r="O864" s="19"/>
      <c r="P864" s="19"/>
      <c r="Q864" s="91"/>
      <c r="R864" s="91"/>
      <c r="S864" s="19"/>
    </row>
    <row r="865" spans="1:19" ht="15.75" customHeight="1" x14ac:dyDescent="0.25">
      <c r="A865" s="84"/>
      <c r="B865" s="19"/>
      <c r="C865" s="92"/>
      <c r="D865" s="90"/>
      <c r="E865" s="86"/>
      <c r="F865" s="86"/>
      <c r="G865" s="86"/>
      <c r="H865" s="19"/>
      <c r="I865" s="19"/>
      <c r="J865" s="19"/>
      <c r="K865" s="19"/>
      <c r="L865" s="2"/>
      <c r="M865" s="19"/>
      <c r="N865" s="19"/>
      <c r="O865" s="19"/>
      <c r="P865" s="19"/>
      <c r="Q865" s="91"/>
      <c r="R865" s="91"/>
      <c r="S865" s="19"/>
    </row>
    <row r="866" spans="1:19" ht="15.75" customHeight="1" x14ac:dyDescent="0.25">
      <c r="A866" s="84"/>
      <c r="B866" s="19"/>
      <c r="C866" s="92"/>
      <c r="D866" s="90"/>
      <c r="E866" s="86"/>
      <c r="F866" s="86"/>
      <c r="G866" s="86"/>
      <c r="H866" s="19"/>
      <c r="I866" s="19"/>
      <c r="J866" s="19"/>
      <c r="K866" s="19"/>
      <c r="L866" s="2"/>
      <c r="M866" s="19"/>
      <c r="N866" s="19"/>
      <c r="O866" s="19"/>
      <c r="P866" s="19"/>
      <c r="Q866" s="91"/>
      <c r="R866" s="91"/>
      <c r="S866" s="19"/>
    </row>
    <row r="867" spans="1:19" ht="15.75" customHeight="1" x14ac:dyDescent="0.25">
      <c r="A867" s="84"/>
      <c r="B867" s="19"/>
      <c r="C867" s="92"/>
      <c r="D867" s="90"/>
      <c r="E867" s="86"/>
      <c r="F867" s="86"/>
      <c r="G867" s="86"/>
      <c r="H867" s="19"/>
      <c r="I867" s="19"/>
      <c r="J867" s="19"/>
      <c r="K867" s="19"/>
      <c r="L867" s="2"/>
      <c r="M867" s="19"/>
      <c r="N867" s="19"/>
      <c r="O867" s="19"/>
      <c r="P867" s="19"/>
      <c r="Q867" s="91"/>
      <c r="R867" s="91"/>
      <c r="S867" s="19"/>
    </row>
    <row r="868" spans="1:19" ht="15.75" customHeight="1" x14ac:dyDescent="0.25">
      <c r="A868" s="84"/>
      <c r="B868" s="19"/>
      <c r="C868" s="92"/>
      <c r="D868" s="90"/>
      <c r="E868" s="86"/>
      <c r="F868" s="86"/>
      <c r="G868" s="86"/>
      <c r="H868" s="19"/>
      <c r="I868" s="19"/>
      <c r="J868" s="19"/>
      <c r="K868" s="19"/>
      <c r="L868" s="2"/>
      <c r="M868" s="19"/>
      <c r="N868" s="19"/>
      <c r="O868" s="19"/>
      <c r="P868" s="19"/>
      <c r="Q868" s="91"/>
      <c r="R868" s="91"/>
      <c r="S868" s="19"/>
    </row>
    <row r="869" spans="1:19" ht="15.75" customHeight="1" x14ac:dyDescent="0.25">
      <c r="A869" s="84"/>
      <c r="B869" s="19"/>
      <c r="C869" s="92"/>
      <c r="D869" s="90"/>
      <c r="E869" s="86"/>
      <c r="F869" s="86"/>
      <c r="G869" s="86"/>
      <c r="H869" s="19"/>
      <c r="I869" s="19"/>
      <c r="J869" s="19"/>
      <c r="K869" s="19"/>
      <c r="L869" s="2"/>
      <c r="M869" s="19"/>
      <c r="N869" s="19"/>
      <c r="O869" s="19"/>
      <c r="P869" s="19"/>
      <c r="Q869" s="91"/>
      <c r="R869" s="91"/>
      <c r="S869" s="19"/>
    </row>
    <row r="870" spans="1:19" ht="15.75" customHeight="1" x14ac:dyDescent="0.25">
      <c r="A870" s="84"/>
      <c r="B870" s="19"/>
      <c r="C870" s="92"/>
      <c r="D870" s="90"/>
      <c r="E870" s="86"/>
      <c r="F870" s="86"/>
      <c r="G870" s="86"/>
      <c r="H870" s="19"/>
      <c r="I870" s="19"/>
      <c r="J870" s="19"/>
      <c r="K870" s="19"/>
      <c r="L870" s="2"/>
      <c r="M870" s="19"/>
      <c r="N870" s="19"/>
      <c r="O870" s="19"/>
      <c r="P870" s="19"/>
      <c r="Q870" s="91"/>
      <c r="R870" s="91"/>
      <c r="S870" s="19"/>
    </row>
    <row r="871" spans="1:19" ht="15.75" customHeight="1" x14ac:dyDescent="0.25">
      <c r="A871" s="84"/>
      <c r="B871" s="19"/>
      <c r="C871" s="92"/>
      <c r="D871" s="90"/>
      <c r="E871" s="86"/>
      <c r="F871" s="86"/>
      <c r="G871" s="86"/>
      <c r="H871" s="19"/>
      <c r="I871" s="19"/>
      <c r="J871" s="19"/>
      <c r="K871" s="19"/>
      <c r="L871" s="2"/>
      <c r="M871" s="19"/>
      <c r="N871" s="19"/>
      <c r="O871" s="19"/>
      <c r="P871" s="19"/>
      <c r="Q871" s="91"/>
      <c r="R871" s="91"/>
      <c r="S871" s="19"/>
    </row>
    <row r="872" spans="1:19" ht="15.75" customHeight="1" x14ac:dyDescent="0.25">
      <c r="A872" s="84"/>
      <c r="B872" s="19"/>
      <c r="C872" s="92"/>
      <c r="D872" s="90"/>
      <c r="E872" s="86"/>
      <c r="F872" s="86"/>
      <c r="G872" s="86"/>
      <c r="H872" s="19"/>
      <c r="I872" s="19"/>
      <c r="J872" s="19"/>
      <c r="K872" s="19"/>
      <c r="L872" s="2"/>
      <c r="M872" s="19"/>
      <c r="N872" s="19"/>
      <c r="O872" s="19"/>
      <c r="P872" s="19"/>
      <c r="Q872" s="91"/>
      <c r="R872" s="91"/>
      <c r="S872" s="19"/>
    </row>
    <row r="873" spans="1:19" ht="15.75" customHeight="1" x14ac:dyDescent="0.25">
      <c r="A873" s="84"/>
      <c r="B873" s="19"/>
      <c r="C873" s="92"/>
      <c r="D873" s="90"/>
      <c r="E873" s="86"/>
      <c r="F873" s="86"/>
      <c r="G873" s="86"/>
      <c r="H873" s="19"/>
      <c r="I873" s="19"/>
      <c r="J873" s="19"/>
      <c r="K873" s="19"/>
      <c r="L873" s="2"/>
      <c r="M873" s="19"/>
      <c r="N873" s="19"/>
      <c r="O873" s="19"/>
      <c r="P873" s="19"/>
      <c r="Q873" s="91"/>
      <c r="R873" s="91"/>
      <c r="S873" s="19"/>
    </row>
    <row r="874" spans="1:19" ht="15.75" customHeight="1" x14ac:dyDescent="0.25">
      <c r="A874" s="84"/>
      <c r="B874" s="19"/>
      <c r="C874" s="92"/>
      <c r="D874" s="90"/>
      <c r="E874" s="86"/>
      <c r="F874" s="86"/>
      <c r="G874" s="86"/>
      <c r="H874" s="19"/>
      <c r="I874" s="19"/>
      <c r="J874" s="19"/>
      <c r="K874" s="19"/>
      <c r="L874" s="2"/>
      <c r="M874" s="19"/>
      <c r="N874" s="19"/>
      <c r="O874" s="19"/>
      <c r="P874" s="19"/>
      <c r="Q874" s="91"/>
      <c r="R874" s="91"/>
      <c r="S874" s="19"/>
    </row>
    <row r="875" spans="1:19" ht="15.75" customHeight="1" x14ac:dyDescent="0.25">
      <c r="A875" s="84"/>
      <c r="B875" s="19"/>
      <c r="C875" s="92"/>
      <c r="D875" s="90"/>
      <c r="E875" s="86"/>
      <c r="F875" s="86"/>
      <c r="G875" s="86"/>
      <c r="H875" s="19"/>
      <c r="I875" s="19"/>
      <c r="J875" s="19"/>
      <c r="K875" s="19"/>
      <c r="L875" s="2"/>
      <c r="M875" s="19"/>
      <c r="N875" s="19"/>
      <c r="O875" s="19"/>
      <c r="P875" s="19"/>
      <c r="Q875" s="91"/>
      <c r="R875" s="91"/>
      <c r="S875" s="19"/>
    </row>
    <row r="876" spans="1:19" ht="15.75" customHeight="1" x14ac:dyDescent="0.25">
      <c r="A876" s="84"/>
      <c r="B876" s="19"/>
      <c r="C876" s="92"/>
      <c r="D876" s="90"/>
      <c r="E876" s="86"/>
      <c r="F876" s="86"/>
      <c r="G876" s="86"/>
      <c r="H876" s="19"/>
      <c r="I876" s="19"/>
      <c r="J876" s="19"/>
      <c r="K876" s="19"/>
      <c r="L876" s="2"/>
      <c r="M876" s="19"/>
      <c r="N876" s="19"/>
      <c r="O876" s="19"/>
      <c r="P876" s="19"/>
      <c r="Q876" s="91"/>
      <c r="R876" s="91"/>
      <c r="S876" s="19"/>
    </row>
    <row r="877" spans="1:19" ht="15.75" customHeight="1" x14ac:dyDescent="0.25">
      <c r="A877" s="84"/>
      <c r="B877" s="19"/>
      <c r="C877" s="92"/>
      <c r="D877" s="90"/>
      <c r="E877" s="86"/>
      <c r="F877" s="86"/>
      <c r="G877" s="86"/>
      <c r="H877" s="19"/>
      <c r="I877" s="19"/>
      <c r="J877" s="19"/>
      <c r="K877" s="19"/>
      <c r="L877" s="2"/>
      <c r="M877" s="19"/>
      <c r="N877" s="19"/>
      <c r="O877" s="19"/>
      <c r="P877" s="19"/>
      <c r="Q877" s="91"/>
      <c r="R877" s="91"/>
      <c r="S877" s="19"/>
    </row>
    <row r="878" spans="1:19" ht="15.75" customHeight="1" x14ac:dyDescent="0.25">
      <c r="A878" s="84"/>
      <c r="B878" s="19"/>
      <c r="C878" s="92"/>
      <c r="D878" s="90"/>
      <c r="E878" s="86"/>
      <c r="F878" s="86"/>
      <c r="G878" s="86"/>
      <c r="H878" s="19"/>
      <c r="I878" s="19"/>
      <c r="J878" s="19"/>
      <c r="K878" s="19"/>
      <c r="L878" s="2"/>
      <c r="M878" s="19"/>
      <c r="N878" s="19"/>
      <c r="O878" s="19"/>
      <c r="P878" s="19"/>
      <c r="Q878" s="91"/>
      <c r="R878" s="91"/>
      <c r="S878" s="19"/>
    </row>
    <row r="879" spans="1:19" ht="15.75" customHeight="1" x14ac:dyDescent="0.25">
      <c r="A879" s="84"/>
      <c r="B879" s="19"/>
      <c r="C879" s="92"/>
      <c r="D879" s="90"/>
      <c r="E879" s="86"/>
      <c r="F879" s="86"/>
      <c r="G879" s="86"/>
      <c r="H879" s="19"/>
      <c r="I879" s="19"/>
      <c r="J879" s="19"/>
      <c r="K879" s="19"/>
      <c r="L879" s="2"/>
      <c r="M879" s="19"/>
      <c r="N879" s="19"/>
      <c r="O879" s="19"/>
      <c r="P879" s="19"/>
      <c r="Q879" s="91"/>
      <c r="R879" s="91"/>
      <c r="S879" s="19"/>
    </row>
    <row r="880" spans="1:19" ht="15.75" customHeight="1" x14ac:dyDescent="0.25">
      <c r="A880" s="84"/>
      <c r="B880" s="19"/>
      <c r="C880" s="92"/>
      <c r="D880" s="90"/>
      <c r="E880" s="86"/>
      <c r="F880" s="86"/>
      <c r="G880" s="86"/>
      <c r="H880" s="19"/>
      <c r="I880" s="19"/>
      <c r="J880" s="19"/>
      <c r="K880" s="19"/>
      <c r="L880" s="2"/>
      <c r="M880" s="19"/>
      <c r="N880" s="19"/>
      <c r="O880" s="19"/>
      <c r="P880" s="19"/>
      <c r="Q880" s="91"/>
      <c r="R880" s="91"/>
      <c r="S880" s="19"/>
    </row>
    <row r="881" spans="1:19" ht="15.75" customHeight="1" x14ac:dyDescent="0.25">
      <c r="A881" s="84"/>
      <c r="B881" s="19"/>
      <c r="C881" s="92"/>
      <c r="D881" s="90"/>
      <c r="E881" s="86"/>
      <c r="F881" s="86"/>
      <c r="G881" s="86"/>
      <c r="H881" s="19"/>
      <c r="I881" s="19"/>
      <c r="J881" s="19"/>
      <c r="K881" s="19"/>
      <c r="L881" s="2"/>
      <c r="M881" s="19"/>
      <c r="N881" s="19"/>
      <c r="O881" s="19"/>
      <c r="P881" s="19"/>
      <c r="Q881" s="91"/>
      <c r="R881" s="91"/>
      <c r="S881" s="19"/>
    </row>
    <row r="882" spans="1:19" ht="15.75" customHeight="1" x14ac:dyDescent="0.25">
      <c r="A882" s="84"/>
      <c r="B882" s="19"/>
      <c r="C882" s="92"/>
      <c r="D882" s="90"/>
      <c r="E882" s="86"/>
      <c r="F882" s="86"/>
      <c r="G882" s="86"/>
      <c r="H882" s="19"/>
      <c r="I882" s="19"/>
      <c r="J882" s="19"/>
      <c r="K882" s="19"/>
      <c r="L882" s="2"/>
      <c r="M882" s="19"/>
      <c r="N882" s="19"/>
      <c r="O882" s="19"/>
      <c r="P882" s="19"/>
      <c r="Q882" s="91"/>
      <c r="R882" s="91"/>
      <c r="S882" s="19"/>
    </row>
    <row r="883" spans="1:19" ht="15.75" customHeight="1" x14ac:dyDescent="0.25">
      <c r="A883" s="84"/>
      <c r="B883" s="19"/>
      <c r="C883" s="92"/>
      <c r="D883" s="90"/>
      <c r="E883" s="86"/>
      <c r="F883" s="86"/>
      <c r="G883" s="86"/>
      <c r="H883" s="19"/>
      <c r="I883" s="19"/>
      <c r="J883" s="19"/>
      <c r="K883" s="19"/>
      <c r="L883" s="2"/>
      <c r="M883" s="19"/>
      <c r="N883" s="19"/>
      <c r="O883" s="19"/>
      <c r="P883" s="19"/>
      <c r="Q883" s="91"/>
      <c r="R883" s="91"/>
      <c r="S883" s="19"/>
    </row>
    <row r="884" spans="1:19" ht="15.75" customHeight="1" x14ac:dyDescent="0.25">
      <c r="A884" s="84"/>
      <c r="B884" s="19"/>
      <c r="C884" s="92"/>
      <c r="D884" s="90"/>
      <c r="E884" s="86"/>
      <c r="F884" s="86"/>
      <c r="G884" s="86"/>
      <c r="H884" s="19"/>
      <c r="I884" s="19"/>
      <c r="J884" s="19"/>
      <c r="K884" s="19"/>
      <c r="L884" s="2"/>
      <c r="M884" s="19"/>
      <c r="N884" s="19"/>
      <c r="O884" s="19"/>
      <c r="P884" s="19"/>
      <c r="Q884" s="91"/>
      <c r="R884" s="91"/>
      <c r="S884" s="19"/>
    </row>
    <row r="885" spans="1:19" ht="15.75" customHeight="1" x14ac:dyDescent="0.25">
      <c r="A885" s="84"/>
      <c r="B885" s="19"/>
      <c r="C885" s="92"/>
      <c r="D885" s="90"/>
      <c r="E885" s="86"/>
      <c r="F885" s="86"/>
      <c r="G885" s="86"/>
      <c r="H885" s="19"/>
      <c r="I885" s="19"/>
      <c r="J885" s="19"/>
      <c r="K885" s="19"/>
      <c r="L885" s="2"/>
      <c r="M885" s="19"/>
      <c r="N885" s="19"/>
      <c r="O885" s="19"/>
      <c r="P885" s="19"/>
      <c r="Q885" s="91"/>
      <c r="R885" s="91"/>
      <c r="S885" s="19"/>
    </row>
    <row r="886" spans="1:19" ht="15.75" customHeight="1" x14ac:dyDescent="0.25">
      <c r="A886" s="84"/>
      <c r="B886" s="19"/>
      <c r="C886" s="92"/>
      <c r="D886" s="90"/>
      <c r="E886" s="86"/>
      <c r="F886" s="86"/>
      <c r="G886" s="86"/>
      <c r="H886" s="19"/>
      <c r="I886" s="19"/>
      <c r="J886" s="19"/>
      <c r="K886" s="19"/>
      <c r="L886" s="2"/>
      <c r="M886" s="19"/>
      <c r="N886" s="19"/>
      <c r="O886" s="19"/>
      <c r="P886" s="19"/>
      <c r="Q886" s="91"/>
      <c r="R886" s="91"/>
      <c r="S886" s="19"/>
    </row>
    <row r="887" spans="1:19" ht="15.75" customHeight="1" x14ac:dyDescent="0.25">
      <c r="A887" s="84"/>
      <c r="B887" s="19"/>
      <c r="C887" s="92"/>
      <c r="D887" s="90"/>
      <c r="E887" s="86"/>
      <c r="F887" s="86"/>
      <c r="G887" s="86"/>
      <c r="H887" s="19"/>
      <c r="I887" s="19"/>
      <c r="J887" s="19"/>
      <c r="K887" s="19"/>
      <c r="L887" s="2"/>
      <c r="M887" s="19"/>
      <c r="N887" s="19"/>
      <c r="O887" s="19"/>
      <c r="P887" s="19"/>
      <c r="Q887" s="91"/>
      <c r="R887" s="91"/>
      <c r="S887" s="19"/>
    </row>
    <row r="888" spans="1:19" ht="15.75" customHeight="1" x14ac:dyDescent="0.25">
      <c r="A888" s="84"/>
      <c r="B888" s="19"/>
      <c r="C888" s="92"/>
      <c r="D888" s="90"/>
      <c r="E888" s="86"/>
      <c r="F888" s="86"/>
      <c r="G888" s="86"/>
      <c r="H888" s="19"/>
      <c r="I888" s="19"/>
      <c r="J888" s="19"/>
      <c r="K888" s="19"/>
      <c r="L888" s="2"/>
      <c r="M888" s="19"/>
      <c r="N888" s="19"/>
      <c r="O888" s="19"/>
      <c r="P888" s="19"/>
      <c r="Q888" s="91"/>
      <c r="R888" s="91"/>
      <c r="S888" s="19"/>
    </row>
    <row r="889" spans="1:19" ht="15.75" customHeight="1" x14ac:dyDescent="0.25">
      <c r="A889" s="84"/>
      <c r="B889" s="19"/>
      <c r="C889" s="92"/>
      <c r="D889" s="90"/>
      <c r="E889" s="86"/>
      <c r="F889" s="86"/>
      <c r="G889" s="86"/>
      <c r="H889" s="19"/>
      <c r="I889" s="19"/>
      <c r="J889" s="19"/>
      <c r="K889" s="19"/>
      <c r="L889" s="2"/>
      <c r="M889" s="19"/>
      <c r="N889" s="19"/>
      <c r="O889" s="19"/>
      <c r="P889" s="19"/>
      <c r="Q889" s="91"/>
      <c r="R889" s="91"/>
      <c r="S889" s="19"/>
    </row>
    <row r="890" spans="1:19" ht="15.75" customHeight="1" x14ac:dyDescent="0.25">
      <c r="A890" s="84"/>
      <c r="B890" s="19"/>
      <c r="C890" s="92"/>
      <c r="D890" s="90"/>
      <c r="E890" s="86"/>
      <c r="F890" s="86"/>
      <c r="G890" s="86"/>
      <c r="H890" s="19"/>
      <c r="I890" s="19"/>
      <c r="J890" s="19"/>
      <c r="K890" s="19"/>
      <c r="L890" s="2"/>
      <c r="M890" s="19"/>
      <c r="N890" s="19"/>
      <c r="O890" s="19"/>
      <c r="P890" s="19"/>
      <c r="Q890" s="91"/>
      <c r="R890" s="91"/>
      <c r="S890" s="19"/>
    </row>
    <row r="891" spans="1:19" ht="15.75" customHeight="1" x14ac:dyDescent="0.25">
      <c r="A891" s="84"/>
      <c r="B891" s="19"/>
      <c r="C891" s="92"/>
      <c r="D891" s="90"/>
      <c r="E891" s="86"/>
      <c r="F891" s="86"/>
      <c r="G891" s="86"/>
      <c r="H891" s="19"/>
      <c r="I891" s="19"/>
      <c r="J891" s="19"/>
      <c r="K891" s="19"/>
      <c r="L891" s="2"/>
      <c r="M891" s="19"/>
      <c r="N891" s="19"/>
      <c r="O891" s="19"/>
      <c r="P891" s="19"/>
      <c r="Q891" s="91"/>
      <c r="R891" s="91"/>
      <c r="S891" s="19"/>
    </row>
    <row r="892" spans="1:19" ht="15.75" customHeight="1" x14ac:dyDescent="0.25">
      <c r="A892" s="84"/>
      <c r="B892" s="19"/>
      <c r="C892" s="92"/>
      <c r="D892" s="90"/>
      <c r="E892" s="86"/>
      <c r="F892" s="86"/>
      <c r="G892" s="86"/>
      <c r="H892" s="19"/>
      <c r="I892" s="19"/>
      <c r="J892" s="19"/>
      <c r="K892" s="19"/>
      <c r="L892" s="2"/>
      <c r="M892" s="19"/>
      <c r="N892" s="19"/>
      <c r="O892" s="19"/>
      <c r="P892" s="19"/>
      <c r="Q892" s="91"/>
      <c r="R892" s="91"/>
      <c r="S892" s="19"/>
    </row>
    <row r="893" spans="1:19" ht="15.75" customHeight="1" x14ac:dyDescent="0.25">
      <c r="A893" s="84"/>
      <c r="B893" s="19"/>
      <c r="C893" s="92"/>
      <c r="D893" s="90"/>
      <c r="E893" s="86"/>
      <c r="F893" s="86"/>
      <c r="G893" s="86"/>
      <c r="H893" s="19"/>
      <c r="I893" s="19"/>
      <c r="J893" s="19"/>
      <c r="K893" s="19"/>
      <c r="L893" s="2"/>
      <c r="M893" s="19"/>
      <c r="N893" s="19"/>
      <c r="O893" s="19"/>
      <c r="P893" s="19"/>
      <c r="Q893" s="91"/>
      <c r="R893" s="91"/>
      <c r="S893" s="19"/>
    </row>
    <row r="894" spans="1:19" ht="15.75" customHeight="1" x14ac:dyDescent="0.25">
      <c r="A894" s="84"/>
      <c r="B894" s="19"/>
      <c r="C894" s="92"/>
      <c r="D894" s="90"/>
      <c r="E894" s="86"/>
      <c r="F894" s="86"/>
      <c r="G894" s="86"/>
      <c r="H894" s="19"/>
      <c r="I894" s="19"/>
      <c r="J894" s="19"/>
      <c r="K894" s="19"/>
      <c r="L894" s="2"/>
      <c r="M894" s="19"/>
      <c r="N894" s="19"/>
      <c r="O894" s="19"/>
      <c r="P894" s="19"/>
      <c r="Q894" s="91"/>
      <c r="R894" s="91"/>
      <c r="S894" s="19"/>
    </row>
    <row r="895" spans="1:19" ht="15.75" customHeight="1" x14ac:dyDescent="0.25">
      <c r="A895" s="84"/>
      <c r="B895" s="19"/>
      <c r="C895" s="92"/>
      <c r="D895" s="90"/>
      <c r="E895" s="86"/>
      <c r="F895" s="86"/>
      <c r="G895" s="86"/>
      <c r="H895" s="19"/>
      <c r="I895" s="19"/>
      <c r="J895" s="19"/>
      <c r="K895" s="19"/>
      <c r="L895" s="2"/>
      <c r="M895" s="19"/>
      <c r="N895" s="19"/>
      <c r="O895" s="19"/>
      <c r="P895" s="19"/>
      <c r="Q895" s="91"/>
      <c r="R895" s="91"/>
      <c r="S895" s="19"/>
    </row>
    <row r="896" spans="1:19" ht="15.75" customHeight="1" x14ac:dyDescent="0.25">
      <c r="A896" s="84"/>
      <c r="B896" s="19"/>
      <c r="C896" s="92"/>
      <c r="D896" s="90"/>
      <c r="E896" s="86"/>
      <c r="F896" s="86"/>
      <c r="G896" s="86"/>
      <c r="H896" s="19"/>
      <c r="I896" s="19"/>
      <c r="J896" s="19"/>
      <c r="K896" s="19"/>
      <c r="L896" s="2"/>
      <c r="M896" s="19"/>
      <c r="N896" s="19"/>
      <c r="O896" s="19"/>
      <c r="P896" s="19"/>
      <c r="Q896" s="91"/>
      <c r="R896" s="91"/>
      <c r="S896" s="19"/>
    </row>
    <row r="897" spans="1:19" ht="15.75" customHeight="1" x14ac:dyDescent="0.25">
      <c r="A897" s="84"/>
      <c r="B897" s="19"/>
      <c r="C897" s="92"/>
      <c r="D897" s="90"/>
      <c r="E897" s="86"/>
      <c r="F897" s="86"/>
      <c r="G897" s="86"/>
      <c r="H897" s="19"/>
      <c r="I897" s="19"/>
      <c r="J897" s="19"/>
      <c r="K897" s="19"/>
      <c r="L897" s="2"/>
      <c r="M897" s="19"/>
      <c r="N897" s="19"/>
      <c r="O897" s="19"/>
      <c r="P897" s="19"/>
      <c r="Q897" s="91"/>
      <c r="R897" s="91"/>
      <c r="S897" s="19"/>
    </row>
    <row r="898" spans="1:19" ht="15.75" customHeight="1" x14ac:dyDescent="0.25">
      <c r="A898" s="84"/>
      <c r="B898" s="19"/>
      <c r="C898" s="92"/>
      <c r="D898" s="90"/>
      <c r="E898" s="86"/>
      <c r="F898" s="86"/>
      <c r="G898" s="86"/>
      <c r="H898" s="19"/>
      <c r="I898" s="19"/>
      <c r="J898" s="19"/>
      <c r="K898" s="19"/>
      <c r="L898" s="2"/>
      <c r="M898" s="19"/>
      <c r="N898" s="19"/>
      <c r="O898" s="19"/>
      <c r="P898" s="19"/>
      <c r="Q898" s="91"/>
      <c r="R898" s="91"/>
      <c r="S898" s="19"/>
    </row>
    <row r="899" spans="1:19" ht="15.75" customHeight="1" x14ac:dyDescent="0.25">
      <c r="A899" s="84"/>
      <c r="B899" s="19"/>
      <c r="C899" s="92"/>
      <c r="D899" s="90"/>
      <c r="E899" s="86"/>
      <c r="F899" s="86"/>
      <c r="G899" s="86"/>
      <c r="H899" s="19"/>
      <c r="I899" s="19"/>
      <c r="J899" s="19"/>
      <c r="K899" s="19"/>
      <c r="L899" s="2"/>
      <c r="M899" s="19"/>
      <c r="N899" s="19"/>
      <c r="O899" s="19"/>
      <c r="P899" s="19"/>
      <c r="Q899" s="91"/>
      <c r="R899" s="91"/>
      <c r="S899" s="19"/>
    </row>
    <row r="900" spans="1:19" ht="15.75" customHeight="1" x14ac:dyDescent="0.25">
      <c r="A900" s="84"/>
      <c r="B900" s="19"/>
      <c r="C900" s="92"/>
      <c r="D900" s="90"/>
      <c r="E900" s="86"/>
      <c r="F900" s="86"/>
      <c r="G900" s="86"/>
      <c r="H900" s="19"/>
      <c r="I900" s="19"/>
      <c r="J900" s="19"/>
      <c r="K900" s="19"/>
      <c r="L900" s="2"/>
      <c r="M900" s="19"/>
      <c r="N900" s="19"/>
      <c r="O900" s="19"/>
      <c r="P900" s="19"/>
      <c r="Q900" s="91"/>
      <c r="R900" s="91"/>
      <c r="S900" s="19"/>
    </row>
    <row r="901" spans="1:19" ht="15.75" customHeight="1" x14ac:dyDescent="0.25">
      <c r="A901" s="84"/>
      <c r="B901" s="19"/>
      <c r="C901" s="92"/>
      <c r="D901" s="90"/>
      <c r="E901" s="86"/>
      <c r="F901" s="86"/>
      <c r="G901" s="86"/>
      <c r="H901" s="19"/>
      <c r="I901" s="19"/>
      <c r="J901" s="19"/>
      <c r="K901" s="19"/>
      <c r="L901" s="2"/>
      <c r="M901" s="19"/>
      <c r="N901" s="19"/>
      <c r="O901" s="19"/>
      <c r="P901" s="19"/>
      <c r="Q901" s="91"/>
      <c r="R901" s="91"/>
      <c r="S901" s="19"/>
    </row>
    <row r="902" spans="1:19" ht="15.75" customHeight="1" x14ac:dyDescent="0.25">
      <c r="A902" s="84"/>
      <c r="B902" s="19"/>
      <c r="C902" s="92"/>
      <c r="D902" s="90"/>
      <c r="E902" s="86"/>
      <c r="F902" s="86"/>
      <c r="G902" s="86"/>
      <c r="H902" s="19"/>
      <c r="I902" s="19"/>
      <c r="J902" s="19"/>
      <c r="K902" s="19"/>
      <c r="L902" s="2"/>
      <c r="M902" s="19"/>
      <c r="N902" s="19"/>
      <c r="O902" s="19"/>
      <c r="P902" s="19"/>
      <c r="Q902" s="91"/>
      <c r="R902" s="91"/>
      <c r="S902" s="19"/>
    </row>
    <row r="903" spans="1:19" ht="15.75" customHeight="1" x14ac:dyDescent="0.25">
      <c r="A903" s="84"/>
      <c r="B903" s="19"/>
      <c r="C903" s="92"/>
      <c r="D903" s="90"/>
      <c r="E903" s="86"/>
      <c r="F903" s="86"/>
      <c r="G903" s="86"/>
      <c r="H903" s="19"/>
      <c r="I903" s="19"/>
      <c r="J903" s="19"/>
      <c r="K903" s="19"/>
      <c r="L903" s="2"/>
      <c r="M903" s="19"/>
      <c r="N903" s="19"/>
      <c r="O903" s="19"/>
      <c r="P903" s="19"/>
      <c r="Q903" s="91"/>
      <c r="R903" s="91"/>
      <c r="S903" s="19"/>
    </row>
    <row r="904" spans="1:19" ht="15.75" customHeight="1" x14ac:dyDescent="0.25">
      <c r="A904" s="84"/>
      <c r="B904" s="19"/>
      <c r="C904" s="92"/>
      <c r="D904" s="90"/>
      <c r="E904" s="86"/>
      <c r="F904" s="86"/>
      <c r="G904" s="86"/>
      <c r="H904" s="19"/>
      <c r="I904" s="19"/>
      <c r="J904" s="19"/>
      <c r="K904" s="19"/>
      <c r="L904" s="2"/>
      <c r="M904" s="19"/>
      <c r="N904" s="19"/>
      <c r="O904" s="19"/>
      <c r="P904" s="19"/>
      <c r="Q904" s="91"/>
      <c r="R904" s="91"/>
      <c r="S904" s="19"/>
    </row>
    <row r="905" spans="1:19" ht="15.75" customHeight="1" x14ac:dyDescent="0.25">
      <c r="A905" s="84"/>
      <c r="B905" s="19"/>
      <c r="C905" s="92"/>
      <c r="D905" s="90"/>
      <c r="E905" s="86"/>
      <c r="F905" s="86"/>
      <c r="G905" s="86"/>
      <c r="H905" s="19"/>
      <c r="I905" s="19"/>
      <c r="J905" s="19"/>
      <c r="K905" s="19"/>
      <c r="L905" s="2"/>
      <c r="M905" s="19"/>
      <c r="N905" s="19"/>
      <c r="O905" s="19"/>
      <c r="P905" s="19"/>
      <c r="Q905" s="91"/>
      <c r="R905" s="91"/>
      <c r="S905" s="19"/>
    </row>
    <row r="906" spans="1:19" ht="15.75" customHeight="1" x14ac:dyDescent="0.25">
      <c r="A906" s="84"/>
      <c r="B906" s="19"/>
      <c r="C906" s="92"/>
      <c r="D906" s="90"/>
      <c r="E906" s="86"/>
      <c r="F906" s="86"/>
      <c r="G906" s="86"/>
      <c r="H906" s="19"/>
      <c r="I906" s="19"/>
      <c r="J906" s="19"/>
      <c r="K906" s="19"/>
      <c r="L906" s="2"/>
      <c r="M906" s="19"/>
      <c r="N906" s="19"/>
      <c r="O906" s="19"/>
      <c r="P906" s="19"/>
      <c r="Q906" s="91"/>
      <c r="R906" s="91"/>
      <c r="S906" s="19"/>
    </row>
    <row r="907" spans="1:19" ht="15.75" customHeight="1" x14ac:dyDescent="0.25">
      <c r="A907" s="84"/>
      <c r="B907" s="19"/>
      <c r="C907" s="92"/>
      <c r="D907" s="90"/>
      <c r="E907" s="86"/>
      <c r="F907" s="86"/>
      <c r="G907" s="86"/>
      <c r="H907" s="19"/>
      <c r="I907" s="19"/>
      <c r="J907" s="19"/>
      <c r="K907" s="19"/>
      <c r="L907" s="2"/>
      <c r="M907" s="19"/>
      <c r="N907" s="19"/>
      <c r="O907" s="19"/>
      <c r="P907" s="19"/>
      <c r="Q907" s="91"/>
      <c r="R907" s="91"/>
      <c r="S907" s="19"/>
    </row>
    <row r="908" spans="1:19" ht="15.75" customHeight="1" x14ac:dyDescent="0.25">
      <c r="A908" s="84"/>
      <c r="B908" s="19"/>
      <c r="C908" s="92"/>
      <c r="D908" s="90"/>
      <c r="E908" s="86"/>
      <c r="F908" s="86"/>
      <c r="G908" s="86"/>
      <c r="H908" s="19"/>
      <c r="I908" s="19"/>
      <c r="J908" s="19"/>
      <c r="K908" s="19"/>
      <c r="L908" s="2"/>
      <c r="M908" s="19"/>
      <c r="N908" s="19"/>
      <c r="O908" s="19"/>
      <c r="P908" s="19"/>
      <c r="Q908" s="91"/>
      <c r="R908" s="91"/>
      <c r="S908" s="19"/>
    </row>
    <row r="909" spans="1:19" ht="15.75" customHeight="1" x14ac:dyDescent="0.25">
      <c r="A909" s="84"/>
      <c r="B909" s="19"/>
      <c r="C909" s="92"/>
      <c r="D909" s="90"/>
      <c r="E909" s="86"/>
      <c r="F909" s="86"/>
      <c r="G909" s="86"/>
      <c r="H909" s="19"/>
      <c r="I909" s="19"/>
      <c r="J909" s="19"/>
      <c r="K909" s="19"/>
      <c r="L909" s="2"/>
      <c r="M909" s="19"/>
      <c r="N909" s="19"/>
      <c r="O909" s="19"/>
      <c r="P909" s="19"/>
      <c r="Q909" s="91"/>
      <c r="R909" s="91"/>
      <c r="S909" s="19"/>
    </row>
    <row r="910" spans="1:19" ht="15.75" customHeight="1" x14ac:dyDescent="0.25">
      <c r="A910" s="84"/>
      <c r="B910" s="19"/>
      <c r="C910" s="92"/>
      <c r="D910" s="90"/>
      <c r="E910" s="86"/>
      <c r="F910" s="86"/>
      <c r="G910" s="86"/>
      <c r="H910" s="19"/>
      <c r="I910" s="19"/>
      <c r="J910" s="19"/>
      <c r="K910" s="19"/>
      <c r="L910" s="2"/>
      <c r="M910" s="19"/>
      <c r="N910" s="19"/>
      <c r="O910" s="19"/>
      <c r="P910" s="19"/>
      <c r="Q910" s="91"/>
      <c r="R910" s="91"/>
      <c r="S910" s="19"/>
    </row>
    <row r="911" spans="1:19" ht="15.75" customHeight="1" x14ac:dyDescent="0.25">
      <c r="A911" s="84"/>
      <c r="B911" s="19"/>
      <c r="C911" s="92"/>
      <c r="D911" s="90"/>
      <c r="E911" s="86"/>
      <c r="F911" s="86"/>
      <c r="G911" s="86"/>
      <c r="H911" s="19"/>
      <c r="I911" s="19"/>
      <c r="J911" s="19"/>
      <c r="K911" s="19"/>
      <c r="L911" s="2"/>
      <c r="M911" s="19"/>
      <c r="N911" s="19"/>
      <c r="O911" s="19"/>
      <c r="P911" s="19"/>
      <c r="Q911" s="91"/>
      <c r="R911" s="91"/>
      <c r="S911" s="19"/>
    </row>
    <row r="912" spans="1:19" ht="15.75" customHeight="1" x14ac:dyDescent="0.25">
      <c r="A912" s="84"/>
      <c r="B912" s="19"/>
      <c r="C912" s="92"/>
      <c r="D912" s="90"/>
      <c r="E912" s="86"/>
      <c r="F912" s="86"/>
      <c r="G912" s="86"/>
      <c r="H912" s="19"/>
      <c r="I912" s="19"/>
      <c r="J912" s="19"/>
      <c r="K912" s="19"/>
      <c r="L912" s="2"/>
      <c r="M912" s="19"/>
      <c r="N912" s="19"/>
      <c r="O912" s="19"/>
      <c r="P912" s="19"/>
      <c r="Q912" s="91"/>
      <c r="R912" s="91"/>
      <c r="S912" s="19"/>
    </row>
    <row r="913" spans="1:19" ht="15.75" customHeight="1" x14ac:dyDescent="0.25">
      <c r="A913" s="84"/>
      <c r="B913" s="19"/>
      <c r="C913" s="92"/>
      <c r="D913" s="90"/>
      <c r="E913" s="86"/>
      <c r="F913" s="86"/>
      <c r="G913" s="86"/>
      <c r="H913" s="19"/>
      <c r="I913" s="19"/>
      <c r="J913" s="19"/>
      <c r="K913" s="19"/>
      <c r="L913" s="2"/>
      <c r="M913" s="19"/>
      <c r="N913" s="19"/>
      <c r="O913" s="19"/>
      <c r="P913" s="19"/>
      <c r="Q913" s="91"/>
      <c r="R913" s="91"/>
      <c r="S913" s="19"/>
    </row>
    <row r="914" spans="1:19" ht="15.75" customHeight="1" x14ac:dyDescent="0.25">
      <c r="A914" s="84"/>
      <c r="B914" s="19"/>
      <c r="C914" s="92"/>
      <c r="D914" s="90"/>
      <c r="E914" s="86"/>
      <c r="F914" s="86"/>
      <c r="G914" s="86"/>
      <c r="H914" s="19"/>
      <c r="I914" s="19"/>
      <c r="J914" s="19"/>
      <c r="K914" s="19"/>
      <c r="L914" s="2"/>
      <c r="M914" s="19"/>
      <c r="N914" s="19"/>
      <c r="O914" s="19"/>
      <c r="P914" s="19"/>
      <c r="Q914" s="91"/>
      <c r="R914" s="91"/>
      <c r="S914" s="19"/>
    </row>
    <row r="915" spans="1:19" ht="15.75" customHeight="1" x14ac:dyDescent="0.25">
      <c r="A915" s="84"/>
      <c r="B915" s="19"/>
      <c r="C915" s="92"/>
      <c r="D915" s="90"/>
      <c r="E915" s="86"/>
      <c r="F915" s="86"/>
      <c r="G915" s="86"/>
      <c r="H915" s="19"/>
      <c r="I915" s="19"/>
      <c r="J915" s="19"/>
      <c r="K915" s="19"/>
      <c r="L915" s="2"/>
      <c r="M915" s="19"/>
      <c r="N915" s="19"/>
      <c r="O915" s="19"/>
      <c r="P915" s="19"/>
      <c r="Q915" s="91"/>
      <c r="R915" s="91"/>
      <c r="S915" s="19"/>
    </row>
    <row r="916" spans="1:19" ht="15.75" customHeight="1" x14ac:dyDescent="0.25">
      <c r="A916" s="84"/>
      <c r="B916" s="19"/>
      <c r="C916" s="92"/>
      <c r="D916" s="90"/>
      <c r="E916" s="86"/>
      <c r="F916" s="86"/>
      <c r="G916" s="86"/>
      <c r="H916" s="19"/>
      <c r="I916" s="19"/>
      <c r="J916" s="19"/>
      <c r="K916" s="19"/>
      <c r="L916" s="2"/>
      <c r="M916" s="19"/>
      <c r="N916" s="19"/>
      <c r="O916" s="19"/>
      <c r="P916" s="19"/>
      <c r="Q916" s="91"/>
      <c r="R916" s="91"/>
      <c r="S916" s="19"/>
    </row>
    <row r="917" spans="1:19" ht="15.75" customHeight="1" x14ac:dyDescent="0.25">
      <c r="A917" s="84"/>
      <c r="B917" s="19"/>
      <c r="C917" s="92"/>
      <c r="D917" s="90"/>
      <c r="E917" s="86"/>
      <c r="F917" s="86"/>
      <c r="G917" s="86"/>
      <c r="H917" s="19"/>
      <c r="I917" s="19"/>
      <c r="J917" s="19"/>
      <c r="K917" s="19"/>
      <c r="L917" s="2"/>
      <c r="M917" s="19"/>
      <c r="N917" s="19"/>
      <c r="O917" s="19"/>
      <c r="P917" s="19"/>
      <c r="Q917" s="91"/>
      <c r="R917" s="91"/>
      <c r="S917" s="19"/>
    </row>
    <row r="918" spans="1:19" ht="15.75" customHeight="1" x14ac:dyDescent="0.25">
      <c r="A918" s="84"/>
      <c r="B918" s="19"/>
      <c r="C918" s="92"/>
      <c r="D918" s="90"/>
      <c r="E918" s="86"/>
      <c r="F918" s="86"/>
      <c r="G918" s="86"/>
      <c r="H918" s="19"/>
      <c r="I918" s="19"/>
      <c r="J918" s="19"/>
      <c r="K918" s="19"/>
      <c r="L918" s="2"/>
      <c r="M918" s="19"/>
      <c r="N918" s="19"/>
      <c r="O918" s="19"/>
      <c r="P918" s="19"/>
      <c r="Q918" s="91"/>
      <c r="R918" s="91"/>
      <c r="S918" s="19"/>
    </row>
    <row r="919" spans="1:19" ht="15.75" customHeight="1" x14ac:dyDescent="0.25">
      <c r="A919" s="84"/>
      <c r="B919" s="19"/>
      <c r="C919" s="92"/>
      <c r="D919" s="90"/>
      <c r="E919" s="86"/>
      <c r="F919" s="86"/>
      <c r="G919" s="86"/>
      <c r="H919" s="19"/>
      <c r="I919" s="19"/>
      <c r="J919" s="19"/>
      <c r="K919" s="19"/>
      <c r="L919" s="2"/>
      <c r="M919" s="19"/>
      <c r="N919" s="19"/>
      <c r="O919" s="19"/>
      <c r="P919" s="19"/>
      <c r="Q919" s="91"/>
      <c r="R919" s="91"/>
      <c r="S919" s="19"/>
    </row>
    <row r="920" spans="1:19" ht="15.75" customHeight="1" x14ac:dyDescent="0.25">
      <c r="A920" s="84"/>
      <c r="B920" s="19"/>
      <c r="C920" s="92"/>
      <c r="D920" s="90"/>
      <c r="E920" s="86"/>
      <c r="F920" s="86"/>
      <c r="G920" s="86"/>
      <c r="H920" s="19"/>
      <c r="I920" s="19"/>
      <c r="J920" s="19"/>
      <c r="K920" s="19"/>
      <c r="L920" s="2"/>
      <c r="M920" s="19"/>
      <c r="N920" s="19"/>
      <c r="O920" s="19"/>
      <c r="P920" s="19"/>
      <c r="Q920" s="91"/>
      <c r="R920" s="91"/>
      <c r="S920" s="19"/>
    </row>
    <row r="921" spans="1:19" ht="15.75" customHeight="1" x14ac:dyDescent="0.25">
      <c r="A921" s="84"/>
      <c r="B921" s="19"/>
      <c r="C921" s="92"/>
      <c r="D921" s="90"/>
      <c r="E921" s="86"/>
      <c r="F921" s="86"/>
      <c r="G921" s="86"/>
      <c r="H921" s="19"/>
      <c r="I921" s="19"/>
      <c r="J921" s="19"/>
      <c r="K921" s="19"/>
      <c r="L921" s="2"/>
      <c r="M921" s="19"/>
      <c r="N921" s="19"/>
      <c r="O921" s="19"/>
      <c r="P921" s="19"/>
      <c r="Q921" s="91"/>
      <c r="R921" s="91"/>
      <c r="S921" s="19"/>
    </row>
    <row r="922" spans="1:19" ht="15.75" customHeight="1" x14ac:dyDescent="0.25">
      <c r="A922" s="84"/>
      <c r="B922" s="19"/>
      <c r="C922" s="92"/>
      <c r="D922" s="90"/>
      <c r="E922" s="86"/>
      <c r="F922" s="86"/>
      <c r="G922" s="86"/>
      <c r="H922" s="19"/>
      <c r="I922" s="19"/>
      <c r="J922" s="19"/>
      <c r="K922" s="19"/>
      <c r="L922" s="2"/>
      <c r="M922" s="19"/>
      <c r="N922" s="19"/>
      <c r="O922" s="19"/>
      <c r="P922" s="19"/>
      <c r="Q922" s="91"/>
      <c r="R922" s="91"/>
      <c r="S922" s="19"/>
    </row>
    <row r="923" spans="1:19" ht="15.75" customHeight="1" x14ac:dyDescent="0.25">
      <c r="A923" s="84"/>
      <c r="B923" s="19"/>
      <c r="C923" s="92"/>
      <c r="D923" s="90"/>
      <c r="E923" s="86"/>
      <c r="F923" s="86"/>
      <c r="G923" s="86"/>
      <c r="H923" s="19"/>
      <c r="I923" s="19"/>
      <c r="J923" s="19"/>
      <c r="K923" s="19"/>
      <c r="L923" s="2"/>
      <c r="M923" s="19"/>
      <c r="N923" s="19"/>
      <c r="O923" s="19"/>
      <c r="P923" s="19"/>
      <c r="Q923" s="91"/>
      <c r="R923" s="91"/>
      <c r="S923" s="19"/>
    </row>
    <row r="924" spans="1:19" ht="15.75" customHeight="1" x14ac:dyDescent="0.25">
      <c r="A924" s="84"/>
      <c r="B924" s="19"/>
      <c r="C924" s="92"/>
      <c r="D924" s="90"/>
      <c r="E924" s="86"/>
      <c r="F924" s="86"/>
      <c r="G924" s="86"/>
      <c r="H924" s="19"/>
      <c r="I924" s="19"/>
      <c r="J924" s="19"/>
      <c r="K924" s="19"/>
      <c r="L924" s="2"/>
      <c r="M924" s="19"/>
      <c r="N924" s="19"/>
      <c r="O924" s="19"/>
      <c r="P924" s="19"/>
      <c r="Q924" s="91"/>
      <c r="R924" s="91"/>
      <c r="S924" s="19"/>
    </row>
    <row r="925" spans="1:19" ht="15.75" customHeight="1" x14ac:dyDescent="0.25">
      <c r="A925" s="84"/>
      <c r="B925" s="19"/>
      <c r="C925" s="92"/>
      <c r="D925" s="90"/>
      <c r="E925" s="86"/>
      <c r="F925" s="86"/>
      <c r="G925" s="86"/>
      <c r="H925" s="19"/>
      <c r="I925" s="19"/>
      <c r="J925" s="19"/>
      <c r="K925" s="19"/>
      <c r="L925" s="2"/>
      <c r="M925" s="19"/>
      <c r="N925" s="19"/>
      <c r="O925" s="19"/>
      <c r="P925" s="19"/>
      <c r="Q925" s="91"/>
      <c r="R925" s="91"/>
      <c r="S925" s="19"/>
    </row>
    <row r="926" spans="1:19" ht="15.75" customHeight="1" x14ac:dyDescent="0.25">
      <c r="A926" s="84"/>
      <c r="B926" s="19"/>
      <c r="C926" s="92"/>
      <c r="D926" s="90"/>
      <c r="E926" s="86"/>
      <c r="F926" s="86"/>
      <c r="G926" s="86"/>
      <c r="H926" s="19"/>
      <c r="I926" s="19"/>
      <c r="J926" s="19"/>
      <c r="K926" s="19"/>
      <c r="L926" s="2"/>
      <c r="M926" s="19"/>
      <c r="N926" s="19"/>
      <c r="O926" s="19"/>
      <c r="P926" s="19"/>
      <c r="Q926" s="91"/>
      <c r="R926" s="91"/>
      <c r="S926" s="19"/>
    </row>
    <row r="927" spans="1:19" ht="15.75" customHeight="1" x14ac:dyDescent="0.25">
      <c r="A927" s="84"/>
      <c r="B927" s="19"/>
      <c r="C927" s="92"/>
      <c r="D927" s="90"/>
      <c r="E927" s="86"/>
      <c r="F927" s="86"/>
      <c r="G927" s="86"/>
      <c r="H927" s="19"/>
      <c r="I927" s="19"/>
      <c r="J927" s="19"/>
      <c r="K927" s="19"/>
      <c r="L927" s="2"/>
      <c r="M927" s="19"/>
      <c r="N927" s="19"/>
      <c r="O927" s="19"/>
      <c r="P927" s="19"/>
      <c r="Q927" s="91"/>
      <c r="R927" s="91"/>
      <c r="S927" s="19"/>
    </row>
    <row r="928" spans="1:19" ht="15.75" customHeight="1" x14ac:dyDescent="0.25">
      <c r="A928" s="84"/>
      <c r="B928" s="19"/>
      <c r="C928" s="92"/>
      <c r="D928" s="90"/>
      <c r="E928" s="86"/>
      <c r="F928" s="86"/>
      <c r="G928" s="86"/>
      <c r="H928" s="19"/>
      <c r="I928" s="19"/>
      <c r="J928" s="19"/>
      <c r="K928" s="19"/>
      <c r="L928" s="2"/>
      <c r="M928" s="19"/>
      <c r="N928" s="19"/>
      <c r="O928" s="19"/>
      <c r="P928" s="19"/>
      <c r="Q928" s="91"/>
      <c r="R928" s="91"/>
      <c r="S928" s="19"/>
    </row>
    <row r="929" spans="1:19" ht="15.75" customHeight="1" x14ac:dyDescent="0.25">
      <c r="A929" s="84"/>
      <c r="B929" s="19"/>
      <c r="C929" s="92"/>
      <c r="D929" s="90"/>
      <c r="E929" s="86"/>
      <c r="F929" s="86"/>
      <c r="G929" s="86"/>
      <c r="H929" s="19"/>
      <c r="I929" s="19"/>
      <c r="J929" s="19"/>
      <c r="K929" s="19"/>
      <c r="L929" s="2"/>
      <c r="M929" s="19"/>
      <c r="N929" s="19"/>
      <c r="O929" s="19"/>
      <c r="P929" s="19"/>
      <c r="Q929" s="91"/>
      <c r="R929" s="91"/>
      <c r="S929" s="19"/>
    </row>
    <row r="930" spans="1:19" ht="15.75" customHeight="1" x14ac:dyDescent="0.25">
      <c r="A930" s="84"/>
      <c r="B930" s="19"/>
      <c r="C930" s="92"/>
      <c r="D930" s="90"/>
      <c r="E930" s="86"/>
      <c r="F930" s="86"/>
      <c r="G930" s="86"/>
      <c r="H930" s="19"/>
      <c r="I930" s="19"/>
      <c r="J930" s="19"/>
      <c r="K930" s="19"/>
      <c r="L930" s="2"/>
      <c r="M930" s="19"/>
      <c r="N930" s="19"/>
      <c r="O930" s="19"/>
      <c r="P930" s="19"/>
      <c r="Q930" s="91"/>
      <c r="R930" s="91"/>
      <c r="S930" s="19"/>
    </row>
    <row r="931" spans="1:19" ht="15.75" customHeight="1" x14ac:dyDescent="0.25">
      <c r="A931" s="84"/>
      <c r="B931" s="19"/>
      <c r="C931" s="92"/>
      <c r="D931" s="90"/>
      <c r="E931" s="86"/>
      <c r="F931" s="86"/>
      <c r="G931" s="86"/>
      <c r="H931" s="19"/>
      <c r="I931" s="19"/>
      <c r="J931" s="19"/>
      <c r="K931" s="19"/>
      <c r="L931" s="2"/>
      <c r="M931" s="19"/>
      <c r="N931" s="19"/>
      <c r="O931" s="19"/>
      <c r="P931" s="19"/>
      <c r="Q931" s="91"/>
      <c r="R931" s="91"/>
      <c r="S931" s="19"/>
    </row>
    <row r="932" spans="1:19" ht="15.75" customHeight="1" x14ac:dyDescent="0.25">
      <c r="A932" s="84"/>
      <c r="B932" s="19"/>
      <c r="C932" s="92"/>
      <c r="D932" s="90"/>
      <c r="E932" s="86"/>
      <c r="F932" s="86"/>
      <c r="G932" s="86"/>
      <c r="H932" s="19"/>
      <c r="I932" s="19"/>
      <c r="J932" s="19"/>
      <c r="K932" s="19"/>
      <c r="L932" s="2"/>
      <c r="M932" s="19"/>
      <c r="N932" s="19"/>
      <c r="O932" s="19"/>
      <c r="P932" s="19"/>
      <c r="Q932" s="91"/>
      <c r="R932" s="91"/>
      <c r="S932" s="19"/>
    </row>
    <row r="933" spans="1:19" ht="15.75" customHeight="1" x14ac:dyDescent="0.25">
      <c r="A933" s="84"/>
      <c r="B933" s="19"/>
      <c r="C933" s="92"/>
      <c r="D933" s="90"/>
      <c r="E933" s="86"/>
      <c r="F933" s="86"/>
      <c r="G933" s="86"/>
      <c r="H933" s="19"/>
      <c r="I933" s="19"/>
      <c r="J933" s="19"/>
      <c r="K933" s="19"/>
      <c r="L933" s="2"/>
      <c r="M933" s="19"/>
      <c r="N933" s="19"/>
      <c r="O933" s="19"/>
      <c r="P933" s="19"/>
      <c r="Q933" s="91"/>
      <c r="R933" s="91"/>
      <c r="S933" s="19"/>
    </row>
    <row r="934" spans="1:19" ht="15.75" customHeight="1" x14ac:dyDescent="0.25">
      <c r="A934" s="84"/>
      <c r="B934" s="19"/>
      <c r="C934" s="92"/>
      <c r="D934" s="90"/>
      <c r="E934" s="86"/>
      <c r="F934" s="86"/>
      <c r="G934" s="86"/>
      <c r="H934" s="19"/>
      <c r="I934" s="19"/>
      <c r="J934" s="19"/>
      <c r="K934" s="19"/>
      <c r="L934" s="2"/>
      <c r="M934" s="19"/>
      <c r="N934" s="19"/>
      <c r="O934" s="19"/>
      <c r="P934" s="19"/>
      <c r="Q934" s="91"/>
      <c r="R934" s="91"/>
      <c r="S934" s="19"/>
    </row>
    <row r="935" spans="1:19" ht="15.75" customHeight="1" x14ac:dyDescent="0.25">
      <c r="A935" s="84"/>
      <c r="B935" s="19"/>
      <c r="C935" s="92"/>
      <c r="D935" s="90"/>
      <c r="E935" s="86"/>
      <c r="F935" s="86"/>
      <c r="G935" s="86"/>
      <c r="H935" s="19"/>
      <c r="I935" s="19"/>
      <c r="J935" s="19"/>
      <c r="K935" s="19"/>
      <c r="L935" s="2"/>
      <c r="M935" s="19"/>
      <c r="N935" s="19"/>
      <c r="O935" s="19"/>
      <c r="P935" s="19"/>
      <c r="Q935" s="91"/>
      <c r="R935" s="91"/>
      <c r="S935" s="19"/>
    </row>
    <row r="936" spans="1:19" ht="15.75" customHeight="1" x14ac:dyDescent="0.25">
      <c r="A936" s="84"/>
      <c r="B936" s="19"/>
      <c r="C936" s="92"/>
      <c r="D936" s="90"/>
      <c r="E936" s="86"/>
      <c r="F936" s="86"/>
      <c r="G936" s="86"/>
      <c r="H936" s="19"/>
      <c r="I936" s="19"/>
      <c r="J936" s="19"/>
      <c r="K936" s="19"/>
      <c r="L936" s="2"/>
      <c r="M936" s="19"/>
      <c r="N936" s="19"/>
      <c r="O936" s="19"/>
      <c r="P936" s="19"/>
      <c r="Q936" s="91"/>
      <c r="R936" s="91"/>
      <c r="S936" s="19"/>
    </row>
    <row r="937" spans="1:19" ht="15.75" customHeight="1" x14ac:dyDescent="0.25">
      <c r="A937" s="84"/>
      <c r="B937" s="19"/>
      <c r="C937" s="92"/>
      <c r="D937" s="90"/>
      <c r="E937" s="86"/>
      <c r="F937" s="86"/>
      <c r="G937" s="86"/>
      <c r="H937" s="19"/>
      <c r="I937" s="19"/>
      <c r="J937" s="19"/>
      <c r="K937" s="19"/>
      <c r="L937" s="2"/>
      <c r="M937" s="19"/>
      <c r="N937" s="19"/>
      <c r="O937" s="19"/>
      <c r="P937" s="19"/>
      <c r="Q937" s="91"/>
      <c r="R937" s="91"/>
      <c r="S937" s="19"/>
    </row>
    <row r="938" spans="1:19" ht="15.75" customHeight="1" x14ac:dyDescent="0.25">
      <c r="A938" s="84"/>
      <c r="B938" s="19"/>
      <c r="C938" s="92"/>
      <c r="D938" s="90"/>
      <c r="E938" s="86"/>
      <c r="F938" s="86"/>
      <c r="G938" s="86"/>
      <c r="H938" s="19"/>
      <c r="I938" s="19"/>
      <c r="J938" s="19"/>
      <c r="K938" s="19"/>
      <c r="L938" s="2"/>
      <c r="M938" s="19"/>
      <c r="N938" s="19"/>
      <c r="O938" s="19"/>
      <c r="P938" s="19"/>
      <c r="Q938" s="91"/>
      <c r="R938" s="91"/>
      <c r="S938" s="19"/>
    </row>
    <row r="939" spans="1:19" ht="15.75" customHeight="1" x14ac:dyDescent="0.25">
      <c r="A939" s="84"/>
      <c r="B939" s="19"/>
      <c r="C939" s="92"/>
      <c r="D939" s="90"/>
      <c r="E939" s="86"/>
      <c r="F939" s="86"/>
      <c r="G939" s="86"/>
      <c r="H939" s="19"/>
      <c r="I939" s="19"/>
      <c r="J939" s="19"/>
      <c r="K939" s="19"/>
      <c r="L939" s="2"/>
      <c r="M939" s="19"/>
      <c r="N939" s="19"/>
      <c r="O939" s="19"/>
      <c r="P939" s="19"/>
      <c r="Q939" s="91"/>
      <c r="R939" s="91"/>
      <c r="S939" s="19"/>
    </row>
    <row r="940" spans="1:19" ht="15.75" customHeight="1" x14ac:dyDescent="0.25">
      <c r="A940" s="84"/>
      <c r="B940" s="19"/>
      <c r="C940" s="92"/>
      <c r="D940" s="90"/>
      <c r="E940" s="86"/>
      <c r="F940" s="86"/>
      <c r="G940" s="86"/>
      <c r="H940" s="19"/>
      <c r="I940" s="19"/>
      <c r="J940" s="19"/>
      <c r="K940" s="19"/>
      <c r="L940" s="2"/>
      <c r="M940" s="19"/>
      <c r="N940" s="19"/>
      <c r="O940" s="19"/>
      <c r="P940" s="19"/>
      <c r="Q940" s="91"/>
      <c r="R940" s="91"/>
      <c r="S940" s="19"/>
    </row>
    <row r="941" spans="1:19" ht="15.75" customHeight="1" x14ac:dyDescent="0.25">
      <c r="A941" s="84"/>
      <c r="B941" s="19"/>
      <c r="C941" s="92"/>
      <c r="D941" s="90"/>
      <c r="E941" s="86"/>
      <c r="F941" s="86"/>
      <c r="G941" s="86"/>
      <c r="H941" s="19"/>
      <c r="I941" s="19"/>
      <c r="J941" s="19"/>
      <c r="K941" s="19"/>
      <c r="L941" s="2"/>
      <c r="M941" s="19"/>
      <c r="N941" s="19"/>
      <c r="O941" s="19"/>
      <c r="P941" s="19"/>
      <c r="Q941" s="91"/>
      <c r="R941" s="91"/>
      <c r="S941" s="19"/>
    </row>
    <row r="942" spans="1:19" ht="15.75" customHeight="1" x14ac:dyDescent="0.25">
      <c r="A942" s="84"/>
      <c r="B942" s="19"/>
      <c r="C942" s="92"/>
      <c r="D942" s="90"/>
      <c r="E942" s="86"/>
      <c r="F942" s="86"/>
      <c r="G942" s="86"/>
      <c r="H942" s="19"/>
      <c r="I942" s="19"/>
      <c r="J942" s="19"/>
      <c r="K942" s="19"/>
      <c r="L942" s="2"/>
      <c r="M942" s="19"/>
      <c r="N942" s="19"/>
      <c r="O942" s="19"/>
      <c r="P942" s="19"/>
      <c r="Q942" s="91"/>
      <c r="R942" s="91"/>
      <c r="S942" s="19"/>
    </row>
    <row r="943" spans="1:19" ht="15.75" customHeight="1" x14ac:dyDescent="0.25">
      <c r="A943" s="84"/>
      <c r="B943" s="19"/>
      <c r="C943" s="92"/>
      <c r="D943" s="90"/>
      <c r="E943" s="86"/>
      <c r="F943" s="86"/>
      <c r="G943" s="86"/>
      <c r="H943" s="19"/>
      <c r="I943" s="19"/>
      <c r="J943" s="19"/>
      <c r="K943" s="19"/>
      <c r="L943" s="2"/>
      <c r="M943" s="19"/>
      <c r="N943" s="19"/>
      <c r="O943" s="19"/>
      <c r="P943" s="19"/>
      <c r="Q943" s="91"/>
      <c r="R943" s="91"/>
      <c r="S943" s="19"/>
    </row>
    <row r="944" spans="1:19" ht="15.75" customHeight="1" x14ac:dyDescent="0.25">
      <c r="A944" s="84"/>
      <c r="B944" s="19"/>
      <c r="C944" s="92"/>
      <c r="D944" s="90"/>
      <c r="E944" s="86"/>
      <c r="F944" s="86"/>
      <c r="G944" s="86"/>
      <c r="H944" s="19"/>
      <c r="I944" s="19"/>
      <c r="J944" s="19"/>
      <c r="K944" s="19"/>
      <c r="L944" s="2"/>
      <c r="M944" s="19"/>
      <c r="N944" s="19"/>
      <c r="O944" s="19"/>
      <c r="P944" s="19"/>
      <c r="Q944" s="91"/>
      <c r="R944" s="91"/>
      <c r="S944" s="19"/>
    </row>
    <row r="945" spans="1:19" ht="15.75" customHeight="1" x14ac:dyDescent="0.25">
      <c r="A945" s="84"/>
      <c r="B945" s="19"/>
      <c r="C945" s="92"/>
      <c r="D945" s="90"/>
      <c r="E945" s="86"/>
      <c r="F945" s="86"/>
      <c r="G945" s="86"/>
      <c r="H945" s="19"/>
      <c r="I945" s="19"/>
      <c r="J945" s="19"/>
      <c r="K945" s="19"/>
      <c r="L945" s="2"/>
      <c r="M945" s="19"/>
      <c r="N945" s="19"/>
      <c r="O945" s="19"/>
      <c r="P945" s="19"/>
      <c r="Q945" s="91"/>
      <c r="R945" s="91"/>
      <c r="S945" s="19"/>
    </row>
    <row r="946" spans="1:19" ht="15.75" customHeight="1" x14ac:dyDescent="0.25">
      <c r="A946" s="84"/>
      <c r="B946" s="19"/>
      <c r="C946" s="92"/>
      <c r="D946" s="90"/>
      <c r="E946" s="86"/>
      <c r="F946" s="86"/>
      <c r="G946" s="86"/>
      <c r="H946" s="19"/>
      <c r="I946" s="19"/>
      <c r="J946" s="19"/>
      <c r="K946" s="19"/>
      <c r="L946" s="2"/>
      <c r="M946" s="19"/>
      <c r="N946" s="19"/>
      <c r="O946" s="19"/>
      <c r="P946" s="19"/>
      <c r="Q946" s="91"/>
      <c r="R946" s="91"/>
      <c r="S946" s="19"/>
    </row>
    <row r="947" spans="1:19" ht="15.75" customHeight="1" x14ac:dyDescent="0.25">
      <c r="A947" s="84"/>
      <c r="B947" s="19"/>
      <c r="C947" s="92"/>
      <c r="D947" s="90"/>
      <c r="E947" s="86"/>
      <c r="F947" s="86"/>
      <c r="G947" s="86"/>
      <c r="H947" s="19"/>
      <c r="I947" s="19"/>
      <c r="J947" s="19"/>
      <c r="K947" s="19"/>
      <c r="L947" s="2"/>
      <c r="M947" s="19"/>
      <c r="N947" s="19"/>
      <c r="O947" s="19"/>
      <c r="P947" s="19"/>
      <c r="Q947" s="91"/>
      <c r="R947" s="91"/>
      <c r="S947" s="19"/>
    </row>
    <row r="948" spans="1:19" ht="15.75" customHeight="1" x14ac:dyDescent="0.25">
      <c r="A948" s="84"/>
      <c r="B948" s="19"/>
      <c r="C948" s="92"/>
      <c r="D948" s="90"/>
      <c r="E948" s="86"/>
      <c r="F948" s="86"/>
      <c r="G948" s="86"/>
      <c r="H948" s="19"/>
      <c r="I948" s="19"/>
      <c r="J948" s="19"/>
      <c r="K948" s="19"/>
      <c r="L948" s="2"/>
      <c r="M948" s="19"/>
      <c r="N948" s="19"/>
      <c r="O948" s="19"/>
      <c r="P948" s="19"/>
      <c r="Q948" s="91"/>
      <c r="R948" s="91"/>
      <c r="S948" s="19"/>
    </row>
    <row r="949" spans="1:19" ht="15.75" customHeight="1" x14ac:dyDescent="0.25">
      <c r="A949" s="84"/>
      <c r="B949" s="19"/>
      <c r="C949" s="92"/>
      <c r="D949" s="90"/>
      <c r="E949" s="86"/>
      <c r="F949" s="86"/>
      <c r="G949" s="86"/>
      <c r="H949" s="19"/>
      <c r="I949" s="19"/>
      <c r="J949" s="19"/>
      <c r="K949" s="19"/>
      <c r="L949" s="2"/>
      <c r="M949" s="19"/>
      <c r="N949" s="19"/>
      <c r="O949" s="19"/>
      <c r="P949" s="19"/>
      <c r="Q949" s="91"/>
      <c r="R949" s="91"/>
      <c r="S949" s="19"/>
    </row>
    <row r="950" spans="1:19" ht="15.75" customHeight="1" x14ac:dyDescent="0.25">
      <c r="A950" s="84"/>
      <c r="B950" s="19"/>
      <c r="C950" s="92"/>
      <c r="D950" s="90"/>
      <c r="E950" s="86"/>
      <c r="F950" s="86"/>
      <c r="G950" s="86"/>
      <c r="H950" s="19"/>
      <c r="I950" s="19"/>
      <c r="J950" s="19"/>
      <c r="K950" s="19"/>
      <c r="L950" s="2"/>
      <c r="M950" s="19"/>
      <c r="N950" s="19"/>
      <c r="O950" s="19"/>
      <c r="P950" s="19"/>
      <c r="Q950" s="91"/>
      <c r="R950" s="91"/>
      <c r="S950" s="19"/>
    </row>
    <row r="951" spans="1:19" ht="15.75" customHeight="1" x14ac:dyDescent="0.25">
      <c r="A951" s="84"/>
      <c r="B951" s="19"/>
      <c r="C951" s="92"/>
      <c r="D951" s="90"/>
      <c r="E951" s="86"/>
      <c r="F951" s="86"/>
      <c r="G951" s="86"/>
      <c r="H951" s="19"/>
      <c r="I951" s="19"/>
      <c r="J951" s="19"/>
      <c r="K951" s="19"/>
      <c r="L951" s="2"/>
      <c r="M951" s="19"/>
      <c r="N951" s="19"/>
      <c r="O951" s="19"/>
      <c r="P951" s="19"/>
      <c r="Q951" s="91"/>
      <c r="R951" s="91"/>
      <c r="S951" s="19"/>
    </row>
    <row r="952" spans="1:19" ht="15.75" customHeight="1" x14ac:dyDescent="0.25">
      <c r="A952" s="84"/>
      <c r="B952" s="19"/>
      <c r="C952" s="92"/>
      <c r="D952" s="90"/>
      <c r="E952" s="86"/>
      <c r="F952" s="86"/>
      <c r="G952" s="86"/>
      <c r="H952" s="19"/>
      <c r="I952" s="19"/>
      <c r="J952" s="19"/>
      <c r="K952" s="19"/>
      <c r="L952" s="2"/>
      <c r="M952" s="19"/>
      <c r="N952" s="19"/>
      <c r="O952" s="19"/>
      <c r="P952" s="19"/>
      <c r="Q952" s="91"/>
      <c r="R952" s="91"/>
      <c r="S952" s="19"/>
    </row>
    <row r="953" spans="1:19" ht="15.75" customHeight="1" x14ac:dyDescent="0.25">
      <c r="A953" s="84"/>
      <c r="B953" s="19"/>
      <c r="C953" s="92"/>
      <c r="D953" s="90"/>
      <c r="E953" s="86"/>
      <c r="F953" s="86"/>
      <c r="G953" s="86"/>
      <c r="H953" s="19"/>
      <c r="I953" s="19"/>
      <c r="J953" s="19"/>
      <c r="K953" s="19"/>
      <c r="L953" s="2"/>
      <c r="M953" s="19"/>
      <c r="N953" s="19"/>
      <c r="O953" s="19"/>
      <c r="P953" s="19"/>
      <c r="Q953" s="91"/>
      <c r="R953" s="91"/>
      <c r="S953" s="19"/>
    </row>
    <row r="954" spans="1:19" ht="15.75" customHeight="1" x14ac:dyDescent="0.25">
      <c r="A954" s="84"/>
      <c r="B954" s="19"/>
      <c r="C954" s="92"/>
      <c r="D954" s="90"/>
      <c r="E954" s="86"/>
      <c r="F954" s="86"/>
      <c r="G954" s="86"/>
      <c r="H954" s="19"/>
      <c r="I954" s="19"/>
      <c r="J954" s="19"/>
      <c r="K954" s="19"/>
      <c r="L954" s="2"/>
      <c r="M954" s="19"/>
      <c r="N954" s="19"/>
      <c r="O954" s="19"/>
      <c r="P954" s="19"/>
      <c r="Q954" s="91"/>
      <c r="R954" s="91"/>
      <c r="S954" s="19"/>
    </row>
    <row r="955" spans="1:19" ht="15.75" customHeight="1" x14ac:dyDescent="0.25">
      <c r="A955" s="84"/>
      <c r="B955" s="19"/>
      <c r="C955" s="92"/>
      <c r="D955" s="90"/>
      <c r="E955" s="86"/>
      <c r="F955" s="86"/>
      <c r="G955" s="86"/>
      <c r="H955" s="19"/>
      <c r="I955" s="19"/>
      <c r="J955" s="19"/>
      <c r="K955" s="19"/>
      <c r="L955" s="2"/>
      <c r="M955" s="19"/>
      <c r="N955" s="19"/>
      <c r="O955" s="19"/>
      <c r="P955" s="19"/>
      <c r="Q955" s="91"/>
      <c r="R955" s="91"/>
      <c r="S955" s="19"/>
    </row>
    <row r="956" spans="1:19" ht="15.75" customHeight="1" x14ac:dyDescent="0.25">
      <c r="A956" s="84"/>
      <c r="B956" s="19"/>
      <c r="C956" s="92"/>
      <c r="D956" s="90"/>
      <c r="E956" s="86"/>
      <c r="F956" s="86"/>
      <c r="G956" s="86"/>
      <c r="H956" s="19"/>
      <c r="I956" s="19"/>
      <c r="J956" s="19"/>
      <c r="K956" s="19"/>
      <c r="L956" s="2"/>
      <c r="M956" s="19"/>
      <c r="N956" s="19"/>
      <c r="O956" s="19"/>
      <c r="P956" s="19"/>
      <c r="Q956" s="91"/>
      <c r="R956" s="91"/>
      <c r="S956" s="19"/>
    </row>
    <row r="957" spans="1:19" ht="15.75" customHeight="1" x14ac:dyDescent="0.25">
      <c r="A957" s="84"/>
      <c r="B957" s="19"/>
      <c r="C957" s="92"/>
      <c r="D957" s="90"/>
      <c r="E957" s="86"/>
      <c r="F957" s="86"/>
      <c r="G957" s="86"/>
      <c r="H957" s="19"/>
      <c r="I957" s="19"/>
      <c r="J957" s="19"/>
      <c r="K957" s="19"/>
      <c r="L957" s="2"/>
      <c r="M957" s="19"/>
      <c r="N957" s="19"/>
      <c r="O957" s="19"/>
      <c r="P957" s="19"/>
      <c r="Q957" s="91"/>
      <c r="R957" s="91"/>
      <c r="S957" s="19"/>
    </row>
    <row r="958" spans="1:19" ht="15.75" customHeight="1" x14ac:dyDescent="0.25">
      <c r="A958" s="84"/>
      <c r="B958" s="19"/>
      <c r="C958" s="92"/>
      <c r="D958" s="90"/>
      <c r="E958" s="86"/>
      <c r="F958" s="86"/>
      <c r="G958" s="86"/>
      <c r="H958" s="19"/>
      <c r="I958" s="19"/>
      <c r="J958" s="19"/>
      <c r="K958" s="19"/>
      <c r="L958" s="2"/>
      <c r="M958" s="19"/>
      <c r="N958" s="19"/>
      <c r="O958" s="19"/>
      <c r="P958" s="19"/>
      <c r="Q958" s="91"/>
      <c r="R958" s="91"/>
      <c r="S958" s="19"/>
    </row>
    <row r="959" spans="1:19" ht="15.75" customHeight="1" x14ac:dyDescent="0.25">
      <c r="A959" s="84"/>
      <c r="B959" s="19"/>
      <c r="C959" s="92"/>
      <c r="D959" s="90"/>
      <c r="E959" s="86"/>
      <c r="F959" s="86"/>
      <c r="G959" s="86"/>
      <c r="H959" s="19"/>
      <c r="I959" s="19"/>
      <c r="J959" s="19"/>
      <c r="K959" s="19"/>
      <c r="L959" s="2"/>
      <c r="M959" s="19"/>
      <c r="N959" s="19"/>
      <c r="O959" s="19"/>
      <c r="P959" s="19"/>
      <c r="Q959" s="91"/>
      <c r="R959" s="91"/>
      <c r="S959" s="19"/>
    </row>
    <row r="960" spans="1:19" ht="15.75" customHeight="1" x14ac:dyDescent="0.25">
      <c r="A960" s="84"/>
      <c r="B960" s="19"/>
      <c r="C960" s="92"/>
      <c r="D960" s="90"/>
      <c r="E960" s="86"/>
      <c r="F960" s="86"/>
      <c r="G960" s="86"/>
      <c r="H960" s="19"/>
      <c r="I960" s="19"/>
      <c r="J960" s="19"/>
      <c r="K960" s="19"/>
      <c r="L960" s="2"/>
      <c r="M960" s="19"/>
      <c r="N960" s="19"/>
      <c r="O960" s="19"/>
      <c r="P960" s="19"/>
      <c r="Q960" s="91"/>
      <c r="R960" s="91"/>
      <c r="S960" s="19"/>
    </row>
    <row r="961" spans="1:19" ht="15.75" customHeight="1" x14ac:dyDescent="0.25">
      <c r="A961" s="84"/>
      <c r="B961" s="19"/>
      <c r="C961" s="92"/>
      <c r="D961" s="90"/>
      <c r="E961" s="86"/>
      <c r="F961" s="86"/>
      <c r="G961" s="86"/>
      <c r="H961" s="19"/>
      <c r="I961" s="19"/>
      <c r="J961" s="19"/>
      <c r="K961" s="19"/>
      <c r="L961" s="2"/>
      <c r="M961" s="19"/>
      <c r="N961" s="19"/>
      <c r="O961" s="19"/>
      <c r="P961" s="19"/>
      <c r="Q961" s="91"/>
      <c r="R961" s="91"/>
      <c r="S961" s="19"/>
    </row>
    <row r="962" spans="1:19" ht="15.75" customHeight="1" x14ac:dyDescent="0.25">
      <c r="A962" s="84"/>
      <c r="B962" s="19"/>
      <c r="C962" s="92"/>
      <c r="D962" s="90"/>
      <c r="E962" s="86"/>
      <c r="F962" s="86"/>
      <c r="G962" s="86"/>
      <c r="H962" s="19"/>
      <c r="I962" s="19"/>
      <c r="J962" s="19"/>
      <c r="K962" s="19"/>
      <c r="L962" s="2"/>
      <c r="M962" s="19"/>
      <c r="N962" s="19"/>
      <c r="O962" s="19"/>
      <c r="P962" s="19"/>
      <c r="Q962" s="91"/>
      <c r="R962" s="91"/>
      <c r="S962" s="19"/>
    </row>
    <row r="963" spans="1:19" ht="15.75" customHeight="1" x14ac:dyDescent="0.25">
      <c r="A963" s="84"/>
      <c r="B963" s="19"/>
      <c r="C963" s="92"/>
      <c r="D963" s="90"/>
      <c r="E963" s="86"/>
      <c r="F963" s="86"/>
      <c r="G963" s="86"/>
      <c r="H963" s="19"/>
      <c r="I963" s="19"/>
      <c r="J963" s="19"/>
      <c r="K963" s="19"/>
      <c r="L963" s="2"/>
      <c r="M963" s="19"/>
      <c r="N963" s="19"/>
      <c r="O963" s="19"/>
      <c r="P963" s="19"/>
      <c r="Q963" s="91"/>
      <c r="R963" s="91"/>
      <c r="S963" s="19"/>
    </row>
    <row r="964" spans="1:19" ht="15.75" customHeight="1" x14ac:dyDescent="0.25">
      <c r="A964" s="84"/>
      <c r="B964" s="19"/>
      <c r="C964" s="92"/>
      <c r="D964" s="90"/>
      <c r="E964" s="86"/>
      <c r="F964" s="86"/>
      <c r="G964" s="86"/>
      <c r="H964" s="19"/>
      <c r="I964" s="19"/>
      <c r="J964" s="19"/>
      <c r="K964" s="19"/>
      <c r="L964" s="2"/>
      <c r="M964" s="19"/>
      <c r="N964" s="19"/>
      <c r="O964" s="19"/>
      <c r="P964" s="19"/>
      <c r="Q964" s="91"/>
      <c r="R964" s="91"/>
      <c r="S964" s="19"/>
    </row>
    <row r="965" spans="1:19" ht="15.75" customHeight="1" x14ac:dyDescent="0.25">
      <c r="A965" s="84"/>
      <c r="B965" s="19"/>
      <c r="C965" s="92"/>
      <c r="D965" s="90"/>
      <c r="E965" s="86"/>
      <c r="F965" s="86"/>
      <c r="G965" s="86"/>
      <c r="H965" s="19"/>
      <c r="I965" s="19"/>
      <c r="J965" s="19"/>
      <c r="K965" s="19"/>
      <c r="L965" s="2"/>
      <c r="M965" s="19"/>
      <c r="N965" s="19"/>
      <c r="O965" s="19"/>
      <c r="P965" s="19"/>
      <c r="Q965" s="91"/>
      <c r="R965" s="91"/>
      <c r="S965" s="19"/>
    </row>
    <row r="966" spans="1:19" ht="15.75" customHeight="1" x14ac:dyDescent="0.25">
      <c r="A966" s="84"/>
      <c r="B966" s="19"/>
      <c r="C966" s="92"/>
      <c r="D966" s="90"/>
      <c r="E966" s="86"/>
      <c r="F966" s="86"/>
      <c r="G966" s="86"/>
      <c r="H966" s="19"/>
      <c r="I966" s="19"/>
      <c r="J966" s="19"/>
      <c r="K966" s="19"/>
      <c r="L966" s="2"/>
      <c r="M966" s="19"/>
      <c r="N966" s="19"/>
      <c r="O966" s="19"/>
      <c r="P966" s="19"/>
      <c r="Q966" s="91"/>
      <c r="R966" s="91"/>
      <c r="S966" s="19"/>
    </row>
    <row r="967" spans="1:19" ht="15.75" customHeight="1" x14ac:dyDescent="0.25">
      <c r="A967" s="84"/>
      <c r="B967" s="19"/>
      <c r="C967" s="92"/>
      <c r="D967" s="90"/>
      <c r="E967" s="86"/>
      <c r="F967" s="86"/>
      <c r="G967" s="86"/>
      <c r="H967" s="19"/>
      <c r="I967" s="19"/>
      <c r="J967" s="19"/>
      <c r="K967" s="19"/>
      <c r="L967" s="2"/>
      <c r="M967" s="19"/>
      <c r="N967" s="19"/>
      <c r="O967" s="19"/>
      <c r="P967" s="19"/>
      <c r="Q967" s="91"/>
      <c r="R967" s="91"/>
      <c r="S967" s="19"/>
    </row>
    <row r="968" spans="1:19" ht="15.75" customHeight="1" x14ac:dyDescent="0.25">
      <c r="A968" s="84"/>
      <c r="B968" s="19"/>
      <c r="C968" s="92"/>
      <c r="D968" s="90"/>
      <c r="E968" s="86"/>
      <c r="F968" s="86"/>
      <c r="G968" s="86"/>
      <c r="H968" s="19"/>
      <c r="I968" s="19"/>
      <c r="J968" s="19"/>
      <c r="K968" s="19"/>
      <c r="L968" s="2"/>
      <c r="M968" s="19"/>
      <c r="N968" s="19"/>
      <c r="O968" s="19"/>
      <c r="P968" s="19"/>
      <c r="Q968" s="91"/>
      <c r="R968" s="91"/>
      <c r="S968" s="19"/>
    </row>
    <row r="969" spans="1:19" ht="15.75" customHeight="1" x14ac:dyDescent="0.25">
      <c r="A969" s="84"/>
      <c r="B969" s="19"/>
      <c r="C969" s="92"/>
      <c r="D969" s="90"/>
      <c r="E969" s="86"/>
      <c r="F969" s="86"/>
      <c r="G969" s="86"/>
      <c r="H969" s="19"/>
      <c r="I969" s="19"/>
      <c r="J969" s="19"/>
      <c r="K969" s="19"/>
      <c r="L969" s="2"/>
      <c r="M969" s="19"/>
      <c r="N969" s="19"/>
      <c r="O969" s="19"/>
      <c r="P969" s="19"/>
      <c r="Q969" s="91"/>
      <c r="R969" s="91"/>
      <c r="S969" s="19"/>
    </row>
    <row r="970" spans="1:19" ht="15.75" customHeight="1" x14ac:dyDescent="0.25">
      <c r="A970" s="84"/>
      <c r="B970" s="19"/>
      <c r="C970" s="92"/>
      <c r="D970" s="90"/>
      <c r="E970" s="86"/>
      <c r="F970" s="86"/>
      <c r="G970" s="86"/>
      <c r="H970" s="19"/>
      <c r="I970" s="19"/>
      <c r="J970" s="19"/>
      <c r="K970" s="19"/>
      <c r="L970" s="2"/>
      <c r="M970" s="19"/>
      <c r="N970" s="19"/>
      <c r="O970" s="19"/>
      <c r="P970" s="19"/>
      <c r="Q970" s="91"/>
      <c r="R970" s="91"/>
      <c r="S970" s="19"/>
    </row>
    <row r="971" spans="1:19" ht="15.75" customHeight="1" x14ac:dyDescent="0.25">
      <c r="A971" s="84"/>
      <c r="B971" s="19"/>
      <c r="C971" s="92"/>
      <c r="D971" s="90"/>
      <c r="E971" s="86"/>
      <c r="F971" s="86"/>
      <c r="G971" s="86"/>
      <c r="H971" s="19"/>
      <c r="I971" s="19"/>
      <c r="J971" s="19"/>
      <c r="K971" s="19"/>
      <c r="L971" s="2"/>
      <c r="M971" s="19"/>
      <c r="N971" s="19"/>
      <c r="O971" s="19"/>
      <c r="P971" s="19"/>
      <c r="Q971" s="91"/>
      <c r="R971" s="91"/>
      <c r="S971" s="19"/>
    </row>
    <row r="972" spans="1:19" ht="15.75" customHeight="1" x14ac:dyDescent="0.25">
      <c r="A972" s="84"/>
      <c r="B972" s="19"/>
      <c r="C972" s="92"/>
      <c r="D972" s="90"/>
      <c r="E972" s="86"/>
      <c r="F972" s="86"/>
      <c r="G972" s="86"/>
      <c r="H972" s="19"/>
      <c r="I972" s="19"/>
      <c r="J972" s="19"/>
      <c r="K972" s="19"/>
      <c r="L972" s="2"/>
      <c r="M972" s="19"/>
      <c r="N972" s="19"/>
      <c r="O972" s="19"/>
      <c r="P972" s="19"/>
      <c r="Q972" s="91"/>
      <c r="R972" s="91"/>
      <c r="S972" s="19"/>
    </row>
    <row r="973" spans="1:19" ht="15.75" customHeight="1" x14ac:dyDescent="0.25">
      <c r="A973" s="84"/>
      <c r="B973" s="19"/>
      <c r="C973" s="92"/>
      <c r="D973" s="90"/>
      <c r="E973" s="86"/>
      <c r="F973" s="86"/>
      <c r="G973" s="86"/>
      <c r="H973" s="19"/>
      <c r="I973" s="19"/>
      <c r="J973" s="19"/>
      <c r="K973" s="19"/>
      <c r="L973" s="2"/>
      <c r="M973" s="19"/>
      <c r="N973" s="19"/>
      <c r="O973" s="19"/>
      <c r="P973" s="19"/>
      <c r="Q973" s="91"/>
      <c r="R973" s="91"/>
      <c r="S973" s="19"/>
    </row>
    <row r="974" spans="1:19" ht="15.75" customHeight="1" x14ac:dyDescent="0.25">
      <c r="A974" s="84"/>
      <c r="B974" s="19"/>
      <c r="C974" s="92"/>
      <c r="D974" s="90"/>
      <c r="E974" s="86"/>
      <c r="F974" s="86"/>
      <c r="G974" s="86"/>
      <c r="H974" s="19"/>
      <c r="I974" s="19"/>
      <c r="J974" s="19"/>
      <c r="K974" s="19"/>
      <c r="L974" s="2"/>
      <c r="M974" s="19"/>
      <c r="N974" s="19"/>
      <c r="O974" s="19"/>
      <c r="P974" s="19"/>
      <c r="Q974" s="91"/>
      <c r="R974" s="91"/>
      <c r="S974" s="19"/>
    </row>
    <row r="975" spans="1:19" ht="15.75" customHeight="1" x14ac:dyDescent="0.25">
      <c r="A975" s="84"/>
      <c r="B975" s="19"/>
      <c r="C975" s="92"/>
      <c r="D975" s="90"/>
      <c r="E975" s="86"/>
      <c r="F975" s="86"/>
      <c r="G975" s="86"/>
      <c r="H975" s="19"/>
      <c r="I975" s="19"/>
      <c r="J975" s="19"/>
      <c r="K975" s="19"/>
      <c r="L975" s="2"/>
      <c r="M975" s="19"/>
      <c r="N975" s="19"/>
      <c r="O975" s="19"/>
      <c r="P975" s="19"/>
      <c r="Q975" s="91"/>
      <c r="R975" s="91"/>
      <c r="S975" s="19"/>
    </row>
    <row r="976" spans="1:19" ht="15.75" customHeight="1" x14ac:dyDescent="0.25">
      <c r="A976" s="84"/>
      <c r="B976" s="19"/>
      <c r="C976" s="92"/>
      <c r="D976" s="90"/>
      <c r="E976" s="86"/>
      <c r="F976" s="86"/>
      <c r="G976" s="86"/>
      <c r="H976" s="19"/>
      <c r="I976" s="19"/>
      <c r="J976" s="19"/>
      <c r="K976" s="19"/>
      <c r="L976" s="2"/>
      <c r="M976" s="19"/>
      <c r="N976" s="19"/>
      <c r="O976" s="19"/>
      <c r="P976" s="19"/>
      <c r="Q976" s="91"/>
      <c r="R976" s="91"/>
      <c r="S976" s="19"/>
    </row>
    <row r="977" spans="1:19" ht="15.75" customHeight="1" x14ac:dyDescent="0.25">
      <c r="A977" s="84"/>
      <c r="B977" s="19"/>
      <c r="C977" s="92"/>
      <c r="D977" s="90"/>
      <c r="E977" s="86"/>
      <c r="F977" s="86"/>
      <c r="G977" s="86"/>
      <c r="H977" s="19"/>
      <c r="I977" s="19"/>
      <c r="J977" s="19"/>
      <c r="K977" s="19"/>
      <c r="L977" s="2"/>
      <c r="M977" s="19"/>
      <c r="N977" s="19"/>
      <c r="O977" s="19"/>
      <c r="P977" s="19"/>
      <c r="Q977" s="91"/>
      <c r="R977" s="91"/>
      <c r="S977" s="19"/>
    </row>
    <row r="978" spans="1:19" ht="15.75" customHeight="1" x14ac:dyDescent="0.25">
      <c r="A978" s="84"/>
      <c r="B978" s="19"/>
      <c r="C978" s="92"/>
      <c r="D978" s="90"/>
      <c r="E978" s="86"/>
      <c r="F978" s="86"/>
      <c r="G978" s="86"/>
      <c r="H978" s="19"/>
      <c r="I978" s="19"/>
      <c r="J978" s="19"/>
      <c r="K978" s="19"/>
      <c r="L978" s="2"/>
      <c r="M978" s="19"/>
      <c r="N978" s="19"/>
      <c r="O978" s="19"/>
      <c r="P978" s="19"/>
      <c r="Q978" s="91"/>
      <c r="R978" s="91"/>
      <c r="S978" s="19"/>
    </row>
    <row r="979" spans="1:19" ht="15.75" customHeight="1" x14ac:dyDescent="0.25">
      <c r="A979" s="84"/>
      <c r="B979" s="19"/>
      <c r="C979" s="92"/>
      <c r="D979" s="90"/>
      <c r="E979" s="86"/>
      <c r="F979" s="86"/>
      <c r="G979" s="86"/>
      <c r="H979" s="19"/>
      <c r="I979" s="19"/>
      <c r="J979" s="19"/>
      <c r="K979" s="19"/>
      <c r="L979" s="2"/>
      <c r="M979" s="19"/>
      <c r="N979" s="19"/>
      <c r="O979" s="19"/>
      <c r="P979" s="19"/>
      <c r="Q979" s="91"/>
      <c r="R979" s="91"/>
      <c r="S979" s="19"/>
    </row>
    <row r="980" spans="1:19" ht="15.75" customHeight="1" x14ac:dyDescent="0.25">
      <c r="A980" s="84"/>
      <c r="B980" s="19"/>
      <c r="C980" s="92"/>
      <c r="D980" s="90"/>
      <c r="E980" s="86"/>
      <c r="F980" s="86"/>
      <c r="G980" s="86"/>
      <c r="H980" s="19"/>
      <c r="I980" s="19"/>
      <c r="J980" s="19"/>
      <c r="K980" s="19"/>
      <c r="L980" s="2"/>
      <c r="M980" s="19"/>
      <c r="N980" s="19"/>
      <c r="O980" s="19"/>
      <c r="P980" s="19"/>
      <c r="Q980" s="91"/>
      <c r="R980" s="91"/>
      <c r="S980" s="19"/>
    </row>
    <row r="981" spans="1:19" ht="15.75" customHeight="1" x14ac:dyDescent="0.25">
      <c r="A981" s="84"/>
      <c r="B981" s="19"/>
      <c r="C981" s="92"/>
      <c r="D981" s="90"/>
      <c r="E981" s="86"/>
      <c r="F981" s="86"/>
      <c r="G981" s="86"/>
      <c r="H981" s="19"/>
      <c r="I981" s="19"/>
      <c r="J981" s="19"/>
      <c r="K981" s="19"/>
      <c r="L981" s="2"/>
      <c r="M981" s="19"/>
      <c r="N981" s="19"/>
      <c r="O981" s="19"/>
      <c r="P981" s="19"/>
      <c r="Q981" s="91"/>
      <c r="R981" s="91"/>
      <c r="S981" s="19"/>
    </row>
    <row r="982" spans="1:19" ht="15.75" customHeight="1" x14ac:dyDescent="0.25">
      <c r="A982" s="84"/>
      <c r="B982" s="19"/>
      <c r="C982" s="92"/>
      <c r="D982" s="90"/>
      <c r="E982" s="86"/>
      <c r="F982" s="86"/>
      <c r="G982" s="86"/>
      <c r="H982" s="19"/>
      <c r="I982" s="19"/>
      <c r="J982" s="19"/>
      <c r="K982" s="19"/>
      <c r="L982" s="2"/>
      <c r="M982" s="19"/>
      <c r="N982" s="19"/>
      <c r="O982" s="19"/>
      <c r="P982" s="19"/>
      <c r="Q982" s="91"/>
      <c r="R982" s="91"/>
      <c r="S982" s="19"/>
    </row>
    <row r="983" spans="1:19" ht="15.75" customHeight="1" x14ac:dyDescent="0.25">
      <c r="A983" s="84"/>
      <c r="B983" s="19"/>
      <c r="C983" s="92"/>
      <c r="D983" s="90"/>
      <c r="E983" s="86"/>
      <c r="F983" s="86"/>
      <c r="G983" s="86"/>
      <c r="H983" s="19"/>
      <c r="I983" s="19"/>
      <c r="J983" s="19"/>
      <c r="K983" s="19"/>
      <c r="L983" s="2"/>
      <c r="M983" s="19"/>
      <c r="N983" s="19"/>
      <c r="O983" s="19"/>
      <c r="P983" s="19"/>
      <c r="Q983" s="91"/>
      <c r="R983" s="91"/>
      <c r="S983" s="19"/>
    </row>
    <row r="984" spans="1:19" ht="15.75" customHeight="1" x14ac:dyDescent="0.25">
      <c r="A984" s="84"/>
      <c r="B984" s="19"/>
      <c r="C984" s="92"/>
      <c r="D984" s="90"/>
      <c r="E984" s="86"/>
      <c r="F984" s="86"/>
      <c r="G984" s="86"/>
      <c r="H984" s="19"/>
      <c r="I984" s="19"/>
      <c r="J984" s="19"/>
      <c r="K984" s="19"/>
      <c r="L984" s="2"/>
      <c r="M984" s="19"/>
      <c r="N984" s="19"/>
      <c r="O984" s="19"/>
      <c r="P984" s="19"/>
      <c r="Q984" s="91"/>
      <c r="R984" s="91"/>
      <c r="S984" s="19"/>
    </row>
    <row r="985" spans="1:19" ht="15.75" customHeight="1" x14ac:dyDescent="0.25">
      <c r="A985" s="84"/>
      <c r="B985" s="19"/>
      <c r="C985" s="92"/>
      <c r="D985" s="90"/>
      <c r="E985" s="86"/>
      <c r="F985" s="86"/>
      <c r="G985" s="86"/>
      <c r="H985" s="19"/>
      <c r="I985" s="19"/>
      <c r="J985" s="19"/>
      <c r="K985" s="19"/>
      <c r="L985" s="2"/>
      <c r="M985" s="19"/>
      <c r="N985" s="19"/>
      <c r="O985" s="19"/>
      <c r="P985" s="19"/>
      <c r="Q985" s="91"/>
      <c r="R985" s="91"/>
      <c r="S985" s="19"/>
    </row>
    <row r="986" spans="1:19" ht="15.75" customHeight="1" x14ac:dyDescent="0.25">
      <c r="A986" s="84"/>
      <c r="B986" s="19"/>
      <c r="C986" s="92"/>
      <c r="D986" s="90"/>
      <c r="E986" s="86"/>
      <c r="F986" s="86"/>
      <c r="G986" s="86"/>
      <c r="H986" s="19"/>
      <c r="I986" s="19"/>
      <c r="J986" s="19"/>
      <c r="K986" s="19"/>
      <c r="L986" s="2"/>
      <c r="M986" s="19"/>
      <c r="N986" s="19"/>
      <c r="O986" s="19"/>
      <c r="P986" s="19"/>
      <c r="Q986" s="91"/>
      <c r="R986" s="91"/>
      <c r="S986" s="19"/>
    </row>
    <row r="987" spans="1:19" ht="15.75" customHeight="1" x14ac:dyDescent="0.25">
      <c r="A987" s="84"/>
      <c r="B987" s="19"/>
      <c r="C987" s="92"/>
      <c r="D987" s="90"/>
      <c r="E987" s="86"/>
      <c r="F987" s="86"/>
      <c r="G987" s="86"/>
      <c r="H987" s="19"/>
      <c r="I987" s="19"/>
      <c r="J987" s="19"/>
      <c r="K987" s="19"/>
      <c r="L987" s="2"/>
      <c r="M987" s="19"/>
      <c r="N987" s="19"/>
      <c r="O987" s="19"/>
      <c r="P987" s="19"/>
      <c r="Q987" s="91"/>
      <c r="R987" s="91"/>
      <c r="S987" s="19"/>
    </row>
    <row r="988" spans="1:19" ht="15.75" customHeight="1" x14ac:dyDescent="0.25">
      <c r="A988" s="84"/>
      <c r="B988" s="19"/>
      <c r="C988" s="92"/>
      <c r="D988" s="90"/>
      <c r="E988" s="86"/>
      <c r="F988" s="86"/>
      <c r="G988" s="86"/>
      <c r="H988" s="19"/>
      <c r="I988" s="19"/>
      <c r="J988" s="19"/>
      <c r="K988" s="19"/>
      <c r="L988" s="2"/>
      <c r="M988" s="19"/>
      <c r="N988" s="19"/>
      <c r="O988" s="19"/>
      <c r="P988" s="19"/>
      <c r="Q988" s="91"/>
      <c r="R988" s="91"/>
      <c r="S988" s="19"/>
    </row>
    <row r="989" spans="1:19" ht="15.75" customHeight="1" x14ac:dyDescent="0.25">
      <c r="A989" s="84"/>
      <c r="B989" s="19"/>
      <c r="C989" s="92"/>
      <c r="D989" s="90"/>
      <c r="E989" s="86"/>
      <c r="F989" s="86"/>
      <c r="G989" s="86"/>
      <c r="H989" s="19"/>
      <c r="I989" s="19"/>
      <c r="J989" s="19"/>
      <c r="K989" s="19"/>
      <c r="L989" s="2"/>
      <c r="M989" s="19"/>
      <c r="N989" s="19"/>
      <c r="O989" s="19"/>
      <c r="P989" s="19"/>
      <c r="Q989" s="91"/>
      <c r="R989" s="91"/>
      <c r="S989" s="19"/>
    </row>
    <row r="990" spans="1:19" ht="15.75" customHeight="1" x14ac:dyDescent="0.25">
      <c r="A990" s="84"/>
      <c r="B990" s="19"/>
      <c r="C990" s="92"/>
      <c r="D990" s="90"/>
      <c r="E990" s="86"/>
      <c r="F990" s="86"/>
      <c r="G990" s="86"/>
      <c r="H990" s="19"/>
      <c r="I990" s="19"/>
      <c r="J990" s="19"/>
      <c r="K990" s="19"/>
      <c r="L990" s="2"/>
      <c r="M990" s="19"/>
      <c r="N990" s="19"/>
      <c r="O990" s="19"/>
      <c r="P990" s="19"/>
      <c r="Q990" s="91"/>
      <c r="R990" s="91"/>
      <c r="S990" s="19"/>
    </row>
    <row r="991" spans="1:19" ht="15.75" customHeight="1" x14ac:dyDescent="0.25">
      <c r="A991" s="84"/>
      <c r="B991" s="19"/>
      <c r="C991" s="92"/>
      <c r="D991" s="90"/>
      <c r="E991" s="86"/>
      <c r="F991" s="86"/>
      <c r="G991" s="86"/>
      <c r="H991" s="19"/>
      <c r="I991" s="19"/>
      <c r="J991" s="19"/>
      <c r="K991" s="19"/>
      <c r="L991" s="2"/>
      <c r="M991" s="19"/>
      <c r="N991" s="19"/>
      <c r="O991" s="19"/>
      <c r="P991" s="19"/>
      <c r="Q991" s="91"/>
      <c r="R991" s="91"/>
      <c r="S991" s="19"/>
    </row>
    <row r="992" spans="1:19" ht="15.75" customHeight="1" x14ac:dyDescent="0.25">
      <c r="A992" s="84"/>
      <c r="B992" s="19"/>
      <c r="C992" s="92"/>
      <c r="D992" s="90"/>
      <c r="E992" s="86"/>
      <c r="F992" s="86"/>
      <c r="G992" s="86"/>
      <c r="H992" s="19"/>
      <c r="I992" s="19"/>
      <c r="J992" s="19"/>
      <c r="K992" s="19"/>
      <c r="L992" s="2"/>
      <c r="M992" s="19"/>
      <c r="N992" s="19"/>
      <c r="O992" s="19"/>
      <c r="P992" s="19"/>
      <c r="Q992" s="91"/>
      <c r="R992" s="91"/>
      <c r="S992" s="19"/>
    </row>
    <row r="993" spans="1:19" ht="15.75" customHeight="1" x14ac:dyDescent="0.25">
      <c r="A993" s="84"/>
      <c r="B993" s="19"/>
      <c r="C993" s="92"/>
      <c r="D993" s="90"/>
      <c r="E993" s="86"/>
      <c r="F993" s="86"/>
      <c r="G993" s="86"/>
      <c r="H993" s="19"/>
      <c r="I993" s="19"/>
      <c r="J993" s="19"/>
      <c r="K993" s="19"/>
      <c r="L993" s="2"/>
      <c r="M993" s="19"/>
      <c r="N993" s="19"/>
      <c r="O993" s="19"/>
      <c r="P993" s="19"/>
      <c r="Q993" s="91"/>
      <c r="R993" s="91"/>
      <c r="S993" s="19"/>
    </row>
    <row r="994" spans="1:19" ht="15.75" customHeight="1" x14ac:dyDescent="0.25">
      <c r="A994" s="84"/>
      <c r="B994" s="19"/>
      <c r="C994" s="92"/>
      <c r="D994" s="90"/>
      <c r="E994" s="86"/>
      <c r="F994" s="86"/>
      <c r="G994" s="86"/>
      <c r="H994" s="19"/>
      <c r="I994" s="19"/>
      <c r="J994" s="19"/>
      <c r="K994" s="19"/>
      <c r="L994" s="2"/>
      <c r="M994" s="19"/>
      <c r="N994" s="19"/>
      <c r="O994" s="19"/>
      <c r="P994" s="19"/>
      <c r="Q994" s="91"/>
      <c r="R994" s="91"/>
      <c r="S994" s="19"/>
    </row>
    <row r="995" spans="1:19" ht="15.75" customHeight="1" x14ac:dyDescent="0.25">
      <c r="A995" s="84"/>
      <c r="B995" s="19"/>
      <c r="C995" s="92"/>
      <c r="D995" s="90"/>
      <c r="E995" s="86"/>
      <c r="F995" s="86"/>
      <c r="G995" s="86"/>
      <c r="H995" s="19"/>
      <c r="I995" s="19"/>
      <c r="J995" s="19"/>
      <c r="K995" s="19"/>
      <c r="L995" s="2"/>
      <c r="M995" s="19"/>
      <c r="N995" s="19"/>
      <c r="O995" s="19"/>
      <c r="P995" s="19"/>
      <c r="Q995" s="91"/>
      <c r="R995" s="91"/>
      <c r="S995" s="19"/>
    </row>
    <row r="996" spans="1:19" ht="15.75" customHeight="1" x14ac:dyDescent="0.25">
      <c r="A996" s="84"/>
      <c r="B996" s="19"/>
      <c r="C996" s="92"/>
      <c r="D996" s="90"/>
      <c r="E996" s="86"/>
      <c r="F996" s="86"/>
      <c r="G996" s="86"/>
      <c r="H996" s="19"/>
      <c r="I996" s="19"/>
      <c r="J996" s="19"/>
      <c r="K996" s="19"/>
      <c r="L996" s="2"/>
      <c r="M996" s="19"/>
      <c r="N996" s="19"/>
      <c r="O996" s="19"/>
      <c r="P996" s="19"/>
      <c r="Q996" s="91"/>
      <c r="R996" s="91"/>
      <c r="S996" s="19"/>
    </row>
    <row r="997" spans="1:19" ht="15.75" customHeight="1" x14ac:dyDescent="0.25">
      <c r="A997" s="84"/>
      <c r="B997" s="19"/>
      <c r="C997" s="92"/>
      <c r="D997" s="90"/>
      <c r="E997" s="86"/>
      <c r="F997" s="86"/>
      <c r="G997" s="86"/>
      <c r="H997" s="19"/>
      <c r="I997" s="19"/>
      <c r="J997" s="19"/>
      <c r="K997" s="19"/>
      <c r="L997" s="2"/>
      <c r="M997" s="19"/>
      <c r="N997" s="19"/>
      <c r="O997" s="19"/>
      <c r="P997" s="19"/>
      <c r="Q997" s="91"/>
      <c r="R997" s="91"/>
      <c r="S997" s="19"/>
    </row>
    <row r="998" spans="1:19" ht="15.75" customHeight="1" x14ac:dyDescent="0.25">
      <c r="A998" s="84"/>
      <c r="B998" s="19"/>
      <c r="C998" s="92"/>
      <c r="D998" s="90"/>
      <c r="E998" s="86"/>
      <c r="F998" s="86"/>
      <c r="G998" s="86"/>
      <c r="H998" s="19"/>
      <c r="I998" s="19"/>
      <c r="J998" s="19"/>
      <c r="K998" s="19"/>
      <c r="L998" s="2"/>
      <c r="M998" s="19"/>
      <c r="N998" s="19"/>
      <c r="O998" s="19"/>
      <c r="P998" s="19"/>
      <c r="Q998" s="91"/>
      <c r="R998" s="91"/>
      <c r="S998" s="19"/>
    </row>
    <row r="999" spans="1:19" ht="15.75" customHeight="1" x14ac:dyDescent="0.25">
      <c r="A999" s="84"/>
      <c r="B999" s="19"/>
      <c r="C999" s="92"/>
      <c r="D999" s="90"/>
      <c r="E999" s="86"/>
      <c r="F999" s="86"/>
      <c r="G999" s="86"/>
      <c r="H999" s="19"/>
      <c r="I999" s="19"/>
      <c r="J999" s="19"/>
      <c r="K999" s="19"/>
      <c r="L999" s="2"/>
      <c r="M999" s="19"/>
      <c r="N999" s="19"/>
      <c r="O999" s="19"/>
      <c r="P999" s="19"/>
      <c r="Q999" s="91"/>
      <c r="R999" s="91"/>
      <c r="S999" s="19"/>
    </row>
    <row r="1000" spans="1:19" ht="15.75" customHeight="1" x14ac:dyDescent="0.25">
      <c r="A1000" s="84"/>
      <c r="B1000" s="19"/>
      <c r="C1000" s="92"/>
      <c r="D1000" s="90"/>
      <c r="E1000" s="86"/>
      <c r="F1000" s="86"/>
      <c r="G1000" s="86"/>
      <c r="H1000" s="19"/>
      <c r="I1000" s="19"/>
      <c r="J1000" s="19"/>
      <c r="K1000" s="19"/>
      <c r="L1000" s="2"/>
      <c r="M1000" s="19"/>
      <c r="N1000" s="19"/>
      <c r="O1000" s="19"/>
      <c r="P1000" s="19"/>
      <c r="Q1000" s="91"/>
      <c r="R1000" s="91"/>
      <c r="S1000" s="19"/>
    </row>
  </sheetData>
  <dataValidations count="1">
    <dataValidation type="custom" allowBlank="1" showInputMessage="1" showErrorMessage="1" prompt="Petunjuk Pengisian - NIK/Nomor KTP harus terdiri dari 16 digit untuk e-KTP atau 17 digit untuk KTP biasa." sqref="P9" xr:uid="{00000000-0002-0000-0200-000000000000}">
      <formula1>AND(GTE(LEN(P9),MIN((16),(17))),LTE(LEN(P9),MAX((16),(17))))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18.42578125" customWidth="1"/>
    <col min="3" max="3" width="18.28515625" customWidth="1"/>
    <col min="4" max="4" width="29.42578125" customWidth="1"/>
    <col min="5" max="5" width="9.140625" customWidth="1"/>
    <col min="6" max="6" width="31.42578125" customWidth="1"/>
    <col min="7" max="7" width="22.42578125" customWidth="1"/>
    <col min="8" max="8" width="13.28515625" customWidth="1"/>
    <col min="9" max="9" width="9.140625" customWidth="1"/>
    <col min="10" max="10" width="34.140625" customWidth="1"/>
    <col min="11" max="11" width="45.5703125" customWidth="1"/>
    <col min="12" max="12" width="22.85546875" customWidth="1"/>
    <col min="13" max="13" width="35.85546875" customWidth="1"/>
    <col min="14" max="14" width="50.5703125" customWidth="1"/>
    <col min="15" max="26" width="8" customWidth="1"/>
  </cols>
  <sheetData>
    <row r="1" spans="1:26" x14ac:dyDescent="0.25">
      <c r="L1" s="1"/>
    </row>
    <row r="2" spans="1:26" x14ac:dyDescent="0.25">
      <c r="A2" s="25" t="s">
        <v>357</v>
      </c>
      <c r="B2" s="25" t="s">
        <v>1129</v>
      </c>
      <c r="C2" s="25" t="s">
        <v>2</v>
      </c>
      <c r="D2" s="26" t="s">
        <v>5</v>
      </c>
      <c r="E2" s="26" t="s">
        <v>358</v>
      </c>
      <c r="F2" s="25" t="s">
        <v>359</v>
      </c>
      <c r="G2" s="25" t="s">
        <v>7</v>
      </c>
      <c r="H2" s="25" t="s">
        <v>968</v>
      </c>
      <c r="I2" s="28" t="s">
        <v>362</v>
      </c>
      <c r="J2" s="28" t="s">
        <v>362</v>
      </c>
      <c r="K2" s="25" t="s">
        <v>363</v>
      </c>
      <c r="L2" s="29" t="s">
        <v>8</v>
      </c>
      <c r="M2" s="26" t="s">
        <v>12</v>
      </c>
      <c r="N2" s="26" t="s">
        <v>1130</v>
      </c>
    </row>
    <row r="3" spans="1:26" ht="27" customHeight="1" x14ac:dyDescent="0.25">
      <c r="A3" s="10">
        <v>1</v>
      </c>
      <c r="B3" s="5" t="s">
        <v>1131</v>
      </c>
      <c r="C3" s="93" t="s">
        <v>1132</v>
      </c>
      <c r="D3" s="11" t="s">
        <v>1133</v>
      </c>
      <c r="E3" s="5" t="s">
        <v>46</v>
      </c>
      <c r="F3" s="11" t="s">
        <v>1134</v>
      </c>
      <c r="G3" s="94" t="s">
        <v>1135</v>
      </c>
      <c r="H3" s="80" t="s">
        <v>1136</v>
      </c>
      <c r="I3" s="5" t="s">
        <v>376</v>
      </c>
      <c r="J3" s="11" t="s">
        <v>1137</v>
      </c>
      <c r="K3" s="66" t="s">
        <v>1138</v>
      </c>
      <c r="L3" s="34" t="s">
        <v>1139</v>
      </c>
      <c r="M3" s="9" t="s">
        <v>1140</v>
      </c>
      <c r="N3" s="38" t="s">
        <v>1141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30" customHeight="1" x14ac:dyDescent="0.25">
      <c r="A4" s="10">
        <v>2</v>
      </c>
      <c r="B4" s="5" t="s">
        <v>1142</v>
      </c>
      <c r="C4" s="93" t="s">
        <v>1132</v>
      </c>
      <c r="D4" s="11" t="s">
        <v>1143</v>
      </c>
      <c r="E4" s="5" t="s">
        <v>18</v>
      </c>
      <c r="F4" s="11" t="s">
        <v>1144</v>
      </c>
      <c r="G4" s="95" t="s">
        <v>1145</v>
      </c>
      <c r="H4" s="80" t="s">
        <v>1136</v>
      </c>
      <c r="I4" s="5" t="s">
        <v>376</v>
      </c>
      <c r="J4" s="11" t="s">
        <v>1146</v>
      </c>
      <c r="K4" s="96" t="s">
        <v>1147</v>
      </c>
      <c r="L4" s="34" t="s">
        <v>1148</v>
      </c>
      <c r="M4" s="9" t="s">
        <v>253</v>
      </c>
      <c r="N4" s="38" t="s">
        <v>1141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27" customHeight="1" x14ac:dyDescent="0.25">
      <c r="A5" s="10">
        <v>3</v>
      </c>
      <c r="B5" s="5" t="s">
        <v>1149</v>
      </c>
      <c r="C5" s="93" t="s">
        <v>1132</v>
      </c>
      <c r="D5" s="11" t="s">
        <v>1150</v>
      </c>
      <c r="E5" s="5" t="s">
        <v>18</v>
      </c>
      <c r="F5" s="11" t="s">
        <v>1151</v>
      </c>
      <c r="G5" s="94" t="s">
        <v>1152</v>
      </c>
      <c r="H5" s="80" t="s">
        <v>1136</v>
      </c>
      <c r="I5" s="5" t="s">
        <v>376</v>
      </c>
      <c r="J5" s="11" t="s">
        <v>1153</v>
      </c>
      <c r="K5" s="97" t="s">
        <v>1154</v>
      </c>
      <c r="L5" s="34" t="s">
        <v>1155</v>
      </c>
      <c r="M5" s="9" t="s">
        <v>725</v>
      </c>
      <c r="N5" s="38" t="s">
        <v>1141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7" customHeight="1" x14ac:dyDescent="0.25">
      <c r="A6" s="10">
        <v>4</v>
      </c>
      <c r="B6" s="5" t="s">
        <v>1156</v>
      </c>
      <c r="C6" s="93" t="s">
        <v>1132</v>
      </c>
      <c r="D6" s="11" t="s">
        <v>1157</v>
      </c>
      <c r="E6" s="5" t="s">
        <v>18</v>
      </c>
      <c r="F6" s="11" t="s">
        <v>1158</v>
      </c>
      <c r="G6" s="94" t="s">
        <v>1159</v>
      </c>
      <c r="H6" s="80" t="s">
        <v>1136</v>
      </c>
      <c r="I6" s="5" t="s">
        <v>376</v>
      </c>
      <c r="J6" s="11" t="s">
        <v>1160</v>
      </c>
      <c r="K6" s="97" t="s">
        <v>1161</v>
      </c>
      <c r="L6" s="34" t="s">
        <v>1162</v>
      </c>
      <c r="M6" s="9" t="s">
        <v>143</v>
      </c>
      <c r="N6" s="38" t="s">
        <v>1141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27" customHeight="1" x14ac:dyDescent="0.25">
      <c r="A7" s="10">
        <v>5</v>
      </c>
      <c r="B7" s="5" t="s">
        <v>1163</v>
      </c>
      <c r="C7" s="93" t="s">
        <v>1132</v>
      </c>
      <c r="D7" s="11" t="s">
        <v>1164</v>
      </c>
      <c r="E7" s="5" t="s">
        <v>46</v>
      </c>
      <c r="F7" s="11" t="s">
        <v>1165</v>
      </c>
      <c r="G7" s="94" t="s">
        <v>1166</v>
      </c>
      <c r="H7" s="80" t="s">
        <v>1136</v>
      </c>
      <c r="I7" s="5" t="s">
        <v>376</v>
      </c>
      <c r="J7" s="11" t="s">
        <v>1167</v>
      </c>
      <c r="K7" s="97" t="s">
        <v>1147</v>
      </c>
      <c r="L7" s="34" t="s">
        <v>1168</v>
      </c>
      <c r="M7" s="9" t="s">
        <v>478</v>
      </c>
      <c r="N7" s="38" t="s">
        <v>1141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27" customHeight="1" x14ac:dyDescent="0.25">
      <c r="A8" s="10">
        <v>6</v>
      </c>
      <c r="B8" s="5" t="s">
        <v>1169</v>
      </c>
      <c r="C8" s="93" t="s">
        <v>1132</v>
      </c>
      <c r="D8" s="11" t="s">
        <v>1170</v>
      </c>
      <c r="E8" s="5" t="s">
        <v>46</v>
      </c>
      <c r="F8" s="11" t="s">
        <v>1171</v>
      </c>
      <c r="G8" s="94" t="s">
        <v>1172</v>
      </c>
      <c r="H8" s="80" t="s">
        <v>1173</v>
      </c>
      <c r="I8" s="5" t="s">
        <v>389</v>
      </c>
      <c r="J8" s="11" t="s">
        <v>1174</v>
      </c>
      <c r="K8" s="97" t="s">
        <v>1175</v>
      </c>
      <c r="L8" s="34" t="s">
        <v>1176</v>
      </c>
      <c r="M8" s="9" t="s">
        <v>1177</v>
      </c>
      <c r="N8" s="38" t="s">
        <v>1141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30" customHeight="1" x14ac:dyDescent="0.25">
      <c r="A9" s="10">
        <v>7</v>
      </c>
      <c r="B9" s="5" t="s">
        <v>1178</v>
      </c>
      <c r="C9" s="93" t="s">
        <v>1179</v>
      </c>
      <c r="D9" s="11" t="s">
        <v>1180</v>
      </c>
      <c r="E9" s="5" t="s">
        <v>18</v>
      </c>
      <c r="F9" s="11" t="s">
        <v>1181</v>
      </c>
      <c r="G9" s="98" t="s">
        <v>1182</v>
      </c>
      <c r="H9" s="5" t="s">
        <v>1136</v>
      </c>
      <c r="I9" s="5" t="s">
        <v>376</v>
      </c>
      <c r="J9" s="11" t="s">
        <v>1183</v>
      </c>
      <c r="K9" s="12" t="s">
        <v>1184</v>
      </c>
      <c r="L9" s="34" t="s">
        <v>1185</v>
      </c>
      <c r="M9" s="24" t="s">
        <v>1186</v>
      </c>
      <c r="N9" s="12" t="s">
        <v>1072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30" customHeight="1" x14ac:dyDescent="0.25">
      <c r="A10" s="10">
        <v>8</v>
      </c>
      <c r="B10" s="5" t="s">
        <v>1187</v>
      </c>
      <c r="C10" s="93" t="s">
        <v>1179</v>
      </c>
      <c r="D10" s="9" t="s">
        <v>1188</v>
      </c>
      <c r="E10" s="10" t="s">
        <v>46</v>
      </c>
      <c r="F10" s="9" t="s">
        <v>1189</v>
      </c>
      <c r="G10" s="98" t="s">
        <v>1190</v>
      </c>
      <c r="H10" s="5" t="s">
        <v>1136</v>
      </c>
      <c r="I10" s="10" t="s">
        <v>376</v>
      </c>
      <c r="J10" s="9" t="s">
        <v>1191</v>
      </c>
      <c r="K10" s="12" t="s">
        <v>1184</v>
      </c>
      <c r="L10" s="34" t="s">
        <v>1192</v>
      </c>
      <c r="M10" s="24" t="s">
        <v>1186</v>
      </c>
      <c r="N10" s="12" t="s">
        <v>1072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30" customHeight="1" x14ac:dyDescent="0.25">
      <c r="A11" s="10">
        <v>9</v>
      </c>
      <c r="B11" s="5" t="s">
        <v>1193</v>
      </c>
      <c r="C11" s="93" t="s">
        <v>1179</v>
      </c>
      <c r="D11" s="9" t="s">
        <v>1194</v>
      </c>
      <c r="E11" s="10" t="s">
        <v>18</v>
      </c>
      <c r="F11" s="9" t="s">
        <v>1195</v>
      </c>
      <c r="G11" s="98" t="s">
        <v>1196</v>
      </c>
      <c r="H11" s="5" t="s">
        <v>1136</v>
      </c>
      <c r="I11" s="10" t="s">
        <v>376</v>
      </c>
      <c r="J11" s="9" t="s">
        <v>1197</v>
      </c>
      <c r="K11" s="12" t="s">
        <v>1184</v>
      </c>
      <c r="L11" s="34" t="s">
        <v>1198</v>
      </c>
      <c r="M11" s="24" t="s">
        <v>393</v>
      </c>
      <c r="N11" s="12" t="s">
        <v>1072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0" customHeight="1" x14ac:dyDescent="0.25">
      <c r="A12" s="10">
        <v>10</v>
      </c>
      <c r="B12" s="5" t="s">
        <v>1199</v>
      </c>
      <c r="C12" s="93" t="s">
        <v>1179</v>
      </c>
      <c r="D12" s="9" t="s">
        <v>1200</v>
      </c>
      <c r="E12" s="5" t="s">
        <v>18</v>
      </c>
      <c r="F12" s="9" t="s">
        <v>1201</v>
      </c>
      <c r="G12" s="98" t="s">
        <v>1202</v>
      </c>
      <c r="H12" s="5" t="s">
        <v>1136</v>
      </c>
      <c r="I12" s="10" t="s">
        <v>376</v>
      </c>
      <c r="J12" s="9" t="s">
        <v>114</v>
      </c>
      <c r="K12" s="12" t="s">
        <v>1184</v>
      </c>
      <c r="L12" s="34" t="s">
        <v>1203</v>
      </c>
      <c r="M12" s="24" t="s">
        <v>393</v>
      </c>
      <c r="N12" s="12" t="s">
        <v>1072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0" customHeight="1" x14ac:dyDescent="0.25">
      <c r="A13" s="10">
        <v>11</v>
      </c>
      <c r="B13" s="5" t="s">
        <v>1204</v>
      </c>
      <c r="C13" s="93" t="s">
        <v>1179</v>
      </c>
      <c r="D13" s="9" t="s">
        <v>1205</v>
      </c>
      <c r="E13" s="10" t="s">
        <v>18</v>
      </c>
      <c r="F13" s="9" t="s">
        <v>1206</v>
      </c>
      <c r="G13" s="98" t="s">
        <v>1207</v>
      </c>
      <c r="H13" s="5" t="s">
        <v>1136</v>
      </c>
      <c r="I13" s="10" t="s">
        <v>376</v>
      </c>
      <c r="J13" s="11" t="s">
        <v>1208</v>
      </c>
      <c r="K13" s="12" t="s">
        <v>1184</v>
      </c>
      <c r="L13" s="34" t="s">
        <v>1209</v>
      </c>
      <c r="M13" s="24" t="s">
        <v>393</v>
      </c>
      <c r="N13" s="12" t="s">
        <v>1072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30" customHeight="1" x14ac:dyDescent="0.25">
      <c r="A14" s="10">
        <v>12</v>
      </c>
      <c r="B14" s="5" t="s">
        <v>1210</v>
      </c>
      <c r="C14" s="93" t="s">
        <v>1179</v>
      </c>
      <c r="D14" s="9" t="s">
        <v>1211</v>
      </c>
      <c r="E14" s="5" t="s">
        <v>46</v>
      </c>
      <c r="F14" s="9" t="s">
        <v>1212</v>
      </c>
      <c r="G14" s="98" t="s">
        <v>1213</v>
      </c>
      <c r="H14" s="5" t="s">
        <v>1136</v>
      </c>
      <c r="I14" s="10" t="s">
        <v>376</v>
      </c>
      <c r="J14" s="9" t="s">
        <v>1214</v>
      </c>
      <c r="K14" s="12" t="s">
        <v>1184</v>
      </c>
      <c r="L14" s="34" t="s">
        <v>1215</v>
      </c>
      <c r="M14" s="24" t="s">
        <v>393</v>
      </c>
      <c r="N14" s="12" t="s">
        <v>1072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30" customHeight="1" x14ac:dyDescent="0.25">
      <c r="A15" s="10">
        <v>13</v>
      </c>
      <c r="B15" s="5" t="s">
        <v>1216</v>
      </c>
      <c r="C15" s="93" t="s">
        <v>1179</v>
      </c>
      <c r="D15" s="11" t="s">
        <v>1217</v>
      </c>
      <c r="E15" s="5" t="s">
        <v>18</v>
      </c>
      <c r="F15" s="11" t="s">
        <v>1218</v>
      </c>
      <c r="G15" s="98" t="s">
        <v>1219</v>
      </c>
      <c r="H15" s="5" t="s">
        <v>1136</v>
      </c>
      <c r="I15" s="5" t="s">
        <v>376</v>
      </c>
      <c r="J15" s="11" t="s">
        <v>1220</v>
      </c>
      <c r="K15" s="12" t="s">
        <v>1138</v>
      </c>
      <c r="L15" s="34" t="s">
        <v>1221</v>
      </c>
      <c r="M15" s="24" t="s">
        <v>393</v>
      </c>
      <c r="N15" s="12" t="s">
        <v>1072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27" customHeight="1" x14ac:dyDescent="0.25">
      <c r="A16" s="10">
        <v>14</v>
      </c>
      <c r="B16" s="5" t="s">
        <v>1222</v>
      </c>
      <c r="C16" s="93" t="s">
        <v>1179</v>
      </c>
      <c r="D16" s="9" t="s">
        <v>1223</v>
      </c>
      <c r="E16" s="10" t="s">
        <v>18</v>
      </c>
      <c r="F16" s="9" t="s">
        <v>1224</v>
      </c>
      <c r="G16" s="99" t="s">
        <v>1225</v>
      </c>
      <c r="H16" s="5" t="s">
        <v>1136</v>
      </c>
      <c r="I16" s="10" t="s">
        <v>376</v>
      </c>
      <c r="J16" s="9" t="s">
        <v>1226</v>
      </c>
      <c r="K16" s="100" t="s">
        <v>1184</v>
      </c>
      <c r="L16" s="34" t="s">
        <v>1227</v>
      </c>
      <c r="M16" s="9" t="s">
        <v>1228</v>
      </c>
      <c r="N16" s="12" t="s">
        <v>1072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30" customHeight="1" x14ac:dyDescent="0.25">
      <c r="A17" s="10">
        <v>15</v>
      </c>
      <c r="B17" s="5" t="s">
        <v>1229</v>
      </c>
      <c r="C17" s="93" t="s">
        <v>1179</v>
      </c>
      <c r="D17" s="49" t="s">
        <v>1230</v>
      </c>
      <c r="E17" s="101" t="s">
        <v>46</v>
      </c>
      <c r="F17" s="49" t="s">
        <v>1231</v>
      </c>
      <c r="G17" s="102" t="s">
        <v>1232</v>
      </c>
      <c r="H17" s="4" t="s">
        <v>1136</v>
      </c>
      <c r="I17" s="101" t="s">
        <v>376</v>
      </c>
      <c r="J17" s="49" t="s">
        <v>1233</v>
      </c>
      <c r="K17" s="103" t="s">
        <v>1138</v>
      </c>
      <c r="L17" s="104" t="s">
        <v>1234</v>
      </c>
      <c r="M17" s="49" t="s">
        <v>1235</v>
      </c>
      <c r="N17" s="12" t="s">
        <v>1072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30" customHeight="1" x14ac:dyDescent="0.25">
      <c r="A18" s="10">
        <v>16</v>
      </c>
      <c r="B18" s="5" t="s">
        <v>1236</v>
      </c>
      <c r="C18" s="93" t="s">
        <v>1179</v>
      </c>
      <c r="D18" s="9" t="s">
        <v>1237</v>
      </c>
      <c r="E18" s="10" t="s">
        <v>46</v>
      </c>
      <c r="F18" s="9" t="s">
        <v>1238</v>
      </c>
      <c r="G18" s="98" t="s">
        <v>1239</v>
      </c>
      <c r="H18" s="5" t="s">
        <v>1136</v>
      </c>
      <c r="I18" s="10" t="s">
        <v>376</v>
      </c>
      <c r="J18" s="9" t="s">
        <v>114</v>
      </c>
      <c r="K18" s="12" t="s">
        <v>1138</v>
      </c>
      <c r="L18" s="34" t="s">
        <v>1240</v>
      </c>
      <c r="M18" s="9" t="s">
        <v>66</v>
      </c>
      <c r="N18" s="12" t="s">
        <v>1072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30" customHeight="1" x14ac:dyDescent="0.25">
      <c r="A19" s="10">
        <v>17</v>
      </c>
      <c r="B19" s="5" t="s">
        <v>1241</v>
      </c>
      <c r="C19" s="93" t="s">
        <v>1179</v>
      </c>
      <c r="D19" s="9" t="s">
        <v>1242</v>
      </c>
      <c r="E19" s="10" t="s">
        <v>46</v>
      </c>
      <c r="F19" s="9" t="s">
        <v>1243</v>
      </c>
      <c r="G19" s="98" t="s">
        <v>1244</v>
      </c>
      <c r="H19" s="5" t="s">
        <v>1136</v>
      </c>
      <c r="I19" s="10" t="s">
        <v>376</v>
      </c>
      <c r="J19" s="9" t="s">
        <v>1245</v>
      </c>
      <c r="K19" s="12" t="s">
        <v>1246</v>
      </c>
      <c r="L19" s="34" t="s">
        <v>1247</v>
      </c>
      <c r="M19" s="9" t="s">
        <v>81</v>
      </c>
      <c r="N19" s="12" t="s">
        <v>1072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30" customHeight="1" x14ac:dyDescent="0.25">
      <c r="A20" s="10">
        <v>18</v>
      </c>
      <c r="B20" s="5" t="s">
        <v>1248</v>
      </c>
      <c r="C20" s="93" t="s">
        <v>1249</v>
      </c>
      <c r="D20" s="9" t="s">
        <v>1250</v>
      </c>
      <c r="E20" s="10" t="s">
        <v>18</v>
      </c>
      <c r="F20" s="9" t="s">
        <v>1251</v>
      </c>
      <c r="G20" s="98" t="s">
        <v>1252</v>
      </c>
      <c r="H20" s="5" t="s">
        <v>1136</v>
      </c>
      <c r="I20" s="10" t="s">
        <v>376</v>
      </c>
      <c r="J20" s="9" t="s">
        <v>1253</v>
      </c>
      <c r="K20" s="12" t="s">
        <v>1254</v>
      </c>
      <c r="L20" s="34" t="s">
        <v>1255</v>
      </c>
      <c r="M20" s="9" t="s">
        <v>393</v>
      </c>
      <c r="N20" s="12" t="s">
        <v>1122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30" customHeight="1" x14ac:dyDescent="0.25">
      <c r="A21" s="10">
        <v>19</v>
      </c>
      <c r="B21" s="5" t="s">
        <v>1256</v>
      </c>
      <c r="C21" s="93" t="s">
        <v>1249</v>
      </c>
      <c r="D21" s="9" t="s">
        <v>1257</v>
      </c>
      <c r="E21" s="10" t="s">
        <v>46</v>
      </c>
      <c r="F21" s="9" t="s">
        <v>1258</v>
      </c>
      <c r="G21" s="98" t="s">
        <v>1259</v>
      </c>
      <c r="H21" s="5" t="s">
        <v>1136</v>
      </c>
      <c r="I21" s="10" t="s">
        <v>376</v>
      </c>
      <c r="J21" s="9" t="s">
        <v>1260</v>
      </c>
      <c r="K21" s="12" t="s">
        <v>1254</v>
      </c>
      <c r="L21" s="34" t="s">
        <v>1261</v>
      </c>
      <c r="M21" s="9" t="s">
        <v>393</v>
      </c>
      <c r="N21" s="12" t="s">
        <v>1122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30" customHeight="1" x14ac:dyDescent="0.25">
      <c r="A22" s="10">
        <v>20</v>
      </c>
      <c r="B22" s="89" t="s">
        <v>1262</v>
      </c>
      <c r="C22" s="93" t="s">
        <v>1249</v>
      </c>
      <c r="D22" s="9" t="s">
        <v>1263</v>
      </c>
      <c r="E22" s="10" t="s">
        <v>18</v>
      </c>
      <c r="F22" s="9" t="s">
        <v>1264</v>
      </c>
      <c r="G22" s="105" t="s">
        <v>1265</v>
      </c>
      <c r="H22" s="106" t="s">
        <v>1136</v>
      </c>
      <c r="I22" s="10" t="s">
        <v>376</v>
      </c>
      <c r="J22" s="9" t="s">
        <v>1266</v>
      </c>
      <c r="K22" s="107" t="s">
        <v>1254</v>
      </c>
      <c r="L22" s="5" t="s">
        <v>1267</v>
      </c>
      <c r="M22" s="108" t="s">
        <v>393</v>
      </c>
      <c r="N22" s="89" t="s">
        <v>1122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30" customHeight="1" x14ac:dyDescent="0.25">
      <c r="A23" s="10">
        <v>21</v>
      </c>
      <c r="B23" s="5" t="s">
        <v>1268</v>
      </c>
      <c r="C23" s="93" t="s">
        <v>1249</v>
      </c>
      <c r="D23" s="9" t="s">
        <v>1269</v>
      </c>
      <c r="E23" s="10" t="s">
        <v>46</v>
      </c>
      <c r="F23" s="9" t="s">
        <v>1270</v>
      </c>
      <c r="G23" s="98" t="s">
        <v>1271</v>
      </c>
      <c r="H23" s="5" t="s">
        <v>1173</v>
      </c>
      <c r="I23" s="10" t="s">
        <v>389</v>
      </c>
      <c r="J23" s="9" t="s">
        <v>1272</v>
      </c>
      <c r="K23" s="12" t="s">
        <v>1273</v>
      </c>
      <c r="L23" s="34" t="s">
        <v>1274</v>
      </c>
      <c r="M23" s="9" t="s">
        <v>393</v>
      </c>
      <c r="N23" s="12" t="s">
        <v>1122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30" customHeight="1" x14ac:dyDescent="0.25">
      <c r="A24" s="10">
        <v>22</v>
      </c>
      <c r="B24" s="5" t="s">
        <v>1275</v>
      </c>
      <c r="C24" s="93" t="s">
        <v>1249</v>
      </c>
      <c r="D24" s="9" t="s">
        <v>1276</v>
      </c>
      <c r="E24" s="10" t="s">
        <v>18</v>
      </c>
      <c r="F24" s="9" t="s">
        <v>1277</v>
      </c>
      <c r="G24" s="98" t="s">
        <v>1278</v>
      </c>
      <c r="H24" s="5" t="s">
        <v>1136</v>
      </c>
      <c r="I24" s="10" t="s">
        <v>376</v>
      </c>
      <c r="J24" s="9" t="s">
        <v>559</v>
      </c>
      <c r="K24" s="12" t="s">
        <v>1279</v>
      </c>
      <c r="L24" s="34" t="s">
        <v>1280</v>
      </c>
      <c r="M24" s="9" t="s">
        <v>393</v>
      </c>
      <c r="N24" s="12" t="s">
        <v>1122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45" customHeight="1" x14ac:dyDescent="0.25">
      <c r="A25" s="10">
        <v>23</v>
      </c>
      <c r="B25" s="5" t="s">
        <v>1281</v>
      </c>
      <c r="C25" s="93" t="s">
        <v>1249</v>
      </c>
      <c r="D25" s="9" t="s">
        <v>1282</v>
      </c>
      <c r="E25" s="10" t="s">
        <v>46</v>
      </c>
      <c r="F25" s="9" t="s">
        <v>1283</v>
      </c>
      <c r="G25" s="98" t="s">
        <v>1284</v>
      </c>
      <c r="H25" s="5" t="s">
        <v>1136</v>
      </c>
      <c r="I25" s="10" t="s">
        <v>376</v>
      </c>
      <c r="J25" s="9" t="s">
        <v>1285</v>
      </c>
      <c r="K25" s="12" t="s">
        <v>1279</v>
      </c>
      <c r="L25" s="34" t="s">
        <v>1286</v>
      </c>
      <c r="M25" s="9" t="s">
        <v>393</v>
      </c>
      <c r="N25" s="12" t="s">
        <v>1122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30" customHeight="1" x14ac:dyDescent="0.25">
      <c r="A26" s="10">
        <v>24</v>
      </c>
      <c r="B26" s="5" t="s">
        <v>1287</v>
      </c>
      <c r="C26" s="93" t="s">
        <v>1249</v>
      </c>
      <c r="D26" s="9" t="s">
        <v>1288</v>
      </c>
      <c r="E26" s="10" t="s">
        <v>46</v>
      </c>
      <c r="F26" s="9" t="s">
        <v>1289</v>
      </c>
      <c r="G26" s="98" t="s">
        <v>1290</v>
      </c>
      <c r="H26" s="5" t="s">
        <v>981</v>
      </c>
      <c r="I26" s="10" t="s">
        <v>376</v>
      </c>
      <c r="J26" s="9" t="s">
        <v>1291</v>
      </c>
      <c r="K26" s="12" t="s">
        <v>1292</v>
      </c>
      <c r="L26" s="34" t="s">
        <v>1293</v>
      </c>
      <c r="M26" s="9" t="s">
        <v>1294</v>
      </c>
      <c r="N26" s="12" t="s">
        <v>1122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30" customHeight="1" x14ac:dyDescent="0.25">
      <c r="A27" s="10">
        <v>25</v>
      </c>
      <c r="B27" s="5" t="s">
        <v>1295</v>
      </c>
      <c r="C27" s="93" t="s">
        <v>1249</v>
      </c>
      <c r="D27" s="9" t="s">
        <v>1296</v>
      </c>
      <c r="E27" s="10" t="s">
        <v>46</v>
      </c>
      <c r="F27" s="9" t="s">
        <v>1297</v>
      </c>
      <c r="G27" s="98" t="s">
        <v>1298</v>
      </c>
      <c r="H27" s="5" t="s">
        <v>981</v>
      </c>
      <c r="I27" s="10" t="s">
        <v>376</v>
      </c>
      <c r="J27" s="9" t="s">
        <v>1299</v>
      </c>
      <c r="K27" s="12" t="s">
        <v>1300</v>
      </c>
      <c r="L27" s="34" t="s">
        <v>1301</v>
      </c>
      <c r="M27" s="9" t="s">
        <v>1294</v>
      </c>
      <c r="N27" s="12" t="s">
        <v>1122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30" customHeight="1" x14ac:dyDescent="0.25">
      <c r="A28" s="10">
        <v>26</v>
      </c>
      <c r="B28" s="89" t="s">
        <v>1302</v>
      </c>
      <c r="C28" s="93" t="s">
        <v>1249</v>
      </c>
      <c r="D28" s="9" t="s">
        <v>1303</v>
      </c>
      <c r="E28" s="10" t="s">
        <v>46</v>
      </c>
      <c r="F28" s="9" t="s">
        <v>1304</v>
      </c>
      <c r="G28" s="105" t="s">
        <v>1305</v>
      </c>
      <c r="H28" s="106" t="s">
        <v>1173</v>
      </c>
      <c r="I28" s="10" t="s">
        <v>389</v>
      </c>
      <c r="J28" s="9" t="s">
        <v>1306</v>
      </c>
      <c r="K28" s="107" t="s">
        <v>1307</v>
      </c>
      <c r="L28" s="5" t="s">
        <v>1308</v>
      </c>
      <c r="M28" s="108" t="s">
        <v>1294</v>
      </c>
      <c r="N28" s="89" t="s">
        <v>1122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45" customHeight="1" x14ac:dyDescent="0.25">
      <c r="A29" s="10">
        <v>27</v>
      </c>
      <c r="B29" s="89" t="s">
        <v>1309</v>
      </c>
      <c r="C29" s="93" t="s">
        <v>1249</v>
      </c>
      <c r="D29" s="9" t="s">
        <v>1310</v>
      </c>
      <c r="E29" s="10" t="s">
        <v>46</v>
      </c>
      <c r="F29" s="9" t="s">
        <v>1311</v>
      </c>
      <c r="G29" s="105" t="s">
        <v>1312</v>
      </c>
      <c r="H29" s="106" t="s">
        <v>1173</v>
      </c>
      <c r="I29" s="10" t="s">
        <v>389</v>
      </c>
      <c r="J29" s="9" t="s">
        <v>1313</v>
      </c>
      <c r="K29" s="107" t="s">
        <v>1314</v>
      </c>
      <c r="L29" s="5" t="s">
        <v>1315</v>
      </c>
      <c r="M29" s="108" t="s">
        <v>1294</v>
      </c>
      <c r="N29" s="89" t="s">
        <v>1122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45" customHeight="1" x14ac:dyDescent="0.25">
      <c r="A30" s="10">
        <v>28</v>
      </c>
      <c r="B30" s="89" t="s">
        <v>1316</v>
      </c>
      <c r="C30" s="93" t="s">
        <v>1249</v>
      </c>
      <c r="D30" s="9" t="s">
        <v>1317</v>
      </c>
      <c r="E30" s="10" t="s">
        <v>46</v>
      </c>
      <c r="F30" s="9" t="s">
        <v>1318</v>
      </c>
      <c r="G30" s="105" t="s">
        <v>1319</v>
      </c>
      <c r="H30" s="106" t="s">
        <v>1173</v>
      </c>
      <c r="I30" s="10" t="s">
        <v>389</v>
      </c>
      <c r="J30" s="9" t="s">
        <v>1320</v>
      </c>
      <c r="K30" s="107" t="s">
        <v>1321</v>
      </c>
      <c r="L30" s="5" t="s">
        <v>1322</v>
      </c>
      <c r="M30" s="108" t="s">
        <v>1294</v>
      </c>
      <c r="N30" s="89" t="s">
        <v>1122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30" customHeight="1" x14ac:dyDescent="0.25">
      <c r="A31" s="10">
        <v>29</v>
      </c>
      <c r="B31" s="12" t="s">
        <v>1323</v>
      </c>
      <c r="C31" s="93" t="s">
        <v>1249</v>
      </c>
      <c r="D31" s="9" t="s">
        <v>1324</v>
      </c>
      <c r="E31" s="10" t="s">
        <v>46</v>
      </c>
      <c r="F31" s="9" t="s">
        <v>1325</v>
      </c>
      <c r="G31" s="105" t="s">
        <v>1326</v>
      </c>
      <c r="H31" s="106" t="s">
        <v>1136</v>
      </c>
      <c r="I31" s="10" t="s">
        <v>376</v>
      </c>
      <c r="J31" s="9" t="s">
        <v>1327</v>
      </c>
      <c r="K31" s="107" t="s">
        <v>1328</v>
      </c>
      <c r="L31" s="5" t="s">
        <v>1329</v>
      </c>
      <c r="M31" s="108" t="s">
        <v>1294</v>
      </c>
      <c r="N31" s="12" t="s">
        <v>1122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" customHeight="1" x14ac:dyDescent="0.25">
      <c r="A32" s="10">
        <v>30</v>
      </c>
      <c r="B32" s="12" t="s">
        <v>1330</v>
      </c>
      <c r="C32" s="93" t="s">
        <v>1249</v>
      </c>
      <c r="D32" s="9" t="s">
        <v>1331</v>
      </c>
      <c r="E32" s="10" t="s">
        <v>18</v>
      </c>
      <c r="F32" s="9" t="s">
        <v>1332</v>
      </c>
      <c r="G32" s="105" t="s">
        <v>1333</v>
      </c>
      <c r="H32" s="106" t="s">
        <v>1173</v>
      </c>
      <c r="I32" s="10" t="s">
        <v>389</v>
      </c>
      <c r="J32" s="9" t="s">
        <v>1334</v>
      </c>
      <c r="K32" s="107" t="s">
        <v>1335</v>
      </c>
      <c r="L32" s="5" t="s">
        <v>1336</v>
      </c>
      <c r="M32" s="108" t="s">
        <v>1294</v>
      </c>
      <c r="N32" s="12" t="s">
        <v>1122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" customHeight="1" x14ac:dyDescent="0.25">
      <c r="A33" s="10">
        <v>31</v>
      </c>
      <c r="B33" s="12" t="s">
        <v>1337</v>
      </c>
      <c r="C33" s="93" t="s">
        <v>1249</v>
      </c>
      <c r="D33" s="9" t="s">
        <v>1338</v>
      </c>
      <c r="E33" s="10" t="s">
        <v>46</v>
      </c>
      <c r="F33" s="9" t="s">
        <v>1339</v>
      </c>
      <c r="G33" s="105" t="s">
        <v>1340</v>
      </c>
      <c r="H33" s="106" t="s">
        <v>1136</v>
      </c>
      <c r="I33" s="10" t="s">
        <v>376</v>
      </c>
      <c r="J33" s="9" t="s">
        <v>1341</v>
      </c>
      <c r="K33" s="107" t="s">
        <v>1342</v>
      </c>
      <c r="L33" s="5" t="s">
        <v>1343</v>
      </c>
      <c r="M33" s="108" t="s">
        <v>1344</v>
      </c>
      <c r="N33" s="12" t="s">
        <v>1122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" customHeight="1" x14ac:dyDescent="0.25">
      <c r="A34" s="10">
        <v>32</v>
      </c>
      <c r="B34" s="12" t="s">
        <v>1345</v>
      </c>
      <c r="C34" s="93" t="s">
        <v>1249</v>
      </c>
      <c r="D34" s="9" t="s">
        <v>1346</v>
      </c>
      <c r="E34" s="10" t="s">
        <v>18</v>
      </c>
      <c r="F34" s="9" t="s">
        <v>1347</v>
      </c>
      <c r="G34" s="105" t="s">
        <v>1348</v>
      </c>
      <c r="H34" s="106" t="s">
        <v>1136</v>
      </c>
      <c r="I34" s="10" t="s">
        <v>376</v>
      </c>
      <c r="J34" s="9" t="s">
        <v>1349</v>
      </c>
      <c r="K34" s="107" t="s">
        <v>1342</v>
      </c>
      <c r="L34" s="5" t="s">
        <v>1350</v>
      </c>
      <c r="M34" s="108" t="s">
        <v>1344</v>
      </c>
      <c r="N34" s="12" t="s">
        <v>1122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" customHeight="1" x14ac:dyDescent="0.25">
      <c r="A35" s="10">
        <v>33</v>
      </c>
      <c r="B35" s="12" t="s">
        <v>1351</v>
      </c>
      <c r="C35" s="93" t="s">
        <v>1249</v>
      </c>
      <c r="D35" s="9" t="s">
        <v>1352</v>
      </c>
      <c r="E35" s="10" t="s">
        <v>18</v>
      </c>
      <c r="F35" s="9" t="s">
        <v>1353</v>
      </c>
      <c r="G35" s="105" t="s">
        <v>1354</v>
      </c>
      <c r="H35" s="106" t="s">
        <v>1136</v>
      </c>
      <c r="I35" s="10" t="s">
        <v>376</v>
      </c>
      <c r="J35" s="9" t="s">
        <v>1355</v>
      </c>
      <c r="K35" s="107" t="s">
        <v>1356</v>
      </c>
      <c r="L35" s="5" t="s">
        <v>1357</v>
      </c>
      <c r="M35" s="108" t="s">
        <v>116</v>
      </c>
      <c r="N35" s="12" t="s">
        <v>1122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" customHeight="1" x14ac:dyDescent="0.25">
      <c r="A36" s="10">
        <v>34</v>
      </c>
      <c r="B36" s="89" t="s">
        <v>1358</v>
      </c>
      <c r="C36" s="93" t="s">
        <v>1249</v>
      </c>
      <c r="D36" s="9" t="s">
        <v>1359</v>
      </c>
      <c r="E36" s="10" t="s">
        <v>46</v>
      </c>
      <c r="F36" s="9" t="s">
        <v>1360</v>
      </c>
      <c r="G36" s="105" t="s">
        <v>1361</v>
      </c>
      <c r="H36" s="106" t="s">
        <v>1136</v>
      </c>
      <c r="I36" s="10" t="s">
        <v>376</v>
      </c>
      <c r="J36" s="9" t="s">
        <v>1362</v>
      </c>
      <c r="K36" s="107" t="s">
        <v>1356</v>
      </c>
      <c r="L36" s="5" t="s">
        <v>1363</v>
      </c>
      <c r="M36" s="108" t="s">
        <v>116</v>
      </c>
      <c r="N36" s="89" t="s">
        <v>1122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30" customHeight="1" x14ac:dyDescent="0.25">
      <c r="A37" s="10">
        <v>35</v>
      </c>
      <c r="B37" s="12" t="s">
        <v>1364</v>
      </c>
      <c r="C37" s="93" t="s">
        <v>1249</v>
      </c>
      <c r="D37" s="9" t="s">
        <v>1365</v>
      </c>
      <c r="E37" s="10" t="s">
        <v>46</v>
      </c>
      <c r="F37" s="9" t="s">
        <v>1366</v>
      </c>
      <c r="G37" s="105" t="s">
        <v>1367</v>
      </c>
      <c r="H37" s="106" t="s">
        <v>1136</v>
      </c>
      <c r="I37" s="10" t="s">
        <v>376</v>
      </c>
      <c r="J37" s="9" t="s">
        <v>1368</v>
      </c>
      <c r="K37" s="107" t="s">
        <v>1356</v>
      </c>
      <c r="L37" s="5" t="s">
        <v>1369</v>
      </c>
      <c r="M37" s="108" t="s">
        <v>116</v>
      </c>
      <c r="N37" s="12" t="s">
        <v>1122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" customHeight="1" x14ac:dyDescent="0.25">
      <c r="A38" s="10">
        <v>36</v>
      </c>
      <c r="B38" s="12" t="s">
        <v>1370</v>
      </c>
      <c r="C38" s="93" t="s">
        <v>1249</v>
      </c>
      <c r="D38" s="9" t="s">
        <v>1371</v>
      </c>
      <c r="E38" s="10" t="s">
        <v>46</v>
      </c>
      <c r="F38" s="9" t="s">
        <v>1372</v>
      </c>
      <c r="G38" s="105" t="s">
        <v>1373</v>
      </c>
      <c r="H38" s="106" t="s">
        <v>1136</v>
      </c>
      <c r="I38" s="10" t="s">
        <v>376</v>
      </c>
      <c r="J38" s="9" t="s">
        <v>1374</v>
      </c>
      <c r="K38" s="107" t="s">
        <v>1375</v>
      </c>
      <c r="L38" s="5" t="s">
        <v>1376</v>
      </c>
      <c r="M38" s="108" t="s">
        <v>102</v>
      </c>
      <c r="N38" s="12" t="s">
        <v>1122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45" customHeight="1" x14ac:dyDescent="0.25">
      <c r="A39" s="10">
        <v>37</v>
      </c>
      <c r="B39" s="12" t="s">
        <v>1377</v>
      </c>
      <c r="C39" s="93" t="s">
        <v>1249</v>
      </c>
      <c r="D39" s="9" t="s">
        <v>1378</v>
      </c>
      <c r="E39" s="10" t="s">
        <v>46</v>
      </c>
      <c r="F39" s="9" t="s">
        <v>1379</v>
      </c>
      <c r="G39" s="105" t="s">
        <v>1380</v>
      </c>
      <c r="H39" s="106" t="s">
        <v>1173</v>
      </c>
      <c r="I39" s="10" t="s">
        <v>389</v>
      </c>
      <c r="J39" s="9" t="s">
        <v>1381</v>
      </c>
      <c r="K39" s="107" t="s">
        <v>1273</v>
      </c>
      <c r="L39" s="5" t="s">
        <v>1382</v>
      </c>
      <c r="M39" s="108" t="s">
        <v>102</v>
      </c>
      <c r="N39" s="12" t="s">
        <v>1122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45" customHeight="1" x14ac:dyDescent="0.25">
      <c r="A40" s="10">
        <v>38</v>
      </c>
      <c r="B40" s="12" t="s">
        <v>1383</v>
      </c>
      <c r="C40" s="93" t="s">
        <v>1249</v>
      </c>
      <c r="D40" s="9" t="s">
        <v>1384</v>
      </c>
      <c r="E40" s="10" t="s">
        <v>18</v>
      </c>
      <c r="F40" s="9" t="s">
        <v>1385</v>
      </c>
      <c r="G40" s="105" t="s">
        <v>1386</v>
      </c>
      <c r="H40" s="106" t="s">
        <v>1136</v>
      </c>
      <c r="I40" s="10" t="s">
        <v>376</v>
      </c>
      <c r="J40" s="9" t="s">
        <v>1387</v>
      </c>
      <c r="K40" s="107" t="s">
        <v>1388</v>
      </c>
      <c r="L40" s="5" t="s">
        <v>1389</v>
      </c>
      <c r="M40" s="108" t="s">
        <v>1390</v>
      </c>
      <c r="N40" s="12" t="s">
        <v>1122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0" customHeight="1" x14ac:dyDescent="0.25">
      <c r="A41" s="10">
        <v>39</v>
      </c>
      <c r="B41" s="12" t="s">
        <v>1391</v>
      </c>
      <c r="C41" s="93" t="s">
        <v>1249</v>
      </c>
      <c r="D41" s="9" t="s">
        <v>1392</v>
      </c>
      <c r="E41" s="10" t="s">
        <v>46</v>
      </c>
      <c r="F41" s="9" t="s">
        <v>1393</v>
      </c>
      <c r="G41" s="105" t="s">
        <v>1394</v>
      </c>
      <c r="H41" s="106" t="s">
        <v>1136</v>
      </c>
      <c r="I41" s="10" t="s">
        <v>376</v>
      </c>
      <c r="J41" s="9" t="s">
        <v>1395</v>
      </c>
      <c r="K41" s="107" t="s">
        <v>1375</v>
      </c>
      <c r="L41" s="5" t="s">
        <v>1396</v>
      </c>
      <c r="M41" s="108" t="s">
        <v>1397</v>
      </c>
      <c r="N41" s="12" t="s">
        <v>1122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25"/>
    <row r="43" spans="1:26" ht="15.75" customHeight="1" x14ac:dyDescent="0.25"/>
    <row r="44" spans="1:26" ht="15.75" customHeight="1" x14ac:dyDescent="0.25"/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2:N41" xr:uid="{00000000-0009-0000-0000-000003000000}"/>
  <dataValidations count="1">
    <dataValidation type="custom" allowBlank="1" showInputMessage="1" showErrorMessage="1" prompt="Petunjuk Pengisian - NIK/Nomor KTP harus terdiri dari 16 digit untuk e-KTP atau 17 digit untuk KTP biasa." sqref="L3" xr:uid="{00000000-0002-0000-0300-000000000000}">
      <formula1>AND(GTE(LEN(L3),MIN((16),(17))),LTE(LEN(L3),MAX((16),(17))))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CCFF"/>
  </sheetPr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53.85546875" customWidth="1"/>
    <col min="3" max="3" width="5.140625" customWidth="1"/>
    <col min="4" max="4" width="14" customWidth="1"/>
    <col min="5" max="5" width="18" customWidth="1"/>
    <col min="6" max="6" width="13.140625" customWidth="1"/>
    <col min="7" max="7" width="22.7109375" customWidth="1"/>
    <col min="8" max="8" width="18.7109375" customWidth="1"/>
    <col min="9" max="9" width="9.140625" customWidth="1"/>
    <col min="10" max="10" width="12.5703125" customWidth="1"/>
    <col min="11" max="12" width="9.140625" customWidth="1"/>
    <col min="13" max="13" width="18.42578125" customWidth="1"/>
    <col min="14" max="14" width="11.7109375" customWidth="1"/>
    <col min="15" max="15" width="9.140625" customWidth="1"/>
    <col min="16" max="16" width="35.140625" customWidth="1"/>
    <col min="17" max="17" width="32" customWidth="1"/>
    <col min="18" max="18" width="29.7109375" customWidth="1"/>
    <col min="19" max="19" width="18" customWidth="1"/>
    <col min="20" max="20" width="12.7109375" customWidth="1"/>
    <col min="21" max="21" width="17" customWidth="1"/>
    <col min="22" max="22" width="77" customWidth="1"/>
    <col min="23" max="23" width="41.5703125" customWidth="1"/>
    <col min="24" max="24" width="54.5703125" customWidth="1"/>
    <col min="25" max="25" width="13.7109375" customWidth="1"/>
    <col min="26" max="26" width="22.5703125" customWidth="1"/>
  </cols>
  <sheetData>
    <row r="1" spans="1:26" x14ac:dyDescent="0.25">
      <c r="A1" s="109" t="s">
        <v>1398</v>
      </c>
      <c r="B1" s="109"/>
      <c r="C1" s="110"/>
      <c r="D1" s="110"/>
      <c r="E1" s="109"/>
      <c r="F1" s="110"/>
      <c r="G1" s="110"/>
      <c r="H1" s="111"/>
      <c r="I1" s="110"/>
      <c r="J1" s="109"/>
      <c r="K1" s="109"/>
      <c r="L1" s="109"/>
      <c r="M1" s="109"/>
      <c r="N1" s="109"/>
      <c r="O1" s="109"/>
      <c r="P1" s="109"/>
      <c r="Q1" s="109"/>
      <c r="R1" s="109"/>
      <c r="S1" s="112"/>
      <c r="T1" s="110"/>
      <c r="U1" s="109"/>
      <c r="V1" s="113"/>
      <c r="W1" s="109"/>
      <c r="X1" s="114"/>
      <c r="Y1" s="114"/>
      <c r="Z1" s="115"/>
    </row>
    <row r="2" spans="1:26" x14ac:dyDescent="0.25">
      <c r="A2" s="109" t="s">
        <v>1399</v>
      </c>
      <c r="B2" s="109"/>
      <c r="C2" s="110"/>
      <c r="D2" s="110"/>
      <c r="E2" s="109" t="s">
        <v>1084</v>
      </c>
      <c r="F2" s="110" t="s">
        <v>1084</v>
      </c>
      <c r="G2" s="110"/>
      <c r="H2" s="111"/>
      <c r="I2" s="110"/>
      <c r="J2" s="109"/>
      <c r="K2" s="109"/>
      <c r="L2" s="109"/>
      <c r="M2" s="109"/>
      <c r="N2" s="109"/>
      <c r="O2" s="109"/>
      <c r="P2" s="109"/>
      <c r="Q2" s="109"/>
      <c r="R2" s="109"/>
      <c r="S2" s="112" t="s">
        <v>1084</v>
      </c>
      <c r="T2" s="110"/>
      <c r="U2" s="109"/>
      <c r="V2" s="113"/>
      <c r="W2" s="109"/>
      <c r="X2" s="114"/>
      <c r="Y2" s="114"/>
      <c r="Z2" s="115"/>
    </row>
    <row r="3" spans="1:26" ht="15.75" customHeight="1" x14ac:dyDescent="0.25">
      <c r="A3" s="114"/>
      <c r="B3" s="114"/>
      <c r="C3" s="116"/>
      <c r="D3" s="116"/>
      <c r="E3" s="114"/>
      <c r="F3" s="116"/>
      <c r="G3" s="116"/>
      <c r="H3" s="111"/>
      <c r="I3" s="116"/>
      <c r="J3" s="117"/>
      <c r="K3" s="116"/>
      <c r="L3" s="116"/>
      <c r="M3" s="114"/>
      <c r="N3" s="118"/>
      <c r="O3" s="116"/>
      <c r="P3" s="114"/>
      <c r="Q3" s="114"/>
      <c r="R3" s="114"/>
      <c r="S3" s="119"/>
      <c r="T3" s="116"/>
      <c r="U3" s="116"/>
      <c r="V3" s="120"/>
      <c r="W3" s="119"/>
      <c r="X3" s="114"/>
      <c r="Y3" s="114"/>
      <c r="Z3" s="115"/>
    </row>
    <row r="4" spans="1:26" ht="33" customHeight="1" x14ac:dyDescent="0.25">
      <c r="A4" s="121" t="s">
        <v>1400</v>
      </c>
      <c r="B4" s="121" t="s">
        <v>5</v>
      </c>
      <c r="C4" s="121" t="s">
        <v>358</v>
      </c>
      <c r="D4" s="121" t="s">
        <v>1401</v>
      </c>
      <c r="E4" s="121" t="s">
        <v>1402</v>
      </c>
      <c r="F4" s="121" t="s">
        <v>1403</v>
      </c>
      <c r="G4" s="122" t="s">
        <v>7</v>
      </c>
      <c r="H4" s="122" t="s">
        <v>8</v>
      </c>
      <c r="I4" s="121" t="s">
        <v>1404</v>
      </c>
      <c r="J4" s="123" t="s">
        <v>1405</v>
      </c>
      <c r="K4" s="124" t="s">
        <v>1406</v>
      </c>
      <c r="L4" s="124" t="s">
        <v>1407</v>
      </c>
      <c r="M4" s="121" t="s">
        <v>967</v>
      </c>
      <c r="N4" s="125" t="s">
        <v>1408</v>
      </c>
      <c r="O4" s="121" t="s">
        <v>362</v>
      </c>
      <c r="P4" s="126" t="s">
        <v>376</v>
      </c>
      <c r="Q4" s="126" t="s">
        <v>982</v>
      </c>
      <c r="R4" s="126" t="s">
        <v>1028</v>
      </c>
      <c r="S4" s="127" t="s">
        <v>1409</v>
      </c>
      <c r="T4" s="122" t="s">
        <v>971</v>
      </c>
      <c r="U4" s="121" t="s">
        <v>3</v>
      </c>
      <c r="V4" s="128" t="s">
        <v>1410</v>
      </c>
      <c r="W4" s="121" t="s">
        <v>1411</v>
      </c>
      <c r="X4" s="122" t="s">
        <v>1412</v>
      </c>
      <c r="Y4" s="121" t="s">
        <v>3</v>
      </c>
      <c r="Z4" s="129" t="s">
        <v>1413</v>
      </c>
    </row>
    <row r="5" spans="1:26" ht="24" customHeight="1" x14ac:dyDescent="0.25">
      <c r="A5" s="130"/>
      <c r="B5" s="130"/>
      <c r="C5" s="131"/>
      <c r="D5" s="132"/>
      <c r="E5" s="132" t="s">
        <v>1414</v>
      </c>
      <c r="F5" s="132" t="s">
        <v>1414</v>
      </c>
      <c r="G5" s="131"/>
      <c r="H5" s="131"/>
      <c r="I5" s="131"/>
      <c r="J5" s="133"/>
      <c r="K5" s="134" t="s">
        <v>1415</v>
      </c>
      <c r="L5" s="135"/>
      <c r="M5" s="130"/>
      <c r="N5" s="136"/>
      <c r="O5" s="132"/>
      <c r="P5" s="1"/>
      <c r="Q5" s="1"/>
      <c r="R5" s="1"/>
      <c r="S5" s="137"/>
      <c r="T5" s="138"/>
      <c r="U5" s="132" t="s">
        <v>1416</v>
      </c>
      <c r="V5" s="139"/>
      <c r="W5" s="131"/>
      <c r="X5" s="140"/>
      <c r="Y5" s="132"/>
      <c r="Z5" s="141"/>
    </row>
    <row r="6" spans="1:26" x14ac:dyDescent="0.25">
      <c r="A6" s="142" t="s">
        <v>1417</v>
      </c>
      <c r="B6" s="142"/>
      <c r="C6" s="126"/>
      <c r="D6" s="126"/>
      <c r="E6" s="126"/>
      <c r="F6" s="126"/>
      <c r="G6" s="143"/>
      <c r="H6" s="143"/>
      <c r="I6" s="126"/>
      <c r="J6" s="144"/>
      <c r="K6" s="1"/>
      <c r="L6" s="1"/>
      <c r="M6" s="126"/>
      <c r="N6" s="145"/>
      <c r="O6" s="126"/>
      <c r="P6" s="126"/>
      <c r="Q6" s="126"/>
      <c r="R6" s="146"/>
      <c r="S6" s="142"/>
      <c r="T6" s="126"/>
      <c r="U6" s="126"/>
      <c r="V6" s="147"/>
      <c r="W6" s="142"/>
      <c r="X6" s="148"/>
      <c r="Y6" s="148"/>
      <c r="Z6" s="149"/>
    </row>
    <row r="7" spans="1:26" ht="39" customHeight="1" x14ac:dyDescent="0.25">
      <c r="A7" s="5">
        <v>1</v>
      </c>
      <c r="B7" s="12" t="s">
        <v>1418</v>
      </c>
      <c r="C7" s="5" t="s">
        <v>18</v>
      </c>
      <c r="D7" s="10" t="s">
        <v>1419</v>
      </c>
      <c r="E7" s="14" t="s">
        <v>1420</v>
      </c>
      <c r="F7" s="150">
        <v>23076</v>
      </c>
      <c r="G7" s="151" t="s">
        <v>1421</v>
      </c>
      <c r="H7" s="68" t="s">
        <v>1422</v>
      </c>
      <c r="I7" s="5" t="s">
        <v>1423</v>
      </c>
      <c r="J7" s="150">
        <v>41000</v>
      </c>
      <c r="K7" s="5">
        <v>23</v>
      </c>
      <c r="L7" s="5">
        <v>1</v>
      </c>
      <c r="M7" s="12" t="s">
        <v>1424</v>
      </c>
      <c r="N7" s="150">
        <v>40087</v>
      </c>
      <c r="O7" s="5" t="s">
        <v>1028</v>
      </c>
      <c r="P7" s="11" t="s">
        <v>1425</v>
      </c>
      <c r="Q7" s="11" t="s">
        <v>1426</v>
      </c>
      <c r="R7" s="152" t="s">
        <v>1427</v>
      </c>
      <c r="S7" s="14" t="s">
        <v>1428</v>
      </c>
      <c r="T7" s="20">
        <v>2006036301</v>
      </c>
      <c r="U7" s="150">
        <v>48670</v>
      </c>
      <c r="V7" s="14" t="s">
        <v>1429</v>
      </c>
      <c r="W7" s="14" t="s">
        <v>1430</v>
      </c>
      <c r="X7" s="11"/>
      <c r="Y7" s="5"/>
      <c r="Z7" s="153"/>
    </row>
    <row r="8" spans="1:26" ht="39" customHeight="1" x14ac:dyDescent="0.25">
      <c r="A8" s="5">
        <v>2</v>
      </c>
      <c r="B8" s="12" t="s">
        <v>1431</v>
      </c>
      <c r="C8" s="5" t="s">
        <v>18</v>
      </c>
      <c r="D8" s="10" t="s">
        <v>1432</v>
      </c>
      <c r="E8" s="14" t="s">
        <v>1433</v>
      </c>
      <c r="F8" s="150">
        <v>20639</v>
      </c>
      <c r="G8" s="151" t="s">
        <v>1434</v>
      </c>
      <c r="H8" s="68" t="s">
        <v>1435</v>
      </c>
      <c r="I8" s="5" t="s">
        <v>1423</v>
      </c>
      <c r="J8" s="150">
        <v>45383</v>
      </c>
      <c r="K8" s="5">
        <v>39</v>
      </c>
      <c r="L8" s="5">
        <v>1</v>
      </c>
      <c r="M8" s="12" t="s">
        <v>1424</v>
      </c>
      <c r="N8" s="150">
        <v>40725</v>
      </c>
      <c r="O8" s="5" t="s">
        <v>1028</v>
      </c>
      <c r="P8" s="11" t="s">
        <v>1436</v>
      </c>
      <c r="Q8" s="11" t="s">
        <v>1437</v>
      </c>
      <c r="R8" s="152" t="s">
        <v>1438</v>
      </c>
      <c r="S8" s="14" t="s">
        <v>1439</v>
      </c>
      <c r="T8" s="20">
        <v>2009075601</v>
      </c>
      <c r="U8" s="150">
        <v>46235</v>
      </c>
      <c r="V8" s="14" t="s">
        <v>1440</v>
      </c>
      <c r="W8" s="14" t="s">
        <v>1441</v>
      </c>
      <c r="X8" s="11"/>
      <c r="Y8" s="5"/>
      <c r="Z8" s="154"/>
    </row>
    <row r="9" spans="1:26" ht="39" customHeight="1" x14ac:dyDescent="0.25">
      <c r="A9" s="5">
        <v>3</v>
      </c>
      <c r="B9" s="154" t="s">
        <v>1442</v>
      </c>
      <c r="C9" s="67" t="s">
        <v>18</v>
      </c>
      <c r="D9" s="39" t="s">
        <v>1443</v>
      </c>
      <c r="E9" s="153" t="s">
        <v>1444</v>
      </c>
      <c r="F9" s="155">
        <v>28097</v>
      </c>
      <c r="G9" s="156" t="s">
        <v>1445</v>
      </c>
      <c r="H9" s="68" t="s">
        <v>1446</v>
      </c>
      <c r="I9" s="67" t="s">
        <v>1447</v>
      </c>
      <c r="J9" s="155">
        <v>45566</v>
      </c>
      <c r="K9" s="67">
        <v>24</v>
      </c>
      <c r="L9" s="67">
        <v>19</v>
      </c>
      <c r="M9" s="154" t="s">
        <v>1424</v>
      </c>
      <c r="N9" s="155">
        <v>43891</v>
      </c>
      <c r="O9" s="5" t="s">
        <v>1028</v>
      </c>
      <c r="P9" s="157" t="s">
        <v>1448</v>
      </c>
      <c r="Q9" s="158" t="s">
        <v>1449</v>
      </c>
      <c r="R9" s="40" t="s">
        <v>1450</v>
      </c>
      <c r="S9" s="153" t="s">
        <v>1451</v>
      </c>
      <c r="T9" s="159">
        <v>2012037601</v>
      </c>
      <c r="U9" s="155">
        <v>53328</v>
      </c>
      <c r="V9" s="153" t="s">
        <v>1452</v>
      </c>
      <c r="W9" s="153" t="s">
        <v>1453</v>
      </c>
      <c r="X9" s="160"/>
      <c r="Y9" s="67"/>
      <c r="Z9" s="154"/>
    </row>
    <row r="10" spans="1:26" ht="39" customHeight="1" x14ac:dyDescent="0.25">
      <c r="A10" s="5">
        <v>4</v>
      </c>
      <c r="B10" s="12" t="s">
        <v>1454</v>
      </c>
      <c r="C10" s="5" t="s">
        <v>18</v>
      </c>
      <c r="D10" s="10" t="s">
        <v>1455</v>
      </c>
      <c r="E10" s="14" t="s">
        <v>1456</v>
      </c>
      <c r="F10" s="150">
        <v>21203</v>
      </c>
      <c r="G10" s="151" t="s">
        <v>1457</v>
      </c>
      <c r="H10" s="68" t="s">
        <v>1458</v>
      </c>
      <c r="I10" s="5" t="s">
        <v>1447</v>
      </c>
      <c r="J10" s="150">
        <v>44835</v>
      </c>
      <c r="K10" s="5">
        <v>28</v>
      </c>
      <c r="L10" s="5">
        <v>7</v>
      </c>
      <c r="M10" s="12" t="s">
        <v>1424</v>
      </c>
      <c r="N10" s="150">
        <v>44593</v>
      </c>
      <c r="O10" s="5" t="s">
        <v>1028</v>
      </c>
      <c r="P10" s="11" t="s">
        <v>1459</v>
      </c>
      <c r="Q10" s="11" t="s">
        <v>1460</v>
      </c>
      <c r="R10" s="9" t="s">
        <v>1461</v>
      </c>
      <c r="S10" s="14" t="s">
        <v>1462</v>
      </c>
      <c r="T10" s="20">
        <v>2018015901</v>
      </c>
      <c r="U10" s="150">
        <v>47150</v>
      </c>
      <c r="V10" s="14" t="s">
        <v>1440</v>
      </c>
      <c r="W10" s="14" t="s">
        <v>1463</v>
      </c>
      <c r="X10" s="11"/>
      <c r="Y10" s="5"/>
      <c r="Z10" s="154"/>
    </row>
    <row r="11" spans="1:26" ht="39" customHeight="1" x14ac:dyDescent="0.25">
      <c r="A11" s="5">
        <v>5</v>
      </c>
      <c r="B11" s="12" t="s">
        <v>1464</v>
      </c>
      <c r="C11" s="5" t="s">
        <v>18</v>
      </c>
      <c r="D11" s="10" t="s">
        <v>1465</v>
      </c>
      <c r="E11" s="14" t="s">
        <v>1466</v>
      </c>
      <c r="F11" s="150">
        <v>26085</v>
      </c>
      <c r="G11" s="151" t="s">
        <v>1467</v>
      </c>
      <c r="H11" s="68" t="s">
        <v>1468</v>
      </c>
      <c r="I11" s="5" t="s">
        <v>1469</v>
      </c>
      <c r="J11" s="150">
        <v>45017</v>
      </c>
      <c r="K11" s="5">
        <v>23</v>
      </c>
      <c r="L11" s="5">
        <v>1</v>
      </c>
      <c r="M11" s="12" t="s">
        <v>1424</v>
      </c>
      <c r="N11" s="150">
        <v>44621</v>
      </c>
      <c r="O11" s="5" t="s">
        <v>1028</v>
      </c>
      <c r="P11" s="157" t="s">
        <v>1470</v>
      </c>
      <c r="Q11" s="157" t="s">
        <v>1471</v>
      </c>
      <c r="R11" s="9" t="s">
        <v>1472</v>
      </c>
      <c r="S11" s="14" t="s">
        <v>1473</v>
      </c>
      <c r="T11" s="20">
        <v>2006017102</v>
      </c>
      <c r="U11" s="150">
        <v>51683</v>
      </c>
      <c r="V11" s="14" t="s">
        <v>1474</v>
      </c>
      <c r="W11" s="14" t="s">
        <v>1475</v>
      </c>
      <c r="X11" s="9" t="s">
        <v>1476</v>
      </c>
      <c r="Y11" s="51">
        <v>45553</v>
      </c>
      <c r="Z11" s="154"/>
    </row>
    <row r="12" spans="1:26" ht="39" customHeight="1" x14ac:dyDescent="0.25">
      <c r="A12" s="5">
        <v>6</v>
      </c>
      <c r="B12" s="12" t="s">
        <v>1477</v>
      </c>
      <c r="C12" s="5" t="s">
        <v>46</v>
      </c>
      <c r="D12" s="10" t="s">
        <v>1478</v>
      </c>
      <c r="E12" s="14" t="s">
        <v>1479</v>
      </c>
      <c r="F12" s="150">
        <v>26486</v>
      </c>
      <c r="G12" s="151" t="s">
        <v>1480</v>
      </c>
      <c r="H12" s="68" t="s">
        <v>1481</v>
      </c>
      <c r="I12" s="5" t="s">
        <v>1447</v>
      </c>
      <c r="J12" s="150">
        <v>45383</v>
      </c>
      <c r="K12" s="5">
        <v>26</v>
      </c>
      <c r="L12" s="5">
        <v>1</v>
      </c>
      <c r="M12" s="12" t="s">
        <v>1424</v>
      </c>
      <c r="N12" s="150">
        <v>45078</v>
      </c>
      <c r="O12" s="5" t="s">
        <v>1028</v>
      </c>
      <c r="P12" s="11" t="s">
        <v>1482</v>
      </c>
      <c r="Q12" s="157" t="s">
        <v>1483</v>
      </c>
      <c r="R12" s="9" t="s">
        <v>1484</v>
      </c>
      <c r="S12" s="14" t="s">
        <v>1485</v>
      </c>
      <c r="T12" s="20">
        <v>2007067201</v>
      </c>
      <c r="U12" s="150">
        <v>52079</v>
      </c>
      <c r="V12" s="14" t="s">
        <v>1452</v>
      </c>
      <c r="W12" s="14" t="s">
        <v>1486</v>
      </c>
      <c r="X12" s="11"/>
      <c r="Y12" s="5"/>
      <c r="Z12" s="154" t="s">
        <v>1084</v>
      </c>
    </row>
    <row r="13" spans="1:26" ht="39" customHeight="1" x14ac:dyDescent="0.25">
      <c r="A13" s="5">
        <v>7</v>
      </c>
      <c r="B13" s="14" t="s">
        <v>1487</v>
      </c>
      <c r="C13" s="5" t="s">
        <v>18</v>
      </c>
      <c r="D13" s="10" t="s">
        <v>1488</v>
      </c>
      <c r="E13" s="14" t="s">
        <v>1489</v>
      </c>
      <c r="F13" s="150">
        <v>26026</v>
      </c>
      <c r="G13" s="151" t="s">
        <v>1490</v>
      </c>
      <c r="H13" s="68" t="s">
        <v>1491</v>
      </c>
      <c r="I13" s="10" t="s">
        <v>1469</v>
      </c>
      <c r="J13" s="161">
        <v>45383</v>
      </c>
      <c r="K13" s="5">
        <v>28</v>
      </c>
      <c r="L13" s="5">
        <v>1</v>
      </c>
      <c r="M13" s="12" t="s">
        <v>1424</v>
      </c>
      <c r="N13" s="150">
        <v>45017</v>
      </c>
      <c r="O13" s="5" t="s">
        <v>1028</v>
      </c>
      <c r="P13" s="157" t="s">
        <v>1492</v>
      </c>
      <c r="Q13" s="157" t="s">
        <v>1493</v>
      </c>
      <c r="R13" s="9" t="s">
        <v>1494</v>
      </c>
      <c r="S13" s="162">
        <v>102100504704</v>
      </c>
      <c r="T13" s="20">
        <v>2003047102</v>
      </c>
      <c r="U13" s="150">
        <v>51622</v>
      </c>
      <c r="V13" s="14" t="s">
        <v>1429</v>
      </c>
      <c r="W13" s="14" t="s">
        <v>1495</v>
      </c>
      <c r="X13" s="89"/>
      <c r="Y13" s="89"/>
      <c r="Z13" s="89"/>
    </row>
    <row r="14" spans="1:26" ht="39" customHeight="1" x14ac:dyDescent="0.25">
      <c r="A14" s="5">
        <v>8</v>
      </c>
      <c r="B14" s="12" t="s">
        <v>1496</v>
      </c>
      <c r="C14" s="5" t="s">
        <v>18</v>
      </c>
      <c r="D14" s="10" t="s">
        <v>1497</v>
      </c>
      <c r="E14" s="14" t="s">
        <v>1498</v>
      </c>
      <c r="F14" s="150">
        <v>24929</v>
      </c>
      <c r="G14" s="151" t="s">
        <v>1499</v>
      </c>
      <c r="H14" s="68" t="s">
        <v>1500</v>
      </c>
      <c r="I14" s="5" t="s">
        <v>1469</v>
      </c>
      <c r="J14" s="150">
        <v>42095</v>
      </c>
      <c r="K14" s="5">
        <v>22</v>
      </c>
      <c r="L14" s="5">
        <v>1</v>
      </c>
      <c r="M14" s="12" t="s">
        <v>1501</v>
      </c>
      <c r="N14" s="150">
        <v>38261</v>
      </c>
      <c r="O14" s="5" t="s">
        <v>1028</v>
      </c>
      <c r="P14" s="11" t="s">
        <v>1502</v>
      </c>
      <c r="Q14" s="157" t="s">
        <v>1503</v>
      </c>
      <c r="R14" s="9" t="s">
        <v>1504</v>
      </c>
      <c r="S14" s="14" t="s">
        <v>1505</v>
      </c>
      <c r="T14" s="20">
        <v>2001046801</v>
      </c>
      <c r="U14" s="150">
        <v>48700</v>
      </c>
      <c r="V14" s="14" t="s">
        <v>1452</v>
      </c>
      <c r="W14" s="14" t="s">
        <v>1506</v>
      </c>
      <c r="X14" s="11"/>
      <c r="Y14" s="5"/>
      <c r="Z14" s="154"/>
    </row>
    <row r="15" spans="1:26" ht="39" customHeight="1" x14ac:dyDescent="0.25">
      <c r="A15" s="5">
        <v>9</v>
      </c>
      <c r="B15" s="12" t="s">
        <v>1507</v>
      </c>
      <c r="C15" s="5" t="s">
        <v>18</v>
      </c>
      <c r="D15" s="5" t="s">
        <v>1508</v>
      </c>
      <c r="E15" s="14" t="s">
        <v>1420</v>
      </c>
      <c r="F15" s="150">
        <v>23331</v>
      </c>
      <c r="G15" s="151" t="s">
        <v>1509</v>
      </c>
      <c r="H15" s="68" t="s">
        <v>1510</v>
      </c>
      <c r="I15" s="5" t="s">
        <v>1469</v>
      </c>
      <c r="J15" s="150">
        <v>40634</v>
      </c>
      <c r="K15" s="5">
        <v>19</v>
      </c>
      <c r="L15" s="5">
        <v>1</v>
      </c>
      <c r="M15" s="12" t="s">
        <v>1501</v>
      </c>
      <c r="N15" s="150">
        <v>38777</v>
      </c>
      <c r="O15" s="5" t="s">
        <v>1028</v>
      </c>
      <c r="P15" s="157" t="s">
        <v>1511</v>
      </c>
      <c r="Q15" s="157" t="s">
        <v>1512</v>
      </c>
      <c r="R15" s="152" t="s">
        <v>1513</v>
      </c>
      <c r="S15" s="14" t="s">
        <v>1514</v>
      </c>
      <c r="T15" s="20">
        <v>2016116302</v>
      </c>
      <c r="U15" s="150">
        <v>47088</v>
      </c>
      <c r="V15" s="14" t="s">
        <v>1515</v>
      </c>
      <c r="W15" s="14" t="s">
        <v>1516</v>
      </c>
      <c r="X15" s="89"/>
      <c r="Y15" s="89"/>
      <c r="Z15" s="89"/>
    </row>
    <row r="16" spans="1:26" ht="39" customHeight="1" x14ac:dyDescent="0.25">
      <c r="A16" s="5">
        <v>10</v>
      </c>
      <c r="B16" s="14" t="s">
        <v>1517</v>
      </c>
      <c r="C16" s="5" t="s">
        <v>18</v>
      </c>
      <c r="D16" s="10" t="s">
        <v>1518</v>
      </c>
      <c r="E16" s="14" t="s">
        <v>1519</v>
      </c>
      <c r="F16" s="150">
        <v>24441</v>
      </c>
      <c r="G16" s="151" t="s">
        <v>1520</v>
      </c>
      <c r="H16" s="68" t="s">
        <v>1521</v>
      </c>
      <c r="I16" s="5" t="s">
        <v>1469</v>
      </c>
      <c r="J16" s="150">
        <v>45383</v>
      </c>
      <c r="K16" s="5">
        <v>31</v>
      </c>
      <c r="L16" s="5">
        <v>1</v>
      </c>
      <c r="M16" s="12" t="s">
        <v>1501</v>
      </c>
      <c r="N16" s="150">
        <v>39052</v>
      </c>
      <c r="O16" s="5" t="s">
        <v>982</v>
      </c>
      <c r="P16" s="11" t="s">
        <v>1502</v>
      </c>
      <c r="Q16" s="157" t="s">
        <v>1522</v>
      </c>
      <c r="R16" s="9"/>
      <c r="S16" s="14" t="s">
        <v>1523</v>
      </c>
      <c r="T16" s="20">
        <v>2030116602</v>
      </c>
      <c r="U16" s="150">
        <v>48183</v>
      </c>
      <c r="V16" s="14" t="s">
        <v>1452</v>
      </c>
      <c r="W16" s="14" t="s">
        <v>1524</v>
      </c>
      <c r="X16" s="12" t="s">
        <v>1525</v>
      </c>
      <c r="Y16" s="163">
        <v>44230</v>
      </c>
      <c r="Z16" s="154"/>
    </row>
    <row r="17" spans="1:26" ht="39" customHeight="1" x14ac:dyDescent="0.25">
      <c r="A17" s="5">
        <v>11</v>
      </c>
      <c r="B17" s="14" t="s">
        <v>1526</v>
      </c>
      <c r="C17" s="5" t="s">
        <v>18</v>
      </c>
      <c r="D17" s="10" t="s">
        <v>1527</v>
      </c>
      <c r="E17" s="14" t="s">
        <v>1479</v>
      </c>
      <c r="F17" s="150">
        <v>26144</v>
      </c>
      <c r="G17" s="151" t="s">
        <v>1528</v>
      </c>
      <c r="H17" s="68" t="s">
        <v>1529</v>
      </c>
      <c r="I17" s="5" t="s">
        <v>1469</v>
      </c>
      <c r="J17" s="150">
        <v>45383</v>
      </c>
      <c r="K17" s="5">
        <v>28</v>
      </c>
      <c r="L17" s="5">
        <v>1</v>
      </c>
      <c r="M17" s="12" t="s">
        <v>1501</v>
      </c>
      <c r="N17" s="150">
        <v>39264</v>
      </c>
      <c r="O17" s="5" t="s">
        <v>1028</v>
      </c>
      <c r="P17" s="11" t="s">
        <v>1530</v>
      </c>
      <c r="Q17" s="157" t="s">
        <v>1531</v>
      </c>
      <c r="R17" s="9" t="s">
        <v>1532</v>
      </c>
      <c r="S17" s="14" t="s">
        <v>1533</v>
      </c>
      <c r="T17" s="20">
        <v>2030077101</v>
      </c>
      <c r="U17" s="150">
        <v>49888</v>
      </c>
      <c r="V17" s="14" t="s">
        <v>1452</v>
      </c>
      <c r="W17" s="14" t="s">
        <v>1045</v>
      </c>
      <c r="X17" s="12"/>
      <c r="Y17" s="12"/>
      <c r="Z17" s="154"/>
    </row>
    <row r="18" spans="1:26" ht="39" customHeight="1" x14ac:dyDescent="0.25">
      <c r="A18" s="5">
        <v>12</v>
      </c>
      <c r="B18" s="14" t="s">
        <v>1534</v>
      </c>
      <c r="C18" s="5" t="s">
        <v>18</v>
      </c>
      <c r="D18" s="5" t="s">
        <v>1535</v>
      </c>
      <c r="E18" s="14" t="s">
        <v>1536</v>
      </c>
      <c r="F18" s="150">
        <v>25850</v>
      </c>
      <c r="G18" s="151" t="s">
        <v>1537</v>
      </c>
      <c r="H18" s="68" t="s">
        <v>1538</v>
      </c>
      <c r="I18" s="10" t="s">
        <v>1469</v>
      </c>
      <c r="J18" s="161">
        <v>45383</v>
      </c>
      <c r="K18" s="5">
        <v>29</v>
      </c>
      <c r="L18" s="5">
        <v>1</v>
      </c>
      <c r="M18" s="12" t="s">
        <v>1501</v>
      </c>
      <c r="N18" s="150">
        <v>39264</v>
      </c>
      <c r="O18" s="5" t="s">
        <v>1028</v>
      </c>
      <c r="P18" s="11" t="s">
        <v>1539</v>
      </c>
      <c r="Q18" s="157" t="s">
        <v>1540</v>
      </c>
      <c r="R18" s="9" t="s">
        <v>1541</v>
      </c>
      <c r="S18" s="162">
        <v>122100509796</v>
      </c>
      <c r="T18" s="20">
        <v>2009107001</v>
      </c>
      <c r="U18" s="150">
        <v>49614</v>
      </c>
      <c r="V18" s="14" t="s">
        <v>1515</v>
      </c>
      <c r="W18" s="14" t="s">
        <v>1542</v>
      </c>
      <c r="X18" s="89"/>
      <c r="Y18" s="89"/>
      <c r="Z18" s="89"/>
    </row>
    <row r="19" spans="1:26" ht="39" customHeight="1" x14ac:dyDescent="0.25">
      <c r="A19" s="5">
        <v>13</v>
      </c>
      <c r="B19" s="14" t="s">
        <v>1543</v>
      </c>
      <c r="C19" s="5" t="s">
        <v>18</v>
      </c>
      <c r="D19" s="10" t="s">
        <v>1544</v>
      </c>
      <c r="E19" s="14" t="s">
        <v>1545</v>
      </c>
      <c r="F19" s="150">
        <v>24957</v>
      </c>
      <c r="G19" s="151" t="s">
        <v>1546</v>
      </c>
      <c r="H19" s="68" t="s">
        <v>1547</v>
      </c>
      <c r="I19" s="10" t="s">
        <v>1469</v>
      </c>
      <c r="J19" s="161">
        <v>45383</v>
      </c>
      <c r="K19" s="5">
        <v>29</v>
      </c>
      <c r="L19" s="5">
        <v>1</v>
      </c>
      <c r="M19" s="12" t="s">
        <v>1501</v>
      </c>
      <c r="N19" s="150">
        <v>39630</v>
      </c>
      <c r="O19" s="5" t="s">
        <v>1028</v>
      </c>
      <c r="P19" s="11" t="s">
        <v>1548</v>
      </c>
      <c r="Q19" s="157" t="s">
        <v>1549</v>
      </c>
      <c r="R19" s="9" t="s">
        <v>1550</v>
      </c>
      <c r="S19" s="14" t="s">
        <v>1551</v>
      </c>
      <c r="T19" s="20">
        <v>2029046801</v>
      </c>
      <c r="U19" s="150">
        <v>50526</v>
      </c>
      <c r="V19" s="14" t="s">
        <v>1452</v>
      </c>
      <c r="W19" s="11" t="s">
        <v>1552</v>
      </c>
      <c r="X19" s="89"/>
      <c r="Y19" s="89"/>
      <c r="Z19" s="89"/>
    </row>
    <row r="20" spans="1:26" ht="39" customHeight="1" x14ac:dyDescent="0.25">
      <c r="A20" s="5">
        <v>14</v>
      </c>
      <c r="B20" s="14" t="s">
        <v>1553</v>
      </c>
      <c r="C20" s="5" t="s">
        <v>18</v>
      </c>
      <c r="D20" s="10" t="s">
        <v>1554</v>
      </c>
      <c r="E20" s="14" t="s">
        <v>1555</v>
      </c>
      <c r="F20" s="150">
        <v>26463</v>
      </c>
      <c r="G20" s="151" t="s">
        <v>1556</v>
      </c>
      <c r="H20" s="68" t="s">
        <v>1557</v>
      </c>
      <c r="I20" s="5" t="s">
        <v>1558</v>
      </c>
      <c r="J20" s="150">
        <v>45383</v>
      </c>
      <c r="K20" s="5">
        <v>26</v>
      </c>
      <c r="L20" s="5">
        <v>1</v>
      </c>
      <c r="M20" s="12" t="s">
        <v>1501</v>
      </c>
      <c r="N20" s="150">
        <v>39630</v>
      </c>
      <c r="O20" s="5" t="s">
        <v>982</v>
      </c>
      <c r="P20" s="11" t="s">
        <v>1559</v>
      </c>
      <c r="Q20" s="157" t="s">
        <v>1560</v>
      </c>
      <c r="R20" s="9"/>
      <c r="S20" s="14" t="s">
        <v>1561</v>
      </c>
      <c r="T20" s="20">
        <v>2013067202</v>
      </c>
      <c r="U20" s="150">
        <v>50222</v>
      </c>
      <c r="V20" s="14" t="s">
        <v>1452</v>
      </c>
      <c r="W20" s="14" t="s">
        <v>1562</v>
      </c>
      <c r="X20" s="11" t="s">
        <v>1563</v>
      </c>
      <c r="Y20" s="51">
        <v>45589</v>
      </c>
      <c r="Z20" s="154"/>
    </row>
    <row r="21" spans="1:26" ht="39" customHeight="1" x14ac:dyDescent="0.25">
      <c r="A21" s="5">
        <v>15</v>
      </c>
      <c r="B21" s="14" t="s">
        <v>1564</v>
      </c>
      <c r="C21" s="5" t="s">
        <v>18</v>
      </c>
      <c r="D21" s="10" t="s">
        <v>1565</v>
      </c>
      <c r="E21" s="14" t="s">
        <v>1566</v>
      </c>
      <c r="F21" s="150">
        <v>22489</v>
      </c>
      <c r="G21" s="151" t="s">
        <v>1567</v>
      </c>
      <c r="H21" s="68" t="s">
        <v>1568</v>
      </c>
      <c r="I21" s="5" t="s">
        <v>1558</v>
      </c>
      <c r="J21" s="150">
        <v>45383</v>
      </c>
      <c r="K21" s="5">
        <v>36</v>
      </c>
      <c r="L21" s="5">
        <v>1</v>
      </c>
      <c r="M21" s="12" t="s">
        <v>1501</v>
      </c>
      <c r="N21" s="150">
        <v>39692</v>
      </c>
      <c r="O21" s="5" t="s">
        <v>1028</v>
      </c>
      <c r="P21" s="11" t="s">
        <v>1569</v>
      </c>
      <c r="Q21" s="157" t="s">
        <v>1570</v>
      </c>
      <c r="R21" s="9" t="s">
        <v>1571</v>
      </c>
      <c r="S21" s="14" t="s">
        <v>1572</v>
      </c>
      <c r="T21" s="20">
        <v>2007076101</v>
      </c>
      <c r="U21" s="150">
        <v>46235</v>
      </c>
      <c r="V21" s="14" t="s">
        <v>1440</v>
      </c>
      <c r="W21" s="14" t="s">
        <v>1045</v>
      </c>
      <c r="X21" s="12"/>
      <c r="Y21" s="12"/>
      <c r="Z21" s="154"/>
    </row>
    <row r="22" spans="1:26" ht="39" customHeight="1" x14ac:dyDescent="0.25">
      <c r="A22" s="5">
        <v>16</v>
      </c>
      <c r="B22" s="14" t="s">
        <v>1573</v>
      </c>
      <c r="C22" s="5" t="s">
        <v>18</v>
      </c>
      <c r="D22" s="10" t="s">
        <v>1574</v>
      </c>
      <c r="E22" s="14" t="s">
        <v>1575</v>
      </c>
      <c r="F22" s="150">
        <v>26183</v>
      </c>
      <c r="G22" s="151" t="s">
        <v>1576</v>
      </c>
      <c r="H22" s="68" t="s">
        <v>1577</v>
      </c>
      <c r="I22" s="5" t="s">
        <v>1558</v>
      </c>
      <c r="J22" s="150">
        <v>45383</v>
      </c>
      <c r="K22" s="5">
        <v>26</v>
      </c>
      <c r="L22" s="5">
        <v>1</v>
      </c>
      <c r="M22" s="12" t="s">
        <v>1501</v>
      </c>
      <c r="N22" s="150">
        <v>39692</v>
      </c>
      <c r="O22" s="5" t="s">
        <v>1028</v>
      </c>
      <c r="P22" s="157" t="s">
        <v>1578</v>
      </c>
      <c r="Q22" s="157" t="s">
        <v>1579</v>
      </c>
      <c r="R22" s="9" t="s">
        <v>1580</v>
      </c>
      <c r="S22" s="14" t="s">
        <v>1581</v>
      </c>
      <c r="T22" s="20">
        <v>2009077102</v>
      </c>
      <c r="U22" s="150">
        <v>49949</v>
      </c>
      <c r="V22" s="14" t="s">
        <v>1474</v>
      </c>
      <c r="W22" s="14" t="s">
        <v>1582</v>
      </c>
      <c r="X22" s="11"/>
      <c r="Y22" s="5"/>
      <c r="Z22" s="153"/>
    </row>
    <row r="23" spans="1:26" ht="39" customHeight="1" x14ac:dyDescent="0.25">
      <c r="A23" s="5">
        <v>17</v>
      </c>
      <c r="B23" s="14" t="s">
        <v>1583</v>
      </c>
      <c r="C23" s="5" t="s">
        <v>18</v>
      </c>
      <c r="D23" s="10" t="s">
        <v>1584</v>
      </c>
      <c r="E23" s="14" t="s">
        <v>1444</v>
      </c>
      <c r="F23" s="150">
        <v>26672</v>
      </c>
      <c r="G23" s="151" t="s">
        <v>1585</v>
      </c>
      <c r="H23" s="68" t="s">
        <v>1586</v>
      </c>
      <c r="I23" s="5" t="s">
        <v>1558</v>
      </c>
      <c r="J23" s="150">
        <v>45383</v>
      </c>
      <c r="K23" s="5">
        <v>16</v>
      </c>
      <c r="L23" s="5">
        <v>1</v>
      </c>
      <c r="M23" s="12" t="s">
        <v>1501</v>
      </c>
      <c r="N23" s="150">
        <v>39722</v>
      </c>
      <c r="O23" s="5" t="s">
        <v>1028</v>
      </c>
      <c r="P23" s="157" t="s">
        <v>1587</v>
      </c>
      <c r="Q23" s="157" t="s">
        <v>1588</v>
      </c>
      <c r="R23" s="152" t="s">
        <v>1589</v>
      </c>
      <c r="S23" s="14" t="s">
        <v>1590</v>
      </c>
      <c r="T23" s="20">
        <v>2008017301</v>
      </c>
      <c r="U23" s="150">
        <v>50437</v>
      </c>
      <c r="V23" s="14" t="s">
        <v>1429</v>
      </c>
      <c r="W23" s="14" t="s">
        <v>1591</v>
      </c>
      <c r="X23" s="12"/>
      <c r="Y23" s="12"/>
      <c r="Z23" s="154"/>
    </row>
    <row r="24" spans="1:26" ht="39" customHeight="1" x14ac:dyDescent="0.25">
      <c r="A24" s="5">
        <v>18</v>
      </c>
      <c r="B24" s="14" t="s">
        <v>1592</v>
      </c>
      <c r="C24" s="5" t="s">
        <v>18</v>
      </c>
      <c r="D24" s="10" t="s">
        <v>1593</v>
      </c>
      <c r="E24" s="14" t="s">
        <v>1489</v>
      </c>
      <c r="F24" s="150">
        <v>24369</v>
      </c>
      <c r="G24" s="151" t="s">
        <v>1594</v>
      </c>
      <c r="H24" s="68" t="s">
        <v>1595</v>
      </c>
      <c r="I24" s="5" t="s">
        <v>1558</v>
      </c>
      <c r="J24" s="150">
        <v>45383</v>
      </c>
      <c r="K24" s="5">
        <v>30</v>
      </c>
      <c r="L24" s="5">
        <v>1</v>
      </c>
      <c r="M24" s="12" t="s">
        <v>1501</v>
      </c>
      <c r="N24" s="150">
        <v>39814</v>
      </c>
      <c r="O24" s="5" t="s">
        <v>1028</v>
      </c>
      <c r="P24" s="11" t="s">
        <v>1596</v>
      </c>
      <c r="Q24" s="157" t="s">
        <v>1597</v>
      </c>
      <c r="R24" s="9" t="s">
        <v>1598</v>
      </c>
      <c r="S24" s="14" t="s">
        <v>1599</v>
      </c>
      <c r="T24" s="20">
        <v>2019096601</v>
      </c>
      <c r="U24" s="150">
        <v>48122</v>
      </c>
      <c r="V24" s="14" t="s">
        <v>1452</v>
      </c>
      <c r="W24" s="14" t="s">
        <v>1600</v>
      </c>
      <c r="X24" s="11"/>
      <c r="Y24" s="5"/>
      <c r="Z24" s="153"/>
    </row>
    <row r="25" spans="1:26" ht="39" customHeight="1" x14ac:dyDescent="0.25">
      <c r="A25" s="5">
        <v>19</v>
      </c>
      <c r="B25" s="12" t="s">
        <v>1601</v>
      </c>
      <c r="C25" s="5" t="s">
        <v>18</v>
      </c>
      <c r="D25" s="10" t="s">
        <v>1602</v>
      </c>
      <c r="E25" s="12" t="s">
        <v>1519</v>
      </c>
      <c r="F25" s="150">
        <v>26237</v>
      </c>
      <c r="G25" s="151" t="s">
        <v>1603</v>
      </c>
      <c r="H25" s="68" t="s">
        <v>1604</v>
      </c>
      <c r="I25" s="5" t="s">
        <v>1469</v>
      </c>
      <c r="J25" s="150">
        <v>44652</v>
      </c>
      <c r="K25" s="5">
        <v>22</v>
      </c>
      <c r="L25" s="5">
        <v>1</v>
      </c>
      <c r="M25" s="12" t="s">
        <v>1501</v>
      </c>
      <c r="N25" s="150">
        <v>40087</v>
      </c>
      <c r="O25" s="5" t="s">
        <v>1028</v>
      </c>
      <c r="P25" s="157" t="s">
        <v>1605</v>
      </c>
      <c r="Q25" s="157" t="s">
        <v>1606</v>
      </c>
      <c r="R25" s="152" t="s">
        <v>1607</v>
      </c>
      <c r="S25" s="14" t="s">
        <v>1608</v>
      </c>
      <c r="T25" s="20">
        <v>2031107101</v>
      </c>
      <c r="U25" s="150">
        <v>49980</v>
      </c>
      <c r="V25" s="14" t="s">
        <v>1515</v>
      </c>
      <c r="W25" s="14" t="s">
        <v>1609</v>
      </c>
      <c r="X25" s="12"/>
      <c r="Y25" s="12"/>
      <c r="Z25" s="154"/>
    </row>
    <row r="26" spans="1:26" ht="39" customHeight="1" x14ac:dyDescent="0.25">
      <c r="A26" s="5">
        <v>20</v>
      </c>
      <c r="B26" s="12" t="s">
        <v>1610</v>
      </c>
      <c r="C26" s="5" t="s">
        <v>18</v>
      </c>
      <c r="D26" s="10" t="s">
        <v>1611</v>
      </c>
      <c r="E26" s="14" t="s">
        <v>1612</v>
      </c>
      <c r="F26" s="150">
        <v>22236</v>
      </c>
      <c r="G26" s="151" t="s">
        <v>1613</v>
      </c>
      <c r="H26" s="68" t="s">
        <v>1614</v>
      </c>
      <c r="I26" s="5" t="s">
        <v>1558</v>
      </c>
      <c r="J26" s="150">
        <v>45383</v>
      </c>
      <c r="K26" s="5">
        <v>28</v>
      </c>
      <c r="L26" s="5">
        <v>1</v>
      </c>
      <c r="M26" s="12" t="s">
        <v>1501</v>
      </c>
      <c r="N26" s="150">
        <v>40299</v>
      </c>
      <c r="O26" s="5" t="s">
        <v>1028</v>
      </c>
      <c r="P26" s="11" t="s">
        <v>1615</v>
      </c>
      <c r="Q26" s="157" t="s">
        <v>1616</v>
      </c>
      <c r="R26" s="9" t="s">
        <v>1617</v>
      </c>
      <c r="S26" s="162">
        <v>102100504711</v>
      </c>
      <c r="T26" s="20">
        <v>2016116001</v>
      </c>
      <c r="U26" s="150">
        <v>45992</v>
      </c>
      <c r="V26" s="14" t="s">
        <v>1452</v>
      </c>
      <c r="W26" s="14" t="s">
        <v>1618</v>
      </c>
      <c r="X26" s="89"/>
      <c r="Y26" s="89"/>
      <c r="Z26" s="164"/>
    </row>
    <row r="27" spans="1:26" ht="39" customHeight="1" x14ac:dyDescent="0.25">
      <c r="A27" s="5">
        <v>21</v>
      </c>
      <c r="B27" s="12" t="s">
        <v>1619</v>
      </c>
      <c r="C27" s="5" t="s">
        <v>18</v>
      </c>
      <c r="D27" s="10" t="s">
        <v>1620</v>
      </c>
      <c r="E27" s="14" t="s">
        <v>1519</v>
      </c>
      <c r="F27" s="150">
        <v>23940</v>
      </c>
      <c r="G27" s="151" t="s">
        <v>1621</v>
      </c>
      <c r="H27" s="68" t="s">
        <v>1622</v>
      </c>
      <c r="I27" s="5" t="s">
        <v>1558</v>
      </c>
      <c r="J27" s="150">
        <v>45383</v>
      </c>
      <c r="K27" s="5">
        <v>30</v>
      </c>
      <c r="L27" s="5">
        <v>1</v>
      </c>
      <c r="M27" s="12" t="s">
        <v>1501</v>
      </c>
      <c r="N27" s="150">
        <v>40360</v>
      </c>
      <c r="O27" s="5" t="s">
        <v>1028</v>
      </c>
      <c r="P27" s="11" t="s">
        <v>1623</v>
      </c>
      <c r="Q27" s="157" t="s">
        <v>1624</v>
      </c>
      <c r="R27" s="9" t="s">
        <v>1625</v>
      </c>
      <c r="S27" s="14" t="s">
        <v>1626</v>
      </c>
      <c r="T27" s="20">
        <v>2017076502</v>
      </c>
      <c r="U27" s="150">
        <v>47696</v>
      </c>
      <c r="V27" s="14" t="s">
        <v>1452</v>
      </c>
      <c r="W27" s="14" t="s">
        <v>1627</v>
      </c>
      <c r="X27" s="11"/>
      <c r="Y27" s="5"/>
      <c r="Z27" s="154"/>
    </row>
    <row r="28" spans="1:26" ht="39" customHeight="1" x14ac:dyDescent="0.25">
      <c r="A28" s="5">
        <v>22</v>
      </c>
      <c r="B28" s="14" t="s">
        <v>1628</v>
      </c>
      <c r="C28" s="5" t="s">
        <v>18</v>
      </c>
      <c r="D28" s="10" t="s">
        <v>1629</v>
      </c>
      <c r="E28" s="14" t="s">
        <v>1630</v>
      </c>
      <c r="F28" s="150">
        <v>23326</v>
      </c>
      <c r="G28" s="151" t="s">
        <v>1631</v>
      </c>
      <c r="H28" s="68" t="s">
        <v>1632</v>
      </c>
      <c r="I28" s="5" t="s">
        <v>1558</v>
      </c>
      <c r="J28" s="150">
        <v>45383</v>
      </c>
      <c r="K28" s="5">
        <v>30</v>
      </c>
      <c r="L28" s="5">
        <v>1</v>
      </c>
      <c r="M28" s="12" t="s">
        <v>1501</v>
      </c>
      <c r="N28" s="150">
        <v>40422</v>
      </c>
      <c r="O28" s="5" t="s">
        <v>1028</v>
      </c>
      <c r="P28" s="157" t="s">
        <v>1623</v>
      </c>
      <c r="Q28" s="157" t="s">
        <v>1633</v>
      </c>
      <c r="R28" s="9" t="s">
        <v>1634</v>
      </c>
      <c r="S28" s="162">
        <v>102100504775</v>
      </c>
      <c r="T28" s="20">
        <v>2011116301</v>
      </c>
      <c r="U28" s="150">
        <v>47088</v>
      </c>
      <c r="V28" s="14" t="s">
        <v>1440</v>
      </c>
      <c r="W28" s="14" t="s">
        <v>1635</v>
      </c>
      <c r="X28" s="89"/>
      <c r="Y28" s="89"/>
      <c r="Z28" s="164"/>
    </row>
    <row r="29" spans="1:26" ht="39" customHeight="1" x14ac:dyDescent="0.25">
      <c r="A29" s="5">
        <v>23</v>
      </c>
      <c r="B29" s="12" t="s">
        <v>1636</v>
      </c>
      <c r="C29" s="5" t="s">
        <v>46</v>
      </c>
      <c r="D29" s="10" t="s">
        <v>1637</v>
      </c>
      <c r="E29" s="14" t="s">
        <v>1638</v>
      </c>
      <c r="F29" s="150">
        <v>22897</v>
      </c>
      <c r="G29" s="151" t="s">
        <v>1639</v>
      </c>
      <c r="H29" s="68" t="s">
        <v>1640</v>
      </c>
      <c r="I29" s="5" t="s">
        <v>1558</v>
      </c>
      <c r="J29" s="150">
        <v>45383</v>
      </c>
      <c r="K29" s="5">
        <v>34</v>
      </c>
      <c r="L29" s="5">
        <v>3</v>
      </c>
      <c r="M29" s="12" t="s">
        <v>1501</v>
      </c>
      <c r="N29" s="150">
        <v>40634</v>
      </c>
      <c r="O29" s="5" t="s">
        <v>1028</v>
      </c>
      <c r="P29" s="11" t="s">
        <v>1641</v>
      </c>
      <c r="Q29" s="157" t="s">
        <v>1642</v>
      </c>
      <c r="R29" s="9" t="s">
        <v>1643</v>
      </c>
      <c r="S29" s="14" t="s">
        <v>1644</v>
      </c>
      <c r="T29" s="20">
        <v>2009096202</v>
      </c>
      <c r="U29" s="150">
        <v>46661</v>
      </c>
      <c r="V29" s="14" t="s">
        <v>1440</v>
      </c>
      <c r="W29" s="14" t="s">
        <v>1645</v>
      </c>
      <c r="X29" s="11" t="s">
        <v>1084</v>
      </c>
      <c r="Y29" s="51" t="s">
        <v>1084</v>
      </c>
      <c r="Z29" s="154"/>
    </row>
    <row r="30" spans="1:26" ht="39" customHeight="1" x14ac:dyDescent="0.25">
      <c r="A30" s="5">
        <v>24</v>
      </c>
      <c r="B30" s="9" t="s">
        <v>1646</v>
      </c>
      <c r="C30" s="5" t="s">
        <v>18</v>
      </c>
      <c r="D30" s="5" t="s">
        <v>1647</v>
      </c>
      <c r="E30" s="11" t="s">
        <v>1648</v>
      </c>
      <c r="F30" s="150">
        <v>26570</v>
      </c>
      <c r="G30" s="151" t="s">
        <v>1649</v>
      </c>
      <c r="H30" s="68" t="s">
        <v>1650</v>
      </c>
      <c r="I30" s="10" t="s">
        <v>1558</v>
      </c>
      <c r="J30" s="150">
        <v>45383</v>
      </c>
      <c r="K30" s="5">
        <v>25</v>
      </c>
      <c r="L30" s="5">
        <v>1</v>
      </c>
      <c r="M30" s="12" t="s">
        <v>1501</v>
      </c>
      <c r="N30" s="150">
        <v>41306</v>
      </c>
      <c r="O30" s="5" t="s">
        <v>1028</v>
      </c>
      <c r="P30" s="157" t="s">
        <v>1651</v>
      </c>
      <c r="Q30" s="11" t="s">
        <v>1652</v>
      </c>
      <c r="R30" s="9" t="s">
        <v>1653</v>
      </c>
      <c r="S30" s="162">
        <v>102100504661</v>
      </c>
      <c r="T30" s="20">
        <v>2028097201</v>
      </c>
      <c r="U30" s="161">
        <v>50314</v>
      </c>
      <c r="V30" s="11" t="s">
        <v>1654</v>
      </c>
      <c r="W30" s="11" t="s">
        <v>1655</v>
      </c>
      <c r="X30" s="11" t="s">
        <v>1656</v>
      </c>
      <c r="Y30" s="51">
        <v>45579</v>
      </c>
      <c r="Z30" s="154"/>
    </row>
    <row r="31" spans="1:26" ht="39" customHeight="1" x14ac:dyDescent="0.25">
      <c r="A31" s="5">
        <v>25</v>
      </c>
      <c r="B31" s="12" t="s">
        <v>1657</v>
      </c>
      <c r="C31" s="5" t="s">
        <v>46</v>
      </c>
      <c r="D31" s="10" t="s">
        <v>1658</v>
      </c>
      <c r="E31" s="14" t="s">
        <v>1659</v>
      </c>
      <c r="F31" s="150">
        <v>25020</v>
      </c>
      <c r="G31" s="151" t="s">
        <v>1660</v>
      </c>
      <c r="H31" s="68" t="s">
        <v>1661</v>
      </c>
      <c r="I31" s="10" t="s">
        <v>1558</v>
      </c>
      <c r="J31" s="150">
        <v>45383</v>
      </c>
      <c r="K31" s="5">
        <v>26</v>
      </c>
      <c r="L31" s="5">
        <v>1</v>
      </c>
      <c r="M31" s="12" t="s">
        <v>1501</v>
      </c>
      <c r="N31" s="150">
        <v>41334</v>
      </c>
      <c r="O31" s="5" t="s">
        <v>1028</v>
      </c>
      <c r="P31" s="157" t="s">
        <v>1662</v>
      </c>
      <c r="Q31" s="157" t="s">
        <v>1663</v>
      </c>
      <c r="R31" s="9" t="s">
        <v>1664</v>
      </c>
      <c r="S31" s="14" t="s">
        <v>1665</v>
      </c>
      <c r="T31" s="20">
        <v>2007016801</v>
      </c>
      <c r="U31" s="150">
        <v>48792</v>
      </c>
      <c r="V31" s="14" t="s">
        <v>1474</v>
      </c>
      <c r="W31" s="14" t="s">
        <v>1666</v>
      </c>
      <c r="X31" s="9" t="s">
        <v>1667</v>
      </c>
      <c r="Y31" s="51">
        <v>45579</v>
      </c>
      <c r="Z31" s="154"/>
    </row>
    <row r="32" spans="1:26" ht="39" customHeight="1" x14ac:dyDescent="0.25">
      <c r="A32" s="5">
        <v>26</v>
      </c>
      <c r="B32" s="14" t="s">
        <v>1668</v>
      </c>
      <c r="C32" s="5" t="s">
        <v>18</v>
      </c>
      <c r="D32" s="10" t="s">
        <v>1669</v>
      </c>
      <c r="E32" s="14" t="s">
        <v>1555</v>
      </c>
      <c r="F32" s="150">
        <v>23324</v>
      </c>
      <c r="G32" s="151" t="s">
        <v>1670</v>
      </c>
      <c r="H32" s="68" t="s">
        <v>1671</v>
      </c>
      <c r="I32" s="5" t="s">
        <v>1558</v>
      </c>
      <c r="J32" s="150">
        <v>45383</v>
      </c>
      <c r="K32" s="5">
        <v>33</v>
      </c>
      <c r="L32" s="5">
        <v>1</v>
      </c>
      <c r="M32" s="12" t="s">
        <v>1501</v>
      </c>
      <c r="N32" s="150">
        <v>42309</v>
      </c>
      <c r="O32" s="5" t="s">
        <v>1028</v>
      </c>
      <c r="P32" s="157" t="s">
        <v>1672</v>
      </c>
      <c r="Q32" s="157" t="s">
        <v>1673</v>
      </c>
      <c r="R32" s="9" t="s">
        <v>1674</v>
      </c>
      <c r="S32" s="14" t="s">
        <v>1675</v>
      </c>
      <c r="T32" s="20">
        <v>2009116301</v>
      </c>
      <c r="U32" s="150">
        <v>47088</v>
      </c>
      <c r="V32" s="14" t="s">
        <v>1452</v>
      </c>
      <c r="W32" s="14" t="s">
        <v>1045</v>
      </c>
      <c r="X32" s="11"/>
      <c r="Y32" s="5"/>
      <c r="Z32" s="153"/>
    </row>
    <row r="33" spans="1:26" ht="39" customHeight="1" x14ac:dyDescent="0.25">
      <c r="A33" s="5">
        <v>27</v>
      </c>
      <c r="B33" s="14" t="s">
        <v>1676</v>
      </c>
      <c r="C33" s="5" t="s">
        <v>18</v>
      </c>
      <c r="D33" s="5" t="s">
        <v>1677</v>
      </c>
      <c r="E33" s="14" t="s">
        <v>1678</v>
      </c>
      <c r="F33" s="150">
        <v>29692</v>
      </c>
      <c r="G33" s="151" t="s">
        <v>1679</v>
      </c>
      <c r="H33" s="68" t="s">
        <v>1680</v>
      </c>
      <c r="I33" s="5" t="s">
        <v>1558</v>
      </c>
      <c r="J33" s="150">
        <v>45383</v>
      </c>
      <c r="K33" s="5">
        <v>15</v>
      </c>
      <c r="L33" s="5">
        <v>3</v>
      </c>
      <c r="M33" s="12" t="s">
        <v>1501</v>
      </c>
      <c r="N33" s="150">
        <v>43952</v>
      </c>
      <c r="O33" s="5" t="s">
        <v>1028</v>
      </c>
      <c r="P33" s="157" t="s">
        <v>1681</v>
      </c>
      <c r="Q33" s="11" t="s">
        <v>1682</v>
      </c>
      <c r="R33" s="9" t="s">
        <v>1683</v>
      </c>
      <c r="S33" s="162">
        <v>122100509797</v>
      </c>
      <c r="T33" s="20">
        <v>2016048101</v>
      </c>
      <c r="U33" s="150">
        <v>53448</v>
      </c>
      <c r="V33" s="11" t="s">
        <v>1654</v>
      </c>
      <c r="W33" s="14" t="s">
        <v>1684</v>
      </c>
      <c r="X33" s="89"/>
      <c r="Y33" s="89"/>
      <c r="Z33" s="89"/>
    </row>
    <row r="34" spans="1:26" ht="39" customHeight="1" x14ac:dyDescent="0.25">
      <c r="A34" s="5">
        <v>28</v>
      </c>
      <c r="B34" s="14" t="s">
        <v>1685</v>
      </c>
      <c r="C34" s="5" t="s">
        <v>18</v>
      </c>
      <c r="D34" s="5" t="s">
        <v>1686</v>
      </c>
      <c r="E34" s="14" t="s">
        <v>1687</v>
      </c>
      <c r="F34" s="161">
        <v>25585</v>
      </c>
      <c r="G34" s="151" t="s">
        <v>1688</v>
      </c>
      <c r="H34" s="68" t="s">
        <v>1689</v>
      </c>
      <c r="I34" s="5" t="s">
        <v>1558</v>
      </c>
      <c r="J34" s="150">
        <v>45383</v>
      </c>
      <c r="K34" s="5">
        <v>25</v>
      </c>
      <c r="L34" s="5">
        <v>1</v>
      </c>
      <c r="M34" s="12" t="s">
        <v>1501</v>
      </c>
      <c r="N34" s="150">
        <v>43040</v>
      </c>
      <c r="O34" s="5" t="s">
        <v>1028</v>
      </c>
      <c r="P34" s="157" t="s">
        <v>1690</v>
      </c>
      <c r="Q34" s="157" t="s">
        <v>1691</v>
      </c>
      <c r="R34" s="9" t="s">
        <v>1692</v>
      </c>
      <c r="S34" s="162">
        <v>102100504725</v>
      </c>
      <c r="T34" s="20">
        <v>2017017002</v>
      </c>
      <c r="U34" s="150">
        <v>49341</v>
      </c>
      <c r="V34" s="14" t="s">
        <v>1429</v>
      </c>
      <c r="W34" s="14" t="s">
        <v>1516</v>
      </c>
      <c r="X34" s="11" t="s">
        <v>1693</v>
      </c>
      <c r="Y34" s="51">
        <v>45579</v>
      </c>
      <c r="Z34" s="153"/>
    </row>
    <row r="35" spans="1:26" ht="39" customHeight="1" x14ac:dyDescent="0.25">
      <c r="A35" s="5">
        <v>29</v>
      </c>
      <c r="B35" s="12" t="s">
        <v>1694</v>
      </c>
      <c r="C35" s="5" t="s">
        <v>46</v>
      </c>
      <c r="D35" s="5" t="s">
        <v>1695</v>
      </c>
      <c r="E35" s="14" t="s">
        <v>1696</v>
      </c>
      <c r="F35" s="150">
        <v>26096</v>
      </c>
      <c r="G35" s="151" t="s">
        <v>1697</v>
      </c>
      <c r="H35" s="68" t="s">
        <v>1698</v>
      </c>
      <c r="I35" s="5" t="s">
        <v>1699</v>
      </c>
      <c r="J35" s="150">
        <v>44835</v>
      </c>
      <c r="K35" s="5">
        <v>18</v>
      </c>
      <c r="L35" s="5">
        <v>10</v>
      </c>
      <c r="M35" s="12" t="s">
        <v>1501</v>
      </c>
      <c r="N35" s="150">
        <v>44682</v>
      </c>
      <c r="O35" s="5" t="s">
        <v>1028</v>
      </c>
      <c r="P35" s="157" t="s">
        <v>1482</v>
      </c>
      <c r="Q35" s="157" t="s">
        <v>1700</v>
      </c>
      <c r="R35" s="9" t="s">
        <v>1532</v>
      </c>
      <c r="S35" s="162">
        <v>102100504641</v>
      </c>
      <c r="T35" s="20">
        <v>2012067102</v>
      </c>
      <c r="U35" s="150">
        <v>49857</v>
      </c>
      <c r="V35" s="14" t="s">
        <v>1452</v>
      </c>
      <c r="W35" s="14" t="s">
        <v>1701</v>
      </c>
      <c r="X35" s="12"/>
      <c r="Y35" s="12"/>
      <c r="Z35" s="154"/>
    </row>
    <row r="36" spans="1:26" ht="39" customHeight="1" x14ac:dyDescent="0.25">
      <c r="A36" s="5">
        <v>30</v>
      </c>
      <c r="B36" s="14" t="s">
        <v>1702</v>
      </c>
      <c r="C36" s="5" t="s">
        <v>46</v>
      </c>
      <c r="D36" s="5" t="s">
        <v>1703</v>
      </c>
      <c r="E36" s="12" t="s">
        <v>1704</v>
      </c>
      <c r="F36" s="150">
        <v>26512</v>
      </c>
      <c r="G36" s="151" t="s">
        <v>1705</v>
      </c>
      <c r="H36" s="68" t="s">
        <v>1706</v>
      </c>
      <c r="I36" s="5" t="s">
        <v>1699</v>
      </c>
      <c r="J36" s="150">
        <v>45383</v>
      </c>
      <c r="K36" s="5">
        <v>18</v>
      </c>
      <c r="L36" s="5">
        <v>0</v>
      </c>
      <c r="M36" s="12" t="s">
        <v>1501</v>
      </c>
      <c r="N36" s="150">
        <v>44470</v>
      </c>
      <c r="O36" s="5" t="s">
        <v>1028</v>
      </c>
      <c r="P36" s="157" t="s">
        <v>1707</v>
      </c>
      <c r="Q36" s="157" t="s">
        <v>1708</v>
      </c>
      <c r="R36" s="9" t="s">
        <v>1709</v>
      </c>
      <c r="S36" s="162">
        <v>102100504773</v>
      </c>
      <c r="T36" s="20">
        <v>2001087201</v>
      </c>
      <c r="U36" s="150">
        <v>50284</v>
      </c>
      <c r="V36" s="11" t="s">
        <v>1654</v>
      </c>
      <c r="W36" s="14" t="s">
        <v>1710</v>
      </c>
      <c r="X36" s="11" t="s">
        <v>1711</v>
      </c>
      <c r="Y36" s="51">
        <v>45576</v>
      </c>
      <c r="Z36" s="160"/>
    </row>
    <row r="37" spans="1:26" ht="39" customHeight="1" x14ac:dyDescent="0.25">
      <c r="A37" s="5">
        <v>31</v>
      </c>
      <c r="B37" s="12" t="s">
        <v>1712</v>
      </c>
      <c r="C37" s="5" t="s">
        <v>46</v>
      </c>
      <c r="D37" s="10" t="s">
        <v>1713</v>
      </c>
      <c r="E37" s="14" t="s">
        <v>1714</v>
      </c>
      <c r="F37" s="150">
        <v>26735</v>
      </c>
      <c r="G37" s="151" t="s">
        <v>1715</v>
      </c>
      <c r="H37" s="68" t="s">
        <v>1716</v>
      </c>
      <c r="I37" s="5" t="s">
        <v>1717</v>
      </c>
      <c r="J37" s="150">
        <v>39904</v>
      </c>
      <c r="K37" s="5">
        <v>10</v>
      </c>
      <c r="L37" s="5">
        <v>1</v>
      </c>
      <c r="M37" s="12" t="s">
        <v>1501</v>
      </c>
      <c r="N37" s="150">
        <v>45170</v>
      </c>
      <c r="O37" s="5" t="s">
        <v>1028</v>
      </c>
      <c r="P37" s="157" t="s">
        <v>1718</v>
      </c>
      <c r="Q37" s="157" t="s">
        <v>1719</v>
      </c>
      <c r="R37" s="9" t="s">
        <v>1720</v>
      </c>
      <c r="S37" s="162">
        <v>122100509798</v>
      </c>
      <c r="T37" s="20">
        <v>2012037301</v>
      </c>
      <c r="U37" s="150">
        <v>50496</v>
      </c>
      <c r="V37" s="14" t="s">
        <v>1452</v>
      </c>
      <c r="W37" s="14" t="s">
        <v>1721</v>
      </c>
      <c r="X37" s="11" t="s">
        <v>1722</v>
      </c>
      <c r="Y37" s="51">
        <v>45596</v>
      </c>
      <c r="Z37" s="154" t="s">
        <v>1084</v>
      </c>
    </row>
    <row r="38" spans="1:26" ht="39" customHeight="1" x14ac:dyDescent="0.25">
      <c r="A38" s="5">
        <v>32</v>
      </c>
      <c r="B38" s="14" t="s">
        <v>1723</v>
      </c>
      <c r="C38" s="5" t="s">
        <v>46</v>
      </c>
      <c r="D38" s="5" t="s">
        <v>1724</v>
      </c>
      <c r="E38" s="14" t="s">
        <v>1725</v>
      </c>
      <c r="F38" s="150">
        <v>28850</v>
      </c>
      <c r="G38" s="151" t="s">
        <v>1726</v>
      </c>
      <c r="H38" s="68" t="s">
        <v>1727</v>
      </c>
      <c r="I38" s="5" t="s">
        <v>1699</v>
      </c>
      <c r="J38" s="150" t="s">
        <v>1728</v>
      </c>
      <c r="K38" s="5">
        <v>16</v>
      </c>
      <c r="L38" s="5">
        <v>3</v>
      </c>
      <c r="M38" s="12" t="s">
        <v>1501</v>
      </c>
      <c r="N38" s="150">
        <v>45078</v>
      </c>
      <c r="O38" s="5" t="s">
        <v>1028</v>
      </c>
      <c r="P38" s="157" t="s">
        <v>1729</v>
      </c>
      <c r="Q38" s="157" t="s">
        <v>1730</v>
      </c>
      <c r="R38" s="9" t="s">
        <v>1731</v>
      </c>
      <c r="S38" s="162">
        <v>112100518100040</v>
      </c>
      <c r="T38" s="20">
        <v>2026127801</v>
      </c>
      <c r="U38" s="150">
        <v>52597</v>
      </c>
      <c r="V38" s="14" t="s">
        <v>1474</v>
      </c>
      <c r="W38" s="14" t="s">
        <v>1732</v>
      </c>
      <c r="X38" s="11"/>
      <c r="Y38" s="51"/>
      <c r="Z38" s="154"/>
    </row>
    <row r="39" spans="1:26" ht="39" customHeight="1" x14ac:dyDescent="0.25">
      <c r="A39" s="5">
        <v>33</v>
      </c>
      <c r="B39" s="12" t="s">
        <v>1733</v>
      </c>
      <c r="C39" s="5" t="s">
        <v>18</v>
      </c>
      <c r="D39" s="10" t="s">
        <v>1734</v>
      </c>
      <c r="E39" s="14" t="s">
        <v>1735</v>
      </c>
      <c r="F39" s="150">
        <v>26700</v>
      </c>
      <c r="G39" s="151" t="s">
        <v>1736</v>
      </c>
      <c r="H39" s="68" t="s">
        <v>1737</v>
      </c>
      <c r="I39" s="5" t="s">
        <v>1738</v>
      </c>
      <c r="J39" s="150">
        <v>39904</v>
      </c>
      <c r="K39" s="5">
        <v>10</v>
      </c>
      <c r="L39" s="5">
        <v>1</v>
      </c>
      <c r="M39" s="12" t="s">
        <v>1739</v>
      </c>
      <c r="N39" s="150">
        <v>38930</v>
      </c>
      <c r="O39" s="5" t="s">
        <v>1028</v>
      </c>
      <c r="P39" s="157" t="s">
        <v>1740</v>
      </c>
      <c r="Q39" s="157" t="s">
        <v>1741</v>
      </c>
      <c r="R39" s="9" t="s">
        <v>1742</v>
      </c>
      <c r="S39" s="162">
        <v>102100504766</v>
      </c>
      <c r="T39" s="20">
        <v>2002057301</v>
      </c>
      <c r="U39" s="150">
        <v>50557</v>
      </c>
      <c r="V39" s="14" t="s">
        <v>1474</v>
      </c>
      <c r="W39" s="14" t="s">
        <v>1743</v>
      </c>
      <c r="X39" s="9" t="s">
        <v>1744</v>
      </c>
      <c r="Y39" s="51">
        <v>45579</v>
      </c>
      <c r="Z39" s="154"/>
    </row>
    <row r="40" spans="1:26" ht="39" customHeight="1" x14ac:dyDescent="0.25">
      <c r="A40" s="5">
        <v>34</v>
      </c>
      <c r="B40" s="12" t="s">
        <v>1745</v>
      </c>
      <c r="C40" s="5" t="s">
        <v>18</v>
      </c>
      <c r="D40" s="10" t="s">
        <v>1746</v>
      </c>
      <c r="E40" s="14" t="s">
        <v>1555</v>
      </c>
      <c r="F40" s="150">
        <v>25597</v>
      </c>
      <c r="G40" s="151" t="s">
        <v>1747</v>
      </c>
      <c r="H40" s="68" t="s">
        <v>1748</v>
      </c>
      <c r="I40" s="5" t="s">
        <v>1717</v>
      </c>
      <c r="J40" s="150">
        <v>39904</v>
      </c>
      <c r="K40" s="5">
        <v>10</v>
      </c>
      <c r="L40" s="5">
        <v>1</v>
      </c>
      <c r="M40" s="12" t="s">
        <v>1739</v>
      </c>
      <c r="N40" s="150">
        <v>39083</v>
      </c>
      <c r="O40" s="5" t="s">
        <v>982</v>
      </c>
      <c r="P40" s="157" t="s">
        <v>1749</v>
      </c>
      <c r="Q40" s="157" t="s">
        <v>1750</v>
      </c>
      <c r="R40" s="9"/>
      <c r="S40" s="162">
        <v>102100504732</v>
      </c>
      <c r="T40" s="20">
        <v>2029017001</v>
      </c>
      <c r="U40" s="150">
        <v>49341</v>
      </c>
      <c r="V40" s="14" t="s">
        <v>1515</v>
      </c>
      <c r="W40" s="14" t="s">
        <v>1751</v>
      </c>
      <c r="X40" s="89"/>
      <c r="Y40" s="89"/>
      <c r="Z40" s="89"/>
    </row>
    <row r="41" spans="1:26" ht="39" customHeight="1" x14ac:dyDescent="0.25">
      <c r="A41" s="5">
        <v>35</v>
      </c>
      <c r="B41" s="12" t="s">
        <v>1752</v>
      </c>
      <c r="C41" s="5" t="s">
        <v>18</v>
      </c>
      <c r="D41" s="10" t="s">
        <v>1753</v>
      </c>
      <c r="E41" s="14" t="s">
        <v>1754</v>
      </c>
      <c r="F41" s="150">
        <v>22901</v>
      </c>
      <c r="G41" s="151" t="s">
        <v>1755</v>
      </c>
      <c r="H41" s="68" t="s">
        <v>1756</v>
      </c>
      <c r="I41" s="5" t="s">
        <v>1738</v>
      </c>
      <c r="J41" s="150">
        <v>39356</v>
      </c>
      <c r="K41" s="5">
        <v>15</v>
      </c>
      <c r="L41" s="5">
        <v>7</v>
      </c>
      <c r="M41" s="12" t="s">
        <v>1739</v>
      </c>
      <c r="N41" s="150">
        <v>39234</v>
      </c>
      <c r="O41" s="5" t="s">
        <v>982</v>
      </c>
      <c r="P41" s="157" t="s">
        <v>1511</v>
      </c>
      <c r="Q41" s="157" t="s">
        <v>1757</v>
      </c>
      <c r="R41" s="9"/>
      <c r="S41" s="14" t="s">
        <v>1758</v>
      </c>
      <c r="T41" s="20">
        <v>2012096202</v>
      </c>
      <c r="U41" s="150">
        <v>46661</v>
      </c>
      <c r="V41" s="14" t="s">
        <v>1515</v>
      </c>
      <c r="W41" s="14" t="s">
        <v>1759</v>
      </c>
      <c r="X41" s="11"/>
      <c r="Y41" s="5"/>
      <c r="Z41" s="154"/>
    </row>
    <row r="42" spans="1:26" ht="39" customHeight="1" x14ac:dyDescent="0.25">
      <c r="A42" s="5">
        <v>36</v>
      </c>
      <c r="B42" s="12" t="s">
        <v>1760</v>
      </c>
      <c r="C42" s="5" t="s">
        <v>46</v>
      </c>
      <c r="D42" s="10" t="s">
        <v>1761</v>
      </c>
      <c r="E42" s="14" t="s">
        <v>1648</v>
      </c>
      <c r="F42" s="150">
        <v>25849</v>
      </c>
      <c r="G42" s="151" t="s">
        <v>1762</v>
      </c>
      <c r="H42" s="68" t="s">
        <v>1763</v>
      </c>
      <c r="I42" s="5" t="s">
        <v>1738</v>
      </c>
      <c r="J42" s="150">
        <v>45383</v>
      </c>
      <c r="K42" s="5">
        <v>26</v>
      </c>
      <c r="L42" s="5">
        <v>1</v>
      </c>
      <c r="M42" s="12" t="s">
        <v>1739</v>
      </c>
      <c r="N42" s="150">
        <v>39326</v>
      </c>
      <c r="O42" s="5" t="s">
        <v>982</v>
      </c>
      <c r="P42" s="157" t="s">
        <v>1764</v>
      </c>
      <c r="Q42" s="157" t="s">
        <v>1765</v>
      </c>
      <c r="R42" s="9"/>
      <c r="S42" s="162">
        <v>102100504776</v>
      </c>
      <c r="T42" s="20">
        <v>2008107001</v>
      </c>
      <c r="U42" s="150">
        <v>49614</v>
      </c>
      <c r="V42" s="14" t="s">
        <v>1515</v>
      </c>
      <c r="W42" s="14" t="s">
        <v>1766</v>
      </c>
      <c r="X42" s="12"/>
      <c r="Y42" s="12"/>
      <c r="Z42" s="154"/>
    </row>
    <row r="43" spans="1:26" ht="39" customHeight="1" x14ac:dyDescent="0.25">
      <c r="A43" s="5">
        <v>37</v>
      </c>
      <c r="B43" s="12" t="s">
        <v>1767</v>
      </c>
      <c r="C43" s="5" t="s">
        <v>46</v>
      </c>
      <c r="D43" s="5" t="s">
        <v>1768</v>
      </c>
      <c r="E43" s="14" t="s">
        <v>1638</v>
      </c>
      <c r="F43" s="150">
        <v>25615</v>
      </c>
      <c r="G43" s="151" t="s">
        <v>1769</v>
      </c>
      <c r="H43" s="68" t="s">
        <v>1770</v>
      </c>
      <c r="I43" s="5" t="s">
        <v>1738</v>
      </c>
      <c r="J43" s="150">
        <v>41000</v>
      </c>
      <c r="K43" s="5">
        <v>18</v>
      </c>
      <c r="L43" s="5">
        <v>1</v>
      </c>
      <c r="M43" s="12" t="s">
        <v>1739</v>
      </c>
      <c r="N43" s="150">
        <v>39326</v>
      </c>
      <c r="O43" s="5" t="s">
        <v>982</v>
      </c>
      <c r="P43" s="157" t="s">
        <v>1771</v>
      </c>
      <c r="Q43" s="157" t="s">
        <v>1772</v>
      </c>
      <c r="R43" s="9"/>
      <c r="S43" s="162">
        <v>102100504663</v>
      </c>
      <c r="T43" s="20">
        <v>2016027001</v>
      </c>
      <c r="U43" s="150">
        <v>49369</v>
      </c>
      <c r="V43" s="14" t="s">
        <v>1515</v>
      </c>
      <c r="W43" s="14" t="s">
        <v>1759</v>
      </c>
      <c r="X43" s="11" t="s">
        <v>1773</v>
      </c>
      <c r="Y43" s="51">
        <v>45589</v>
      </c>
      <c r="Z43" s="154"/>
    </row>
    <row r="44" spans="1:26" ht="39" customHeight="1" x14ac:dyDescent="0.25">
      <c r="A44" s="5">
        <v>38</v>
      </c>
      <c r="B44" s="12" t="s">
        <v>1774</v>
      </c>
      <c r="C44" s="5" t="s">
        <v>18</v>
      </c>
      <c r="D44" s="5" t="s">
        <v>1775</v>
      </c>
      <c r="E44" s="14" t="s">
        <v>1776</v>
      </c>
      <c r="F44" s="150">
        <v>24880</v>
      </c>
      <c r="G44" s="151" t="s">
        <v>1777</v>
      </c>
      <c r="H44" s="68" t="s">
        <v>1778</v>
      </c>
      <c r="I44" s="5" t="s">
        <v>1738</v>
      </c>
      <c r="J44" s="150">
        <v>41000</v>
      </c>
      <c r="K44" s="5">
        <v>12</v>
      </c>
      <c r="L44" s="5">
        <v>1</v>
      </c>
      <c r="M44" s="12" t="s">
        <v>1739</v>
      </c>
      <c r="N44" s="150">
        <v>39417</v>
      </c>
      <c r="O44" s="5" t="s">
        <v>1028</v>
      </c>
      <c r="P44" s="157" t="s">
        <v>1779</v>
      </c>
      <c r="Q44" s="157" t="s">
        <v>1780</v>
      </c>
      <c r="R44" s="9" t="s">
        <v>1781</v>
      </c>
      <c r="S44" s="162">
        <v>102100504764</v>
      </c>
      <c r="T44" s="20">
        <v>2012026801</v>
      </c>
      <c r="U44" s="150">
        <v>48639</v>
      </c>
      <c r="V44" s="14" t="s">
        <v>1429</v>
      </c>
      <c r="W44" s="14" t="s">
        <v>1782</v>
      </c>
      <c r="X44" s="9" t="s">
        <v>1783</v>
      </c>
      <c r="Y44" s="51">
        <v>45579</v>
      </c>
      <c r="Z44" s="154"/>
    </row>
    <row r="45" spans="1:26" ht="39" customHeight="1" x14ac:dyDescent="0.25">
      <c r="A45" s="5">
        <v>39</v>
      </c>
      <c r="B45" s="12" t="s">
        <v>1784</v>
      </c>
      <c r="C45" s="5" t="s">
        <v>46</v>
      </c>
      <c r="D45" s="5" t="s">
        <v>1785</v>
      </c>
      <c r="E45" s="14" t="s">
        <v>1786</v>
      </c>
      <c r="F45" s="150">
        <v>26413</v>
      </c>
      <c r="G45" s="151" t="s">
        <v>1787</v>
      </c>
      <c r="H45" s="68" t="s">
        <v>1788</v>
      </c>
      <c r="I45" s="5" t="s">
        <v>1738</v>
      </c>
      <c r="J45" s="150">
        <v>41365</v>
      </c>
      <c r="K45" s="5">
        <v>14</v>
      </c>
      <c r="L45" s="5">
        <v>1</v>
      </c>
      <c r="M45" s="12" t="s">
        <v>1739</v>
      </c>
      <c r="N45" s="150">
        <v>39539</v>
      </c>
      <c r="O45" s="5" t="s">
        <v>982</v>
      </c>
      <c r="P45" s="157" t="s">
        <v>1789</v>
      </c>
      <c r="Q45" s="11" t="s">
        <v>1790</v>
      </c>
      <c r="R45" s="9"/>
      <c r="S45" s="162">
        <v>112100511310008</v>
      </c>
      <c r="T45" s="20">
        <v>2024047202</v>
      </c>
      <c r="U45" s="150">
        <v>50161</v>
      </c>
      <c r="V45" s="14" t="s">
        <v>1515</v>
      </c>
      <c r="W45" s="14" t="s">
        <v>1791</v>
      </c>
      <c r="X45" s="11"/>
      <c r="Y45" s="5"/>
      <c r="Z45" s="154"/>
    </row>
    <row r="46" spans="1:26" ht="39" customHeight="1" x14ac:dyDescent="0.25">
      <c r="A46" s="5">
        <v>40</v>
      </c>
      <c r="B46" s="12" t="s">
        <v>1792</v>
      </c>
      <c r="C46" s="5" t="s">
        <v>46</v>
      </c>
      <c r="D46" s="5" t="s">
        <v>1793</v>
      </c>
      <c r="E46" s="14" t="s">
        <v>1794</v>
      </c>
      <c r="F46" s="150">
        <v>25451</v>
      </c>
      <c r="G46" s="151" t="s">
        <v>1795</v>
      </c>
      <c r="H46" s="68" t="s">
        <v>1796</v>
      </c>
      <c r="I46" s="5" t="s">
        <v>1738</v>
      </c>
      <c r="J46" s="161">
        <v>41365</v>
      </c>
      <c r="K46" s="10">
        <v>13</v>
      </c>
      <c r="L46" s="10">
        <v>1</v>
      </c>
      <c r="M46" s="12" t="s">
        <v>1739</v>
      </c>
      <c r="N46" s="161" t="s">
        <v>1797</v>
      </c>
      <c r="O46" s="5" t="s">
        <v>982</v>
      </c>
      <c r="P46" s="157" t="s">
        <v>1798</v>
      </c>
      <c r="Q46" s="157" t="s">
        <v>1799</v>
      </c>
      <c r="R46" s="9"/>
      <c r="S46" s="162">
        <v>102100504685</v>
      </c>
      <c r="T46" s="20">
        <v>2009056901</v>
      </c>
      <c r="U46" s="161">
        <v>49218</v>
      </c>
      <c r="V46" s="14" t="s">
        <v>1474</v>
      </c>
      <c r="W46" s="14" t="s">
        <v>1800</v>
      </c>
      <c r="X46" s="11"/>
      <c r="Y46" s="5"/>
      <c r="Z46" s="154"/>
    </row>
    <row r="47" spans="1:26" ht="39" customHeight="1" x14ac:dyDescent="0.25">
      <c r="A47" s="5">
        <v>41</v>
      </c>
      <c r="B47" s="12" t="s">
        <v>1801</v>
      </c>
      <c r="C47" s="5" t="s">
        <v>18</v>
      </c>
      <c r="D47" s="10" t="s">
        <v>1802</v>
      </c>
      <c r="E47" s="14" t="s">
        <v>1519</v>
      </c>
      <c r="F47" s="150">
        <v>23039</v>
      </c>
      <c r="G47" s="151" t="s">
        <v>1803</v>
      </c>
      <c r="H47" s="68" t="s">
        <v>1804</v>
      </c>
      <c r="I47" s="5" t="s">
        <v>1738</v>
      </c>
      <c r="J47" s="150">
        <v>39722</v>
      </c>
      <c r="K47" s="5">
        <v>14</v>
      </c>
      <c r="L47" s="5">
        <v>7</v>
      </c>
      <c r="M47" s="12" t="s">
        <v>1739</v>
      </c>
      <c r="N47" s="150">
        <v>39569</v>
      </c>
      <c r="O47" s="5" t="s">
        <v>982</v>
      </c>
      <c r="P47" s="157" t="s">
        <v>1805</v>
      </c>
      <c r="Q47" s="157" t="s">
        <v>1806</v>
      </c>
      <c r="R47" s="9"/>
      <c r="S47" s="165" t="s">
        <v>1807</v>
      </c>
      <c r="T47" s="20">
        <v>2028016301</v>
      </c>
      <c r="U47" s="150">
        <v>46784</v>
      </c>
      <c r="V47" s="14" t="s">
        <v>1474</v>
      </c>
      <c r="W47" s="11" t="s">
        <v>1808</v>
      </c>
      <c r="X47" s="12"/>
      <c r="Y47" s="12"/>
      <c r="Z47" s="154"/>
    </row>
    <row r="48" spans="1:26" ht="39" customHeight="1" x14ac:dyDescent="0.25">
      <c r="A48" s="5">
        <v>42</v>
      </c>
      <c r="B48" s="12" t="s">
        <v>1809</v>
      </c>
      <c r="C48" s="5" t="s">
        <v>46</v>
      </c>
      <c r="D48" s="5" t="s">
        <v>1810</v>
      </c>
      <c r="E48" s="14" t="s">
        <v>1811</v>
      </c>
      <c r="F48" s="150">
        <v>26978</v>
      </c>
      <c r="G48" s="151" t="s">
        <v>1812</v>
      </c>
      <c r="H48" s="68" t="s">
        <v>1813</v>
      </c>
      <c r="I48" s="5" t="s">
        <v>1738</v>
      </c>
      <c r="J48" s="150">
        <v>40634</v>
      </c>
      <c r="K48" s="5">
        <v>7</v>
      </c>
      <c r="L48" s="5">
        <v>4</v>
      </c>
      <c r="M48" s="12" t="s">
        <v>1739</v>
      </c>
      <c r="N48" s="150">
        <v>39600</v>
      </c>
      <c r="O48" s="5" t="s">
        <v>1028</v>
      </c>
      <c r="P48" s="157" t="s">
        <v>1814</v>
      </c>
      <c r="Q48" s="157" t="s">
        <v>1815</v>
      </c>
      <c r="R48" s="9" t="s">
        <v>1532</v>
      </c>
      <c r="S48" s="162">
        <v>102100504653</v>
      </c>
      <c r="T48" s="20">
        <v>2010117301</v>
      </c>
      <c r="U48" s="150">
        <v>50740</v>
      </c>
      <c r="V48" s="14" t="s">
        <v>1452</v>
      </c>
      <c r="W48" s="14" t="s">
        <v>1816</v>
      </c>
      <c r="X48" s="89"/>
      <c r="Y48" s="89"/>
      <c r="Z48" s="89"/>
    </row>
    <row r="49" spans="1:26" ht="39" customHeight="1" x14ac:dyDescent="0.25">
      <c r="A49" s="5">
        <v>43</v>
      </c>
      <c r="B49" s="12" t="s">
        <v>1817</v>
      </c>
      <c r="C49" s="5" t="s">
        <v>18</v>
      </c>
      <c r="D49" s="5" t="s">
        <v>1818</v>
      </c>
      <c r="E49" s="14" t="s">
        <v>1819</v>
      </c>
      <c r="F49" s="150">
        <v>25817</v>
      </c>
      <c r="G49" s="151" t="s">
        <v>1820</v>
      </c>
      <c r="H49" s="68" t="s">
        <v>1821</v>
      </c>
      <c r="I49" s="5" t="s">
        <v>1717</v>
      </c>
      <c r="J49" s="150">
        <v>40634</v>
      </c>
      <c r="K49" s="5">
        <v>12</v>
      </c>
      <c r="L49" s="5">
        <v>1</v>
      </c>
      <c r="M49" s="12" t="s">
        <v>1739</v>
      </c>
      <c r="N49" s="150">
        <v>39753</v>
      </c>
      <c r="O49" s="5" t="s">
        <v>982</v>
      </c>
      <c r="P49" s="157" t="s">
        <v>1822</v>
      </c>
      <c r="Q49" s="157" t="s">
        <v>1823</v>
      </c>
      <c r="R49" s="9"/>
      <c r="S49" s="162">
        <v>102100504701</v>
      </c>
      <c r="T49" s="20">
        <v>2006097002</v>
      </c>
      <c r="U49" s="150">
        <v>49583</v>
      </c>
      <c r="V49" s="14" t="s">
        <v>1474</v>
      </c>
      <c r="W49" s="14" t="s">
        <v>1824</v>
      </c>
      <c r="X49" s="11"/>
      <c r="Y49" s="5"/>
      <c r="Z49" s="154" t="s">
        <v>1084</v>
      </c>
    </row>
    <row r="50" spans="1:26" ht="39" customHeight="1" x14ac:dyDescent="0.25">
      <c r="A50" s="5">
        <v>44</v>
      </c>
      <c r="B50" s="12" t="s">
        <v>1825</v>
      </c>
      <c r="C50" s="5" t="s">
        <v>18</v>
      </c>
      <c r="D50" s="5" t="s">
        <v>1826</v>
      </c>
      <c r="E50" s="14" t="s">
        <v>1827</v>
      </c>
      <c r="F50" s="150">
        <v>28234</v>
      </c>
      <c r="G50" s="151" t="s">
        <v>1828</v>
      </c>
      <c r="H50" s="68" t="s">
        <v>1829</v>
      </c>
      <c r="I50" s="5" t="s">
        <v>1738</v>
      </c>
      <c r="J50" s="150">
        <v>41548</v>
      </c>
      <c r="K50" s="5">
        <v>8</v>
      </c>
      <c r="L50" s="5">
        <v>9</v>
      </c>
      <c r="M50" s="12" t="s">
        <v>1739</v>
      </c>
      <c r="N50" s="150">
        <v>40179</v>
      </c>
      <c r="O50" s="5" t="s">
        <v>1028</v>
      </c>
      <c r="P50" s="157" t="s">
        <v>1830</v>
      </c>
      <c r="Q50" s="157" t="s">
        <v>1831</v>
      </c>
      <c r="R50" s="157" t="s">
        <v>1832</v>
      </c>
      <c r="S50" s="162">
        <v>102100504650</v>
      </c>
      <c r="T50" s="20">
        <v>2019047701</v>
      </c>
      <c r="U50" s="150">
        <v>51987</v>
      </c>
      <c r="V50" s="11" t="s">
        <v>1654</v>
      </c>
      <c r="W50" s="14" t="s">
        <v>1833</v>
      </c>
      <c r="X50" s="11" t="s">
        <v>1834</v>
      </c>
      <c r="Y50" s="51">
        <v>45589</v>
      </c>
      <c r="Z50" s="154"/>
    </row>
    <row r="51" spans="1:26" ht="39" customHeight="1" x14ac:dyDescent="0.25">
      <c r="A51" s="5">
        <v>45</v>
      </c>
      <c r="B51" s="12" t="s">
        <v>1835</v>
      </c>
      <c r="C51" s="5" t="s">
        <v>46</v>
      </c>
      <c r="D51" s="5" t="s">
        <v>1836</v>
      </c>
      <c r="E51" s="14" t="s">
        <v>1489</v>
      </c>
      <c r="F51" s="150">
        <v>24013</v>
      </c>
      <c r="G51" s="151" t="s">
        <v>1837</v>
      </c>
      <c r="H51" s="68" t="s">
        <v>1838</v>
      </c>
      <c r="I51" s="5" t="s">
        <v>1738</v>
      </c>
      <c r="J51" s="150">
        <v>45383</v>
      </c>
      <c r="K51" s="5">
        <v>31</v>
      </c>
      <c r="L51" s="5">
        <v>1</v>
      </c>
      <c r="M51" s="12" t="s">
        <v>1739</v>
      </c>
      <c r="N51" s="150">
        <v>40269</v>
      </c>
      <c r="O51" s="5" t="s">
        <v>982</v>
      </c>
      <c r="P51" s="157" t="s">
        <v>1839</v>
      </c>
      <c r="Q51" s="157" t="s">
        <v>1840</v>
      </c>
      <c r="R51" s="9"/>
      <c r="S51" s="162">
        <v>102100504751</v>
      </c>
      <c r="T51" s="20">
        <v>2028096501</v>
      </c>
      <c r="U51" s="150">
        <v>47757</v>
      </c>
      <c r="V51" s="14" t="s">
        <v>1515</v>
      </c>
      <c r="W51" s="14" t="s">
        <v>1841</v>
      </c>
      <c r="X51" s="11"/>
      <c r="Y51" s="51"/>
      <c r="Z51" s="154"/>
    </row>
    <row r="52" spans="1:26" ht="39" customHeight="1" x14ac:dyDescent="0.25">
      <c r="A52" s="5">
        <v>46</v>
      </c>
      <c r="B52" s="12" t="s">
        <v>1842</v>
      </c>
      <c r="C52" s="5" t="s">
        <v>18</v>
      </c>
      <c r="D52" s="5" t="s">
        <v>1843</v>
      </c>
      <c r="E52" s="14" t="s">
        <v>1844</v>
      </c>
      <c r="F52" s="150">
        <v>26855</v>
      </c>
      <c r="G52" s="151" t="s">
        <v>1845</v>
      </c>
      <c r="H52" s="68" t="s">
        <v>1846</v>
      </c>
      <c r="I52" s="5" t="s">
        <v>1738</v>
      </c>
      <c r="J52" s="150">
        <v>45383</v>
      </c>
      <c r="K52" s="5">
        <v>27</v>
      </c>
      <c r="L52" s="5">
        <v>1</v>
      </c>
      <c r="M52" s="12" t="s">
        <v>1739</v>
      </c>
      <c r="N52" s="150">
        <v>40391</v>
      </c>
      <c r="O52" s="5" t="s">
        <v>1028</v>
      </c>
      <c r="P52" s="157" t="s">
        <v>1847</v>
      </c>
      <c r="Q52" s="157" t="s">
        <v>1848</v>
      </c>
      <c r="R52" s="9" t="s">
        <v>1849</v>
      </c>
      <c r="S52" s="162">
        <v>112100511320009</v>
      </c>
      <c r="T52" s="20">
        <v>2010077303</v>
      </c>
      <c r="U52" s="150">
        <v>50618</v>
      </c>
      <c r="V52" s="14" t="s">
        <v>1452</v>
      </c>
      <c r="W52" s="14" t="s">
        <v>1850</v>
      </c>
      <c r="X52" s="12"/>
      <c r="Y52" s="12"/>
      <c r="Z52" s="154"/>
    </row>
    <row r="53" spans="1:26" ht="39" customHeight="1" x14ac:dyDescent="0.25">
      <c r="A53" s="5">
        <v>47</v>
      </c>
      <c r="B53" s="14" t="s">
        <v>1851</v>
      </c>
      <c r="C53" s="5" t="s">
        <v>46</v>
      </c>
      <c r="D53" s="5" t="s">
        <v>1852</v>
      </c>
      <c r="E53" s="14" t="s">
        <v>1678</v>
      </c>
      <c r="F53" s="150">
        <v>28871</v>
      </c>
      <c r="G53" s="151" t="s">
        <v>1853</v>
      </c>
      <c r="H53" s="68" t="s">
        <v>1854</v>
      </c>
      <c r="I53" s="5" t="s">
        <v>1738</v>
      </c>
      <c r="J53" s="150">
        <v>45383</v>
      </c>
      <c r="K53" s="5">
        <v>19</v>
      </c>
      <c r="L53" s="5">
        <v>3</v>
      </c>
      <c r="M53" s="12" t="s">
        <v>1739</v>
      </c>
      <c r="N53" s="150">
        <v>40422</v>
      </c>
      <c r="O53" s="5" t="s">
        <v>982</v>
      </c>
      <c r="P53" s="9" t="s">
        <v>1855</v>
      </c>
      <c r="Q53" s="157" t="s">
        <v>1856</v>
      </c>
      <c r="R53" s="9"/>
      <c r="S53" s="162">
        <v>112100518130043</v>
      </c>
      <c r="T53" s="166">
        <v>2016017901</v>
      </c>
      <c r="U53" s="150">
        <v>51533</v>
      </c>
      <c r="V53" s="14" t="s">
        <v>1474</v>
      </c>
      <c r="W53" s="14" t="s">
        <v>1857</v>
      </c>
      <c r="X53" s="11"/>
      <c r="Y53" s="51" t="s">
        <v>1084</v>
      </c>
      <c r="Z53" s="154" t="s">
        <v>1084</v>
      </c>
    </row>
    <row r="54" spans="1:26" ht="39" customHeight="1" x14ac:dyDescent="0.25">
      <c r="A54" s="5">
        <v>48</v>
      </c>
      <c r="B54" s="14" t="s">
        <v>1858</v>
      </c>
      <c r="C54" s="5" t="s">
        <v>46</v>
      </c>
      <c r="D54" s="5" t="s">
        <v>1859</v>
      </c>
      <c r="E54" s="14" t="s">
        <v>1860</v>
      </c>
      <c r="F54" s="150" t="s">
        <v>1861</v>
      </c>
      <c r="G54" s="151" t="s">
        <v>1862</v>
      </c>
      <c r="H54" s="68" t="s">
        <v>1863</v>
      </c>
      <c r="I54" s="5" t="s">
        <v>1738</v>
      </c>
      <c r="J54" s="150">
        <v>45383</v>
      </c>
      <c r="K54" s="5">
        <v>18</v>
      </c>
      <c r="L54" s="5">
        <v>0</v>
      </c>
      <c r="M54" s="12" t="s">
        <v>1739</v>
      </c>
      <c r="N54" s="150">
        <v>40452</v>
      </c>
      <c r="O54" s="5" t="s">
        <v>982</v>
      </c>
      <c r="P54" s="157" t="s">
        <v>1864</v>
      </c>
      <c r="Q54" s="157" t="s">
        <v>1865</v>
      </c>
      <c r="R54" s="9"/>
      <c r="S54" s="162">
        <v>102100504747</v>
      </c>
      <c r="T54" s="20">
        <v>2022067901</v>
      </c>
      <c r="U54" s="150">
        <v>52779</v>
      </c>
      <c r="V54" s="14" t="s">
        <v>1474</v>
      </c>
      <c r="W54" s="14" t="s">
        <v>1866</v>
      </c>
      <c r="X54" s="11" t="s">
        <v>1867</v>
      </c>
      <c r="Y54" s="51">
        <v>44798</v>
      </c>
      <c r="Z54" s="154" t="s">
        <v>1084</v>
      </c>
    </row>
    <row r="55" spans="1:26" ht="39" customHeight="1" x14ac:dyDescent="0.25">
      <c r="A55" s="5">
        <v>49</v>
      </c>
      <c r="B55" s="12" t="s">
        <v>1868</v>
      </c>
      <c r="C55" s="5" t="s">
        <v>46</v>
      </c>
      <c r="D55" s="5" t="s">
        <v>1869</v>
      </c>
      <c r="E55" s="14" t="s">
        <v>1489</v>
      </c>
      <c r="F55" s="150">
        <v>28444</v>
      </c>
      <c r="G55" s="151" t="s">
        <v>1870</v>
      </c>
      <c r="H55" s="68" t="s">
        <v>1871</v>
      </c>
      <c r="I55" s="5" t="s">
        <v>1738</v>
      </c>
      <c r="J55" s="150">
        <v>45383</v>
      </c>
      <c r="K55" s="5">
        <v>19</v>
      </c>
      <c r="L55" s="5">
        <v>3</v>
      </c>
      <c r="M55" s="12" t="s">
        <v>1739</v>
      </c>
      <c r="N55" s="150">
        <v>40725</v>
      </c>
      <c r="O55" s="5" t="s">
        <v>1028</v>
      </c>
      <c r="P55" s="157" t="s">
        <v>1872</v>
      </c>
      <c r="Q55" s="11" t="s">
        <v>1873</v>
      </c>
      <c r="R55" s="9" t="s">
        <v>1874</v>
      </c>
      <c r="S55" s="162">
        <v>102100504768</v>
      </c>
      <c r="T55" s="20">
        <v>2015117701</v>
      </c>
      <c r="U55" s="150">
        <v>52201</v>
      </c>
      <c r="V55" s="11" t="s">
        <v>1654</v>
      </c>
      <c r="W55" s="14" t="s">
        <v>1875</v>
      </c>
      <c r="X55" s="11" t="s">
        <v>1876</v>
      </c>
      <c r="Y55" s="51">
        <v>45589</v>
      </c>
      <c r="Z55" s="154"/>
    </row>
    <row r="56" spans="1:26" ht="39" customHeight="1" x14ac:dyDescent="0.25">
      <c r="A56" s="5">
        <v>50</v>
      </c>
      <c r="B56" s="14" t="s">
        <v>1877</v>
      </c>
      <c r="C56" s="5" t="s">
        <v>46</v>
      </c>
      <c r="D56" s="5" t="s">
        <v>1878</v>
      </c>
      <c r="E56" s="14" t="s">
        <v>1811</v>
      </c>
      <c r="F56" s="150">
        <v>25145</v>
      </c>
      <c r="G56" s="151" t="s">
        <v>1879</v>
      </c>
      <c r="H56" s="68" t="s">
        <v>1880</v>
      </c>
      <c r="I56" s="5" t="s">
        <v>1699</v>
      </c>
      <c r="J56" s="150">
        <v>45444</v>
      </c>
      <c r="K56" s="5">
        <v>30</v>
      </c>
      <c r="L56" s="5">
        <v>3</v>
      </c>
      <c r="M56" s="12" t="s">
        <v>1739</v>
      </c>
      <c r="N56" s="150">
        <v>40817</v>
      </c>
      <c r="O56" s="5" t="s">
        <v>1028</v>
      </c>
      <c r="P56" s="157" t="s">
        <v>1881</v>
      </c>
      <c r="Q56" s="157" t="s">
        <v>1882</v>
      </c>
      <c r="R56" s="9" t="s">
        <v>1883</v>
      </c>
      <c r="S56" s="162">
        <v>102100504677</v>
      </c>
      <c r="T56" s="20">
        <v>2011036801</v>
      </c>
      <c r="U56" s="150">
        <v>48914</v>
      </c>
      <c r="V56" s="14" t="s">
        <v>1474</v>
      </c>
      <c r="W56" s="14" t="s">
        <v>1884</v>
      </c>
      <c r="X56" s="89"/>
      <c r="Y56" s="89"/>
      <c r="Z56" s="89"/>
    </row>
    <row r="57" spans="1:26" ht="39" customHeight="1" x14ac:dyDescent="0.25">
      <c r="A57" s="5">
        <v>51</v>
      </c>
      <c r="B57" s="12" t="s">
        <v>1885</v>
      </c>
      <c r="C57" s="5" t="s">
        <v>46</v>
      </c>
      <c r="D57" s="5" t="s">
        <v>1886</v>
      </c>
      <c r="E57" s="14" t="s">
        <v>1887</v>
      </c>
      <c r="F57" s="150">
        <v>26053</v>
      </c>
      <c r="G57" s="151" t="s">
        <v>1888</v>
      </c>
      <c r="H57" s="68" t="s">
        <v>1889</v>
      </c>
      <c r="I57" s="5" t="s">
        <v>1738</v>
      </c>
      <c r="J57" s="150">
        <v>41000</v>
      </c>
      <c r="K57" s="5">
        <v>15</v>
      </c>
      <c r="L57" s="5">
        <v>1</v>
      </c>
      <c r="M57" s="12" t="s">
        <v>1739</v>
      </c>
      <c r="N57" s="150">
        <v>40878</v>
      </c>
      <c r="O57" s="5" t="s">
        <v>982</v>
      </c>
      <c r="P57" s="157" t="s">
        <v>1764</v>
      </c>
      <c r="Q57" s="157" t="s">
        <v>1890</v>
      </c>
      <c r="R57" s="9"/>
      <c r="S57" s="162">
        <v>102100504746</v>
      </c>
      <c r="T57" s="20">
        <v>2030047101</v>
      </c>
      <c r="U57" s="150">
        <v>49796</v>
      </c>
      <c r="V57" s="14" t="s">
        <v>1515</v>
      </c>
      <c r="W57" s="14" t="s">
        <v>1891</v>
      </c>
      <c r="X57" s="11"/>
      <c r="Y57" s="5"/>
      <c r="Z57" s="154"/>
    </row>
    <row r="58" spans="1:26" ht="39" customHeight="1" x14ac:dyDescent="0.25">
      <c r="A58" s="5">
        <v>52</v>
      </c>
      <c r="B58" s="14" t="s">
        <v>1892</v>
      </c>
      <c r="C58" s="5" t="s">
        <v>46</v>
      </c>
      <c r="D58" s="5" t="s">
        <v>1893</v>
      </c>
      <c r="E58" s="14" t="s">
        <v>1894</v>
      </c>
      <c r="F58" s="150">
        <v>29648</v>
      </c>
      <c r="G58" s="151" t="s">
        <v>1895</v>
      </c>
      <c r="H58" s="68" t="s">
        <v>1896</v>
      </c>
      <c r="I58" s="5" t="s">
        <v>1738</v>
      </c>
      <c r="J58" s="150">
        <v>45383</v>
      </c>
      <c r="K58" s="5">
        <v>15</v>
      </c>
      <c r="L58" s="5">
        <v>3</v>
      </c>
      <c r="M58" s="12" t="s">
        <v>1739</v>
      </c>
      <c r="N58" s="150">
        <v>40909</v>
      </c>
      <c r="O58" s="5" t="s">
        <v>982</v>
      </c>
      <c r="P58" s="11" t="s">
        <v>1897</v>
      </c>
      <c r="Q58" s="11" t="s">
        <v>1898</v>
      </c>
      <c r="R58" s="9"/>
      <c r="S58" s="162">
        <v>132100511957</v>
      </c>
      <c r="T58" s="20" t="s">
        <v>1899</v>
      </c>
      <c r="U58" s="150">
        <v>53387</v>
      </c>
      <c r="V58" s="11" t="s">
        <v>1654</v>
      </c>
      <c r="W58" s="14" t="s">
        <v>1655</v>
      </c>
      <c r="X58" s="89"/>
      <c r="Y58" s="89"/>
      <c r="Z58" s="89"/>
    </row>
    <row r="59" spans="1:26" ht="39" customHeight="1" x14ac:dyDescent="0.25">
      <c r="A59" s="5">
        <v>53</v>
      </c>
      <c r="B59" s="14" t="s">
        <v>1900</v>
      </c>
      <c r="C59" s="5" t="s">
        <v>18</v>
      </c>
      <c r="D59" s="10" t="s">
        <v>1901</v>
      </c>
      <c r="E59" s="14" t="s">
        <v>1902</v>
      </c>
      <c r="F59" s="150">
        <v>29322</v>
      </c>
      <c r="G59" s="8" t="s">
        <v>1903</v>
      </c>
      <c r="H59" s="68" t="s">
        <v>1904</v>
      </c>
      <c r="I59" s="5" t="s">
        <v>1738</v>
      </c>
      <c r="J59" s="150">
        <v>43009</v>
      </c>
      <c r="K59" s="5">
        <v>7</v>
      </c>
      <c r="L59" s="5">
        <v>10</v>
      </c>
      <c r="M59" s="12" t="s">
        <v>1739</v>
      </c>
      <c r="N59" s="150">
        <v>41548</v>
      </c>
      <c r="O59" s="5" t="s">
        <v>1028</v>
      </c>
      <c r="P59" s="167" t="s">
        <v>1905</v>
      </c>
      <c r="Q59" s="11" t="s">
        <v>1682</v>
      </c>
      <c r="R59" s="168" t="s">
        <v>1906</v>
      </c>
      <c r="S59" s="162">
        <v>132100511951</v>
      </c>
      <c r="T59" s="20">
        <v>2011048001</v>
      </c>
      <c r="U59" s="150">
        <v>53083</v>
      </c>
      <c r="V59" s="11" t="s">
        <v>1654</v>
      </c>
      <c r="W59" s="14" t="s">
        <v>1907</v>
      </c>
      <c r="X59" s="12"/>
      <c r="Y59" s="12"/>
      <c r="Z59" s="154" t="s">
        <v>1084</v>
      </c>
    </row>
    <row r="60" spans="1:26" ht="39" customHeight="1" x14ac:dyDescent="0.25">
      <c r="A60" s="5">
        <v>54</v>
      </c>
      <c r="B60" s="14" t="s">
        <v>1908</v>
      </c>
      <c r="C60" s="5" t="s">
        <v>18</v>
      </c>
      <c r="D60" s="5" t="s">
        <v>1909</v>
      </c>
      <c r="E60" s="14" t="s">
        <v>1456</v>
      </c>
      <c r="F60" s="150">
        <v>29467</v>
      </c>
      <c r="G60" s="151" t="s">
        <v>1910</v>
      </c>
      <c r="H60" s="68" t="s">
        <v>1911</v>
      </c>
      <c r="I60" s="5" t="s">
        <v>1738</v>
      </c>
      <c r="J60" s="150">
        <v>45383</v>
      </c>
      <c r="K60" s="5">
        <v>15</v>
      </c>
      <c r="L60" s="5">
        <v>3</v>
      </c>
      <c r="M60" s="12" t="s">
        <v>1739</v>
      </c>
      <c r="N60" s="150">
        <v>41883</v>
      </c>
      <c r="O60" s="5" t="s">
        <v>982</v>
      </c>
      <c r="P60" s="157" t="s">
        <v>1912</v>
      </c>
      <c r="Q60" s="11" t="s">
        <v>1913</v>
      </c>
      <c r="R60" s="9"/>
      <c r="S60" s="162">
        <v>122100509793</v>
      </c>
      <c r="T60" s="20">
        <v>2003098001</v>
      </c>
      <c r="U60" s="150">
        <v>53236</v>
      </c>
      <c r="V60" s="14" t="s">
        <v>1452</v>
      </c>
      <c r="W60" s="14" t="s">
        <v>1914</v>
      </c>
      <c r="X60" s="11"/>
      <c r="Y60" s="51"/>
      <c r="Z60" s="67"/>
    </row>
    <row r="61" spans="1:26" ht="39" customHeight="1" x14ac:dyDescent="0.25">
      <c r="A61" s="5">
        <v>55</v>
      </c>
      <c r="B61" s="14" t="s">
        <v>1915</v>
      </c>
      <c r="C61" s="5" t="s">
        <v>18</v>
      </c>
      <c r="D61" s="5" t="s">
        <v>1916</v>
      </c>
      <c r="E61" s="14" t="s">
        <v>1917</v>
      </c>
      <c r="F61" s="150">
        <v>27855</v>
      </c>
      <c r="G61" s="151" t="s">
        <v>1918</v>
      </c>
      <c r="H61" s="68" t="s">
        <v>1919</v>
      </c>
      <c r="I61" s="5" t="s">
        <v>1738</v>
      </c>
      <c r="J61" s="150">
        <v>45383</v>
      </c>
      <c r="K61" s="5">
        <v>15</v>
      </c>
      <c r="L61" s="5">
        <v>3</v>
      </c>
      <c r="M61" s="12" t="s">
        <v>1739</v>
      </c>
      <c r="N61" s="150">
        <v>41883</v>
      </c>
      <c r="O61" s="5" t="s">
        <v>1028</v>
      </c>
      <c r="P61" s="157" t="s">
        <v>1920</v>
      </c>
      <c r="Q61" s="157" t="s">
        <v>1921</v>
      </c>
      <c r="R61" s="9" t="s">
        <v>1922</v>
      </c>
      <c r="S61" s="162">
        <v>122100509794</v>
      </c>
      <c r="T61" s="20">
        <v>2005047603</v>
      </c>
      <c r="U61" s="150">
        <v>51622</v>
      </c>
      <c r="V61" s="11" t="s">
        <v>1654</v>
      </c>
      <c r="W61" s="14" t="s">
        <v>1923</v>
      </c>
      <c r="X61" s="11" t="s">
        <v>1924</v>
      </c>
      <c r="Y61" s="51">
        <v>45596</v>
      </c>
      <c r="Z61" s="153"/>
    </row>
    <row r="62" spans="1:26" ht="39" customHeight="1" x14ac:dyDescent="0.25">
      <c r="A62" s="5">
        <v>56</v>
      </c>
      <c r="B62" s="14" t="s">
        <v>1925</v>
      </c>
      <c r="C62" s="5" t="s">
        <v>18</v>
      </c>
      <c r="D62" s="10" t="s">
        <v>1926</v>
      </c>
      <c r="E62" s="14" t="s">
        <v>1638</v>
      </c>
      <c r="F62" s="150">
        <v>28558</v>
      </c>
      <c r="G62" s="8" t="s">
        <v>1927</v>
      </c>
      <c r="H62" s="68" t="s">
        <v>1928</v>
      </c>
      <c r="I62" s="5" t="s">
        <v>1738</v>
      </c>
      <c r="J62" s="150">
        <v>45383</v>
      </c>
      <c r="K62" s="5">
        <v>13</v>
      </c>
      <c r="L62" s="5">
        <v>3</v>
      </c>
      <c r="M62" s="12" t="s">
        <v>1739</v>
      </c>
      <c r="N62" s="150">
        <v>42095</v>
      </c>
      <c r="O62" s="5" t="s">
        <v>1028</v>
      </c>
      <c r="P62" s="167" t="s">
        <v>1929</v>
      </c>
      <c r="Q62" s="11" t="s">
        <v>1930</v>
      </c>
      <c r="R62" s="9" t="s">
        <v>1720</v>
      </c>
      <c r="S62" s="162">
        <v>132100511946</v>
      </c>
      <c r="T62" s="20">
        <v>2009037801</v>
      </c>
      <c r="U62" s="150">
        <v>52322</v>
      </c>
      <c r="V62" s="11" t="s">
        <v>1654</v>
      </c>
      <c r="W62" s="14" t="s">
        <v>1931</v>
      </c>
      <c r="X62" s="89"/>
      <c r="Y62" s="89"/>
      <c r="Z62" s="89"/>
    </row>
    <row r="63" spans="1:26" ht="39" customHeight="1" x14ac:dyDescent="0.25">
      <c r="A63" s="5">
        <v>57</v>
      </c>
      <c r="B63" s="14" t="s">
        <v>1932</v>
      </c>
      <c r="C63" s="5" t="s">
        <v>46</v>
      </c>
      <c r="D63" s="10" t="s">
        <v>1933</v>
      </c>
      <c r="E63" s="14" t="s">
        <v>1934</v>
      </c>
      <c r="F63" s="150">
        <v>29926</v>
      </c>
      <c r="G63" s="8" t="s">
        <v>1935</v>
      </c>
      <c r="H63" s="68" t="s">
        <v>1936</v>
      </c>
      <c r="I63" s="5" t="s">
        <v>1738</v>
      </c>
      <c r="J63" s="150">
        <v>43922</v>
      </c>
      <c r="K63" s="5">
        <v>9</v>
      </c>
      <c r="L63" s="5">
        <v>3</v>
      </c>
      <c r="M63" s="12" t="s">
        <v>1739</v>
      </c>
      <c r="N63" s="150">
        <v>43040</v>
      </c>
      <c r="O63" s="5" t="s">
        <v>982</v>
      </c>
      <c r="P63" s="167" t="s">
        <v>1937</v>
      </c>
      <c r="Q63" s="11" t="s">
        <v>1938</v>
      </c>
      <c r="R63" s="168" t="s">
        <v>1084</v>
      </c>
      <c r="S63" s="162">
        <v>142100512846</v>
      </c>
      <c r="T63" s="20">
        <v>2006128101</v>
      </c>
      <c r="U63" s="150">
        <v>53693</v>
      </c>
      <c r="V63" s="14" t="s">
        <v>1515</v>
      </c>
      <c r="W63" s="14" t="s">
        <v>1516</v>
      </c>
      <c r="X63" s="11" t="s">
        <v>1939</v>
      </c>
      <c r="Y63" s="51">
        <v>45589</v>
      </c>
      <c r="Z63" s="154"/>
    </row>
    <row r="64" spans="1:26" ht="39" customHeight="1" x14ac:dyDescent="0.25">
      <c r="A64" s="5">
        <v>58</v>
      </c>
      <c r="B64" s="9" t="s">
        <v>1940</v>
      </c>
      <c r="C64" s="5" t="s">
        <v>46</v>
      </c>
      <c r="D64" s="5" t="s">
        <v>1941</v>
      </c>
      <c r="E64" s="9" t="s">
        <v>1942</v>
      </c>
      <c r="F64" s="150">
        <v>29222</v>
      </c>
      <c r="G64" s="151" t="s">
        <v>1943</v>
      </c>
      <c r="H64" s="68" t="s">
        <v>1944</v>
      </c>
      <c r="I64" s="5" t="s">
        <v>1738</v>
      </c>
      <c r="J64" s="150">
        <v>45383</v>
      </c>
      <c r="K64" s="5">
        <v>9</v>
      </c>
      <c r="L64" s="5">
        <v>1</v>
      </c>
      <c r="M64" s="12" t="s">
        <v>1739</v>
      </c>
      <c r="N64" s="150">
        <v>44228</v>
      </c>
      <c r="O64" s="5" t="s">
        <v>982</v>
      </c>
      <c r="P64" s="9" t="s">
        <v>1945</v>
      </c>
      <c r="Q64" s="9" t="s">
        <v>1946</v>
      </c>
      <c r="R64" s="9"/>
      <c r="S64" s="79">
        <v>212100516594</v>
      </c>
      <c r="T64" s="20" t="s">
        <v>1947</v>
      </c>
      <c r="U64" s="150">
        <v>52994</v>
      </c>
      <c r="V64" s="14" t="s">
        <v>1452</v>
      </c>
      <c r="W64" s="9" t="s">
        <v>1948</v>
      </c>
      <c r="X64" s="9"/>
      <c r="Y64" s="10"/>
      <c r="Z64" s="154"/>
    </row>
    <row r="65" spans="1:26" ht="39" customHeight="1" x14ac:dyDescent="0.25">
      <c r="A65" s="5">
        <v>59</v>
      </c>
      <c r="B65" s="9" t="s">
        <v>1949</v>
      </c>
      <c r="C65" s="5" t="s">
        <v>46</v>
      </c>
      <c r="D65" s="5"/>
      <c r="E65" s="9" t="s">
        <v>1950</v>
      </c>
      <c r="F65" s="150">
        <v>32427</v>
      </c>
      <c r="G65" s="151" t="s">
        <v>1951</v>
      </c>
      <c r="H65" s="68" t="s">
        <v>1952</v>
      </c>
      <c r="I65" s="5" t="s">
        <v>1738</v>
      </c>
      <c r="J65" s="150">
        <v>45566</v>
      </c>
      <c r="K65" s="5">
        <v>9</v>
      </c>
      <c r="L65" s="5">
        <v>7</v>
      </c>
      <c r="M65" s="12" t="s">
        <v>1739</v>
      </c>
      <c r="N65" s="150">
        <v>44713</v>
      </c>
      <c r="O65" s="5" t="s">
        <v>982</v>
      </c>
      <c r="P65" s="9" t="s">
        <v>1953</v>
      </c>
      <c r="Q65" s="9" t="s">
        <v>1954</v>
      </c>
      <c r="R65" s="9"/>
      <c r="S65" s="79">
        <v>192100517419</v>
      </c>
      <c r="T65" s="20" t="s">
        <v>1955</v>
      </c>
      <c r="U65" s="150">
        <v>56189</v>
      </c>
      <c r="V65" s="11" t="s">
        <v>1654</v>
      </c>
      <c r="W65" s="9" t="s">
        <v>1956</v>
      </c>
      <c r="X65" s="11"/>
      <c r="Y65" s="51"/>
      <c r="Z65" s="154"/>
    </row>
    <row r="66" spans="1:26" ht="39" customHeight="1" x14ac:dyDescent="0.25">
      <c r="A66" s="5">
        <v>60</v>
      </c>
      <c r="B66" s="9" t="s">
        <v>1957</v>
      </c>
      <c r="C66" s="5" t="s">
        <v>18</v>
      </c>
      <c r="D66" s="5"/>
      <c r="E66" s="9" t="s">
        <v>1958</v>
      </c>
      <c r="F66" s="31">
        <v>34042</v>
      </c>
      <c r="G66" s="151" t="s">
        <v>1959</v>
      </c>
      <c r="H66" s="169" t="s">
        <v>1960</v>
      </c>
      <c r="I66" s="5" t="s">
        <v>1717</v>
      </c>
      <c r="J66" s="150">
        <v>44652</v>
      </c>
      <c r="K66" s="5">
        <v>7</v>
      </c>
      <c r="L66" s="5">
        <v>1</v>
      </c>
      <c r="M66" s="12" t="s">
        <v>1739</v>
      </c>
      <c r="N66" s="150">
        <v>44470</v>
      </c>
      <c r="O66" s="5" t="s">
        <v>982</v>
      </c>
      <c r="P66" s="9" t="s">
        <v>1084</v>
      </c>
      <c r="Q66" s="11" t="s">
        <v>1961</v>
      </c>
      <c r="R66" s="9"/>
      <c r="S66" s="162" t="s">
        <v>1962</v>
      </c>
      <c r="T66" s="20" t="s">
        <v>1963</v>
      </c>
      <c r="U66" s="150">
        <v>57801</v>
      </c>
      <c r="V66" s="14" t="s">
        <v>1474</v>
      </c>
      <c r="W66" s="11" t="s">
        <v>1964</v>
      </c>
      <c r="X66" s="9"/>
      <c r="Y66" s="10"/>
      <c r="Z66" s="153" t="s">
        <v>1965</v>
      </c>
    </row>
    <row r="67" spans="1:26" ht="39" customHeight="1" x14ac:dyDescent="0.25">
      <c r="A67" s="5">
        <v>61</v>
      </c>
      <c r="B67" s="40" t="s">
        <v>1966</v>
      </c>
      <c r="C67" s="39" t="s">
        <v>46</v>
      </c>
      <c r="D67" s="12"/>
      <c r="E67" s="40" t="s">
        <v>1967</v>
      </c>
      <c r="F67" s="170">
        <v>34378</v>
      </c>
      <c r="G67" s="156" t="s">
        <v>1968</v>
      </c>
      <c r="H67" s="68" t="s">
        <v>1969</v>
      </c>
      <c r="I67" s="5" t="s">
        <v>1717</v>
      </c>
      <c r="J67" s="161">
        <v>45200</v>
      </c>
      <c r="K67" s="5">
        <v>4</v>
      </c>
      <c r="L67" s="5">
        <v>7</v>
      </c>
      <c r="M67" s="12" t="s">
        <v>1739</v>
      </c>
      <c r="N67" s="161">
        <v>44927</v>
      </c>
      <c r="O67" s="5" t="s">
        <v>982</v>
      </c>
      <c r="P67" s="9" t="s">
        <v>1970</v>
      </c>
      <c r="Q67" s="160" t="s">
        <v>1971</v>
      </c>
      <c r="R67" s="9"/>
      <c r="S67" s="162" t="s">
        <v>1972</v>
      </c>
      <c r="T67" s="171" t="s">
        <v>1973</v>
      </c>
      <c r="U67" s="150">
        <v>58135</v>
      </c>
      <c r="V67" s="11" t="s">
        <v>1474</v>
      </c>
      <c r="W67" s="160" t="s">
        <v>1475</v>
      </c>
      <c r="X67" s="9"/>
      <c r="Y67" s="10"/>
      <c r="Z67" s="153"/>
    </row>
    <row r="68" spans="1:26" ht="39" customHeight="1" x14ac:dyDescent="0.25">
      <c r="A68" s="5">
        <v>62</v>
      </c>
      <c r="B68" s="12" t="s">
        <v>1974</v>
      </c>
      <c r="C68" s="5" t="s">
        <v>18</v>
      </c>
      <c r="D68" s="5" t="s">
        <v>1975</v>
      </c>
      <c r="E68" s="14" t="s">
        <v>1498</v>
      </c>
      <c r="F68" s="150">
        <v>27192</v>
      </c>
      <c r="G68" s="151" t="s">
        <v>1976</v>
      </c>
      <c r="H68" s="68" t="s">
        <v>1977</v>
      </c>
      <c r="I68" s="5" t="s">
        <v>1717</v>
      </c>
      <c r="J68" s="150">
        <v>45383</v>
      </c>
      <c r="K68" s="5">
        <v>20</v>
      </c>
      <c r="L68" s="5">
        <v>4</v>
      </c>
      <c r="M68" s="12" t="s">
        <v>1739</v>
      </c>
      <c r="N68" s="150">
        <v>44927</v>
      </c>
      <c r="O68" s="5" t="s">
        <v>982</v>
      </c>
      <c r="P68" s="157" t="s">
        <v>1978</v>
      </c>
      <c r="Q68" s="157" t="s">
        <v>1979</v>
      </c>
      <c r="R68" s="9"/>
      <c r="S68" s="162">
        <v>112100512260017</v>
      </c>
      <c r="T68" s="20">
        <v>2012067402</v>
      </c>
      <c r="U68" s="150">
        <v>50952</v>
      </c>
      <c r="V68" s="14" t="s">
        <v>1474</v>
      </c>
      <c r="W68" s="14" t="s">
        <v>1875</v>
      </c>
      <c r="X68" s="11" t="s">
        <v>1980</v>
      </c>
      <c r="Y68" s="51">
        <v>45589</v>
      </c>
      <c r="Z68" s="154" t="s">
        <v>1084</v>
      </c>
    </row>
    <row r="69" spans="1:26" ht="39" customHeight="1" x14ac:dyDescent="0.25">
      <c r="A69" s="5">
        <v>63</v>
      </c>
      <c r="B69" s="40" t="s">
        <v>1981</v>
      </c>
      <c r="C69" s="39" t="s">
        <v>46</v>
      </c>
      <c r="D69" s="12"/>
      <c r="E69" s="40" t="s">
        <v>1489</v>
      </c>
      <c r="F69" s="170">
        <v>31814</v>
      </c>
      <c r="G69" s="67" t="s">
        <v>1982</v>
      </c>
      <c r="H69" s="68" t="s">
        <v>1983</v>
      </c>
      <c r="I69" s="5" t="s">
        <v>1717</v>
      </c>
      <c r="J69" s="161">
        <v>45383</v>
      </c>
      <c r="K69" s="5">
        <v>4</v>
      </c>
      <c r="L69" s="5">
        <v>8</v>
      </c>
      <c r="M69" s="12" t="s">
        <v>1739</v>
      </c>
      <c r="N69" s="161">
        <v>45047</v>
      </c>
      <c r="O69" s="5" t="s">
        <v>982</v>
      </c>
      <c r="P69" s="9"/>
      <c r="Q69" s="160" t="s">
        <v>1984</v>
      </c>
      <c r="R69" s="9"/>
      <c r="S69" s="162"/>
      <c r="T69" s="171" t="s">
        <v>1985</v>
      </c>
      <c r="U69" s="150">
        <v>55579</v>
      </c>
      <c r="V69" s="11" t="s">
        <v>1474</v>
      </c>
      <c r="W69" s="160" t="s">
        <v>1475</v>
      </c>
      <c r="X69" s="9"/>
      <c r="Y69" s="10"/>
      <c r="Z69" s="153"/>
    </row>
    <row r="70" spans="1:26" ht="39" customHeight="1" x14ac:dyDescent="0.25">
      <c r="A70" s="5">
        <v>64</v>
      </c>
      <c r="B70" s="14" t="s">
        <v>1986</v>
      </c>
      <c r="C70" s="5" t="s">
        <v>18</v>
      </c>
      <c r="D70" s="5" t="s">
        <v>1987</v>
      </c>
      <c r="E70" s="14" t="s">
        <v>1988</v>
      </c>
      <c r="F70" s="150">
        <v>27559</v>
      </c>
      <c r="G70" s="151" t="s">
        <v>1989</v>
      </c>
      <c r="H70" s="68" t="s">
        <v>1990</v>
      </c>
      <c r="I70" s="5" t="s">
        <v>1991</v>
      </c>
      <c r="J70" s="150">
        <v>38808</v>
      </c>
      <c r="K70" s="5">
        <v>4</v>
      </c>
      <c r="L70" s="5">
        <v>4</v>
      </c>
      <c r="M70" s="12" t="s">
        <v>1739</v>
      </c>
      <c r="N70" s="150">
        <v>45017</v>
      </c>
      <c r="O70" s="5" t="s">
        <v>982</v>
      </c>
      <c r="P70" s="157" t="s">
        <v>1992</v>
      </c>
      <c r="Q70" s="157" t="s">
        <v>1993</v>
      </c>
      <c r="R70" s="9"/>
      <c r="S70" s="162">
        <v>122100509801</v>
      </c>
      <c r="T70" s="20">
        <v>2014067502</v>
      </c>
      <c r="U70" s="150">
        <v>52413</v>
      </c>
      <c r="V70" s="14" t="s">
        <v>1474</v>
      </c>
      <c r="W70" s="14" t="s">
        <v>1994</v>
      </c>
      <c r="X70" s="11"/>
      <c r="Y70" s="5"/>
      <c r="Z70" s="154" t="s">
        <v>1084</v>
      </c>
    </row>
    <row r="71" spans="1:26" ht="39" customHeight="1" x14ac:dyDescent="0.25">
      <c r="A71" s="5">
        <v>65</v>
      </c>
      <c r="B71" s="40" t="s">
        <v>1995</v>
      </c>
      <c r="C71" s="39" t="s">
        <v>18</v>
      </c>
      <c r="D71" s="12"/>
      <c r="E71" s="40" t="s">
        <v>1996</v>
      </c>
      <c r="F71" s="170">
        <v>31268</v>
      </c>
      <c r="G71" s="156" t="s">
        <v>1997</v>
      </c>
      <c r="H71" s="68" t="s">
        <v>1998</v>
      </c>
      <c r="I71" s="5" t="s">
        <v>1717</v>
      </c>
      <c r="J71" s="161">
        <v>45627</v>
      </c>
      <c r="K71" s="5">
        <v>5</v>
      </c>
      <c r="L71" s="5">
        <v>9</v>
      </c>
      <c r="M71" s="12" t="s">
        <v>1739</v>
      </c>
      <c r="N71" s="161">
        <v>45536</v>
      </c>
      <c r="O71" s="5" t="s">
        <v>982</v>
      </c>
      <c r="P71" s="9" t="s">
        <v>1999</v>
      </c>
      <c r="Q71" s="160" t="s">
        <v>2000</v>
      </c>
      <c r="R71" s="9"/>
      <c r="S71" s="162"/>
      <c r="T71" s="20" t="s">
        <v>2001</v>
      </c>
      <c r="U71" s="150">
        <v>55032</v>
      </c>
      <c r="V71" s="11" t="s">
        <v>1474</v>
      </c>
      <c r="W71" s="160" t="s">
        <v>2002</v>
      </c>
      <c r="X71" s="9"/>
      <c r="Y71" s="10"/>
      <c r="Z71" s="153"/>
    </row>
    <row r="72" spans="1:26" ht="39" customHeight="1" x14ac:dyDescent="0.25">
      <c r="A72" s="5">
        <v>66</v>
      </c>
      <c r="B72" s="9" t="s">
        <v>2003</v>
      </c>
      <c r="C72" s="5" t="s">
        <v>46</v>
      </c>
      <c r="D72" s="5"/>
      <c r="E72" s="9" t="s">
        <v>2004</v>
      </c>
      <c r="F72" s="150">
        <v>31129</v>
      </c>
      <c r="G72" s="151" t="s">
        <v>2005</v>
      </c>
      <c r="H72" s="68" t="s">
        <v>2006</v>
      </c>
      <c r="I72" s="5" t="s">
        <v>1991</v>
      </c>
      <c r="J72" s="150">
        <v>42064</v>
      </c>
      <c r="K72" s="5">
        <v>0</v>
      </c>
      <c r="L72" s="5">
        <v>0</v>
      </c>
      <c r="M72" s="12" t="s">
        <v>1121</v>
      </c>
      <c r="N72" s="150">
        <v>44105</v>
      </c>
      <c r="O72" s="5" t="s">
        <v>982</v>
      </c>
      <c r="P72" s="9" t="s">
        <v>2007</v>
      </c>
      <c r="Q72" s="9" t="s">
        <v>2008</v>
      </c>
      <c r="R72" s="9"/>
      <c r="S72" s="162" t="s">
        <v>2009</v>
      </c>
      <c r="T72" s="20" t="s">
        <v>2010</v>
      </c>
      <c r="U72" s="150">
        <v>54879</v>
      </c>
      <c r="V72" s="11" t="s">
        <v>1654</v>
      </c>
      <c r="W72" s="9" t="s">
        <v>2011</v>
      </c>
      <c r="X72" s="9"/>
      <c r="Y72" s="10"/>
      <c r="Z72" s="153"/>
    </row>
    <row r="73" spans="1:26" ht="39" customHeight="1" x14ac:dyDescent="0.25">
      <c r="A73" s="5">
        <v>67</v>
      </c>
      <c r="B73" s="9" t="s">
        <v>2012</v>
      </c>
      <c r="C73" s="5" t="s">
        <v>46</v>
      </c>
      <c r="D73" s="5" t="s">
        <v>2013</v>
      </c>
      <c r="E73" s="9" t="s">
        <v>1687</v>
      </c>
      <c r="F73" s="31">
        <v>33343</v>
      </c>
      <c r="G73" s="151" t="s">
        <v>2014</v>
      </c>
      <c r="H73" s="169" t="s">
        <v>2015</v>
      </c>
      <c r="I73" s="5" t="s">
        <v>1717</v>
      </c>
      <c r="J73" s="150">
        <v>45383</v>
      </c>
      <c r="K73" s="5">
        <v>6</v>
      </c>
      <c r="L73" s="5">
        <v>3</v>
      </c>
      <c r="M73" s="12" t="s">
        <v>1121</v>
      </c>
      <c r="N73" s="150">
        <v>44105</v>
      </c>
      <c r="O73" s="5" t="s">
        <v>982</v>
      </c>
      <c r="P73" s="9" t="s">
        <v>2016</v>
      </c>
      <c r="Q73" s="11" t="s">
        <v>2017</v>
      </c>
      <c r="R73" s="9"/>
      <c r="S73" s="162"/>
      <c r="T73" s="171" t="s">
        <v>2018</v>
      </c>
      <c r="U73" s="150">
        <v>57101</v>
      </c>
      <c r="V73" s="14" t="s">
        <v>1452</v>
      </c>
      <c r="W73" s="11" t="s">
        <v>2019</v>
      </c>
      <c r="X73" s="9"/>
      <c r="Y73" s="10"/>
      <c r="Z73" s="153"/>
    </row>
    <row r="74" spans="1:26" ht="39" customHeight="1" x14ac:dyDescent="0.25">
      <c r="A74" s="5">
        <v>68</v>
      </c>
      <c r="B74" s="40" t="s">
        <v>2020</v>
      </c>
      <c r="C74" s="39" t="s">
        <v>46</v>
      </c>
      <c r="D74" s="12"/>
      <c r="E74" s="40" t="s">
        <v>1648</v>
      </c>
      <c r="F74" s="170">
        <v>33501</v>
      </c>
      <c r="G74" s="156" t="s">
        <v>2021</v>
      </c>
      <c r="H74" s="68" t="s">
        <v>2022</v>
      </c>
      <c r="I74" s="5" t="s">
        <v>1991</v>
      </c>
      <c r="J74" s="161">
        <v>43525</v>
      </c>
      <c r="K74" s="5">
        <v>0</v>
      </c>
      <c r="L74" s="5">
        <v>0</v>
      </c>
      <c r="M74" s="12" t="s">
        <v>1121</v>
      </c>
      <c r="N74" s="161">
        <v>44256</v>
      </c>
      <c r="O74" s="5" t="s">
        <v>982</v>
      </c>
      <c r="P74" s="9" t="s">
        <v>2023</v>
      </c>
      <c r="Q74" s="160" t="s">
        <v>2024</v>
      </c>
      <c r="R74" s="9"/>
      <c r="S74" s="162"/>
      <c r="T74" s="171" t="s">
        <v>2025</v>
      </c>
      <c r="U74" s="150">
        <v>57254</v>
      </c>
      <c r="V74" s="11" t="s">
        <v>1474</v>
      </c>
      <c r="W74" s="160" t="s">
        <v>2026</v>
      </c>
      <c r="X74" s="11" t="s">
        <v>2027</v>
      </c>
      <c r="Y74" s="51">
        <v>45589</v>
      </c>
      <c r="Z74" s="154"/>
    </row>
    <row r="75" spans="1:26" ht="39" customHeight="1" x14ac:dyDescent="0.25">
      <c r="A75" s="5">
        <v>69</v>
      </c>
      <c r="B75" s="40" t="s">
        <v>2028</v>
      </c>
      <c r="C75" s="39" t="s">
        <v>18</v>
      </c>
      <c r="D75" s="12"/>
      <c r="E75" s="40" t="s">
        <v>1648</v>
      </c>
      <c r="F75" s="170">
        <v>32919</v>
      </c>
      <c r="G75" s="156" t="s">
        <v>2029</v>
      </c>
      <c r="H75" s="68" t="s">
        <v>2030</v>
      </c>
      <c r="I75" s="5" t="s">
        <v>1991</v>
      </c>
      <c r="J75" s="161">
        <v>43525</v>
      </c>
      <c r="K75" s="5">
        <v>0</v>
      </c>
      <c r="L75" s="5">
        <v>0</v>
      </c>
      <c r="M75" s="12" t="s">
        <v>1121</v>
      </c>
      <c r="N75" s="161">
        <v>44256</v>
      </c>
      <c r="O75" s="5" t="s">
        <v>982</v>
      </c>
      <c r="P75" s="9" t="s">
        <v>2031</v>
      </c>
      <c r="Q75" s="160" t="s">
        <v>2032</v>
      </c>
      <c r="R75" s="9"/>
      <c r="S75" s="162"/>
      <c r="T75" s="171" t="s">
        <v>2033</v>
      </c>
      <c r="U75" s="150">
        <v>56674</v>
      </c>
      <c r="V75" s="11" t="s">
        <v>1474</v>
      </c>
      <c r="W75" s="160" t="s">
        <v>2034</v>
      </c>
      <c r="X75" s="9"/>
      <c r="Y75" s="10"/>
      <c r="Z75" s="153"/>
    </row>
    <row r="76" spans="1:26" ht="39" customHeight="1" x14ac:dyDescent="0.25">
      <c r="A76" s="5">
        <v>70</v>
      </c>
      <c r="B76" s="154" t="s">
        <v>2035</v>
      </c>
      <c r="C76" s="67" t="s">
        <v>46</v>
      </c>
      <c r="D76" s="12"/>
      <c r="E76" s="154" t="s">
        <v>1638</v>
      </c>
      <c r="F76" s="155">
        <v>31847</v>
      </c>
      <c r="G76" s="106" t="s">
        <v>2036</v>
      </c>
      <c r="H76" s="68" t="s">
        <v>2037</v>
      </c>
      <c r="I76" s="5" t="s">
        <v>1991</v>
      </c>
      <c r="J76" s="161">
        <v>43525</v>
      </c>
      <c r="K76" s="5">
        <v>0</v>
      </c>
      <c r="L76" s="5">
        <v>0</v>
      </c>
      <c r="M76" s="12" t="s">
        <v>1121</v>
      </c>
      <c r="N76" s="161">
        <v>44470</v>
      </c>
      <c r="O76" s="5" t="s">
        <v>982</v>
      </c>
      <c r="P76" s="9" t="s">
        <v>2038</v>
      </c>
      <c r="Q76" s="160" t="s">
        <v>2039</v>
      </c>
      <c r="R76" s="9"/>
      <c r="S76" s="162"/>
      <c r="T76" s="10">
        <v>2011038703</v>
      </c>
      <c r="U76" s="150">
        <v>55854</v>
      </c>
      <c r="V76" s="11" t="s">
        <v>1474</v>
      </c>
      <c r="W76" s="160" t="s">
        <v>2040</v>
      </c>
      <c r="X76" s="9" t="s">
        <v>1084</v>
      </c>
      <c r="Y76" s="10"/>
      <c r="Z76" s="153"/>
    </row>
    <row r="77" spans="1:26" ht="39" customHeight="1" x14ac:dyDescent="0.25">
      <c r="A77" s="5">
        <v>71</v>
      </c>
      <c r="B77" s="40" t="s">
        <v>2041</v>
      </c>
      <c r="C77" s="39" t="s">
        <v>46</v>
      </c>
      <c r="D77" s="12"/>
      <c r="E77" s="40" t="s">
        <v>2042</v>
      </c>
      <c r="F77" s="170">
        <v>33943</v>
      </c>
      <c r="G77" s="156" t="s">
        <v>2043</v>
      </c>
      <c r="H77" s="68" t="s">
        <v>2044</v>
      </c>
      <c r="I77" s="5" t="s">
        <v>1991</v>
      </c>
      <c r="J77" s="161">
        <v>43525</v>
      </c>
      <c r="K77" s="5">
        <v>0</v>
      </c>
      <c r="L77" s="5">
        <v>0</v>
      </c>
      <c r="M77" s="12" t="s">
        <v>1121</v>
      </c>
      <c r="N77" s="161">
        <v>44256</v>
      </c>
      <c r="O77" s="5" t="s">
        <v>982</v>
      </c>
      <c r="P77" s="9" t="s">
        <v>2045</v>
      </c>
      <c r="Q77" s="160" t="s">
        <v>2046</v>
      </c>
      <c r="R77" s="9"/>
      <c r="S77" s="162"/>
      <c r="T77" s="20" t="s">
        <v>2047</v>
      </c>
      <c r="U77" s="150">
        <v>57711</v>
      </c>
      <c r="V77" s="11" t="s">
        <v>1474</v>
      </c>
      <c r="W77" s="160" t="s">
        <v>2048</v>
      </c>
      <c r="X77" s="9"/>
      <c r="Y77" s="10"/>
      <c r="Z77" s="153"/>
    </row>
    <row r="78" spans="1:26" ht="39" customHeight="1" x14ac:dyDescent="0.25">
      <c r="A78" s="5">
        <v>72</v>
      </c>
      <c r="B78" s="40" t="s">
        <v>2049</v>
      </c>
      <c r="C78" s="39" t="s">
        <v>18</v>
      </c>
      <c r="D78" s="12"/>
      <c r="E78" s="40" t="s">
        <v>1942</v>
      </c>
      <c r="F78" s="170">
        <v>33648</v>
      </c>
      <c r="G78" s="156" t="s">
        <v>2050</v>
      </c>
      <c r="H78" s="68" t="s">
        <v>2051</v>
      </c>
      <c r="I78" s="5" t="s">
        <v>1991</v>
      </c>
      <c r="J78" s="161">
        <v>43525</v>
      </c>
      <c r="K78" s="5">
        <v>0</v>
      </c>
      <c r="L78" s="5">
        <v>0</v>
      </c>
      <c r="M78" s="12" t="s">
        <v>1121</v>
      </c>
      <c r="N78" s="161">
        <v>44256</v>
      </c>
      <c r="O78" s="5" t="s">
        <v>982</v>
      </c>
      <c r="P78" s="9"/>
      <c r="Q78" s="160" t="s">
        <v>2052</v>
      </c>
      <c r="R78" s="9"/>
      <c r="S78" s="162"/>
      <c r="T78" s="20" t="s">
        <v>2053</v>
      </c>
      <c r="U78" s="150">
        <v>57405</v>
      </c>
      <c r="V78" s="11" t="s">
        <v>1474</v>
      </c>
      <c r="W78" s="160" t="s">
        <v>1475</v>
      </c>
      <c r="X78" s="89"/>
      <c r="Y78" s="89"/>
      <c r="Z78" s="89"/>
    </row>
    <row r="79" spans="1:26" ht="39" customHeight="1" x14ac:dyDescent="0.25">
      <c r="A79" s="5">
        <v>73</v>
      </c>
      <c r="B79" s="154" t="s">
        <v>2054</v>
      </c>
      <c r="C79" s="39" t="s">
        <v>46</v>
      </c>
      <c r="D79" s="12"/>
      <c r="E79" s="154" t="s">
        <v>2055</v>
      </c>
      <c r="F79" s="170">
        <v>33655</v>
      </c>
      <c r="G79" s="67" t="s">
        <v>2056</v>
      </c>
      <c r="H79" s="68" t="s">
        <v>2057</v>
      </c>
      <c r="I79" s="5" t="s">
        <v>1991</v>
      </c>
      <c r="J79" s="161">
        <v>43678</v>
      </c>
      <c r="K79" s="5">
        <v>0</v>
      </c>
      <c r="L79" s="5">
        <v>0</v>
      </c>
      <c r="M79" s="12" t="s">
        <v>1121</v>
      </c>
      <c r="N79" s="161">
        <v>44256</v>
      </c>
      <c r="O79" s="5" t="s">
        <v>982</v>
      </c>
      <c r="P79" s="9"/>
      <c r="Q79" s="160" t="s">
        <v>2058</v>
      </c>
      <c r="R79" s="9"/>
      <c r="S79" s="162"/>
      <c r="T79" s="171" t="s">
        <v>2059</v>
      </c>
      <c r="U79" s="150">
        <v>57405</v>
      </c>
      <c r="V79" s="11" t="s">
        <v>1474</v>
      </c>
      <c r="W79" s="160" t="s">
        <v>1475</v>
      </c>
      <c r="X79" s="11" t="s">
        <v>2060</v>
      </c>
      <c r="Y79" s="51">
        <v>45589</v>
      </c>
      <c r="Z79" s="154"/>
    </row>
    <row r="80" spans="1:26" ht="39" customHeight="1" x14ac:dyDescent="0.25">
      <c r="A80" s="5">
        <v>74</v>
      </c>
      <c r="B80" s="40" t="s">
        <v>2061</v>
      </c>
      <c r="C80" s="39" t="s">
        <v>18</v>
      </c>
      <c r="D80" s="12"/>
      <c r="E80" s="40" t="s">
        <v>2062</v>
      </c>
      <c r="F80" s="170">
        <v>33880</v>
      </c>
      <c r="G80" s="67" t="s">
        <v>2063</v>
      </c>
      <c r="H80" s="68" t="s">
        <v>2064</v>
      </c>
      <c r="I80" s="5" t="s">
        <v>1991</v>
      </c>
      <c r="J80" s="161">
        <v>44166</v>
      </c>
      <c r="K80" s="5">
        <v>0</v>
      </c>
      <c r="L80" s="5">
        <v>0</v>
      </c>
      <c r="M80" s="12" t="s">
        <v>1121</v>
      </c>
      <c r="N80" s="161">
        <v>44866</v>
      </c>
      <c r="O80" s="5" t="s">
        <v>982</v>
      </c>
      <c r="P80" s="9"/>
      <c r="Q80" s="160" t="s">
        <v>2065</v>
      </c>
      <c r="R80" s="9"/>
      <c r="S80" s="162"/>
      <c r="T80" s="171" t="s">
        <v>2066</v>
      </c>
      <c r="U80" s="150">
        <v>57650</v>
      </c>
      <c r="V80" s="11" t="s">
        <v>1515</v>
      </c>
      <c r="W80" s="160" t="s">
        <v>2067</v>
      </c>
      <c r="X80" s="9"/>
      <c r="Y80" s="10"/>
      <c r="Z80" s="153"/>
    </row>
    <row r="81" spans="1:26" ht="39" customHeight="1" x14ac:dyDescent="0.25">
      <c r="A81" s="5">
        <v>75</v>
      </c>
      <c r="B81" s="40" t="s">
        <v>2068</v>
      </c>
      <c r="C81" s="39" t="s">
        <v>46</v>
      </c>
      <c r="D81" s="12"/>
      <c r="E81" s="40" t="s">
        <v>1638</v>
      </c>
      <c r="F81" s="170">
        <v>33367</v>
      </c>
      <c r="G81" s="67" t="s">
        <v>2069</v>
      </c>
      <c r="H81" s="68" t="s">
        <v>2070</v>
      </c>
      <c r="I81" s="5" t="s">
        <v>1991</v>
      </c>
      <c r="J81" s="161">
        <v>44166</v>
      </c>
      <c r="K81" s="5">
        <v>0</v>
      </c>
      <c r="L81" s="5">
        <v>0</v>
      </c>
      <c r="M81" s="12" t="s">
        <v>1121</v>
      </c>
      <c r="N81" s="161">
        <v>45017</v>
      </c>
      <c r="O81" s="5" t="s">
        <v>982</v>
      </c>
      <c r="P81" s="9"/>
      <c r="Q81" s="160" t="s">
        <v>2071</v>
      </c>
      <c r="R81" s="9"/>
      <c r="S81" s="162"/>
      <c r="T81" s="171" t="s">
        <v>2072</v>
      </c>
      <c r="U81" s="150">
        <v>57132</v>
      </c>
      <c r="V81" s="11" t="s">
        <v>1452</v>
      </c>
      <c r="W81" s="160" t="s">
        <v>2073</v>
      </c>
      <c r="X81" s="11" t="s">
        <v>2074</v>
      </c>
      <c r="Y81" s="51">
        <v>45589</v>
      </c>
      <c r="Z81" s="153"/>
    </row>
    <row r="82" spans="1:26" ht="39" customHeight="1" x14ac:dyDescent="0.25">
      <c r="A82" s="5">
        <v>76</v>
      </c>
      <c r="B82" s="40" t="s">
        <v>2075</v>
      </c>
      <c r="C82" s="39" t="s">
        <v>46</v>
      </c>
      <c r="D82" s="12"/>
      <c r="E82" s="40" t="s">
        <v>2076</v>
      </c>
      <c r="F82" s="170">
        <v>33642</v>
      </c>
      <c r="G82" s="67" t="s">
        <v>2077</v>
      </c>
      <c r="H82" s="68" t="s">
        <v>2078</v>
      </c>
      <c r="I82" s="5" t="s">
        <v>1991</v>
      </c>
      <c r="J82" s="161">
        <v>44621</v>
      </c>
      <c r="K82" s="5"/>
      <c r="L82" s="5"/>
      <c r="M82" s="12" t="s">
        <v>1121</v>
      </c>
      <c r="N82" s="161">
        <v>45017</v>
      </c>
      <c r="O82" s="5" t="s">
        <v>982</v>
      </c>
      <c r="P82" s="9"/>
      <c r="Q82" s="160" t="s">
        <v>2079</v>
      </c>
      <c r="R82" s="9"/>
      <c r="S82" s="162"/>
      <c r="T82" s="171" t="s">
        <v>2080</v>
      </c>
      <c r="U82" s="150">
        <v>57405</v>
      </c>
      <c r="V82" s="14" t="s">
        <v>1515</v>
      </c>
      <c r="W82" s="160" t="s">
        <v>2081</v>
      </c>
      <c r="X82" s="9"/>
      <c r="Y82" s="10"/>
      <c r="Z82" s="153" t="s">
        <v>1965</v>
      </c>
    </row>
    <row r="83" spans="1:26" ht="39" customHeight="1" x14ac:dyDescent="0.25">
      <c r="A83" s="5">
        <v>77</v>
      </c>
      <c r="B83" s="40" t="s">
        <v>2082</v>
      </c>
      <c r="C83" s="39" t="s">
        <v>46</v>
      </c>
      <c r="D83" s="12"/>
      <c r="E83" s="40" t="s">
        <v>1489</v>
      </c>
      <c r="F83" s="170">
        <v>33292</v>
      </c>
      <c r="G83" s="67" t="s">
        <v>2083</v>
      </c>
      <c r="H83" s="68" t="s">
        <v>2084</v>
      </c>
      <c r="I83" s="5" t="s">
        <v>1991</v>
      </c>
      <c r="J83" s="161">
        <v>44166</v>
      </c>
      <c r="K83" s="5">
        <v>0</v>
      </c>
      <c r="L83" s="5">
        <v>0</v>
      </c>
      <c r="M83" s="12" t="s">
        <v>1121</v>
      </c>
      <c r="N83" s="161">
        <v>44927</v>
      </c>
      <c r="O83" s="5" t="s">
        <v>982</v>
      </c>
      <c r="P83" s="9"/>
      <c r="Q83" s="160" t="s">
        <v>2085</v>
      </c>
      <c r="R83" s="9"/>
      <c r="S83" s="162"/>
      <c r="T83" s="171" t="s">
        <v>2086</v>
      </c>
      <c r="U83" s="150">
        <v>57040</v>
      </c>
      <c r="V83" s="11" t="s">
        <v>1654</v>
      </c>
      <c r="W83" s="160" t="s">
        <v>1655</v>
      </c>
      <c r="X83" s="9"/>
      <c r="Y83" s="10"/>
      <c r="Z83" s="153"/>
    </row>
    <row r="84" spans="1:26" ht="39" customHeight="1" x14ac:dyDescent="0.25">
      <c r="A84" s="5">
        <v>78</v>
      </c>
      <c r="B84" s="40" t="s">
        <v>2087</v>
      </c>
      <c r="C84" s="39" t="s">
        <v>18</v>
      </c>
      <c r="D84" s="12"/>
      <c r="E84" s="40" t="s">
        <v>2088</v>
      </c>
      <c r="F84" s="170">
        <v>32376</v>
      </c>
      <c r="G84" s="67" t="s">
        <v>2089</v>
      </c>
      <c r="H84" s="68" t="s">
        <v>2090</v>
      </c>
      <c r="I84" s="5" t="s">
        <v>1991</v>
      </c>
      <c r="J84" s="161">
        <v>44166</v>
      </c>
      <c r="K84" s="5">
        <v>0</v>
      </c>
      <c r="L84" s="5">
        <v>0</v>
      </c>
      <c r="M84" s="12" t="s">
        <v>1121</v>
      </c>
      <c r="N84" s="161">
        <v>44927</v>
      </c>
      <c r="O84" s="5" t="s">
        <v>982</v>
      </c>
      <c r="P84" s="9"/>
      <c r="Q84" s="160" t="s">
        <v>2071</v>
      </c>
      <c r="R84" s="9"/>
      <c r="S84" s="162"/>
      <c r="T84" s="171" t="s">
        <v>2091</v>
      </c>
      <c r="U84" s="150">
        <v>56128</v>
      </c>
      <c r="V84" s="11" t="s">
        <v>1452</v>
      </c>
      <c r="W84" s="160" t="s">
        <v>2092</v>
      </c>
      <c r="X84" s="11" t="s">
        <v>2093</v>
      </c>
      <c r="Y84" s="51">
        <v>45589</v>
      </c>
      <c r="Z84" s="154"/>
    </row>
    <row r="85" spans="1:26" ht="39" customHeight="1" x14ac:dyDescent="0.25">
      <c r="A85" s="5">
        <v>79</v>
      </c>
      <c r="B85" s="40" t="s">
        <v>2094</v>
      </c>
      <c r="C85" s="39" t="s">
        <v>46</v>
      </c>
      <c r="D85" s="12"/>
      <c r="E85" s="40" t="s">
        <v>1860</v>
      </c>
      <c r="F85" s="170">
        <v>33015</v>
      </c>
      <c r="G85" s="67" t="s">
        <v>2095</v>
      </c>
      <c r="H85" s="68" t="s">
        <v>2096</v>
      </c>
      <c r="I85" s="5" t="s">
        <v>1991</v>
      </c>
      <c r="J85" s="161">
        <v>44621</v>
      </c>
      <c r="K85" s="5"/>
      <c r="L85" s="5"/>
      <c r="M85" s="12" t="s">
        <v>1121</v>
      </c>
      <c r="N85" s="161">
        <v>45047</v>
      </c>
      <c r="O85" s="5" t="s">
        <v>982</v>
      </c>
      <c r="P85" s="9"/>
      <c r="Q85" s="160" t="s">
        <v>2097</v>
      </c>
      <c r="R85" s="9"/>
      <c r="S85" s="162"/>
      <c r="T85" s="171" t="s">
        <v>2098</v>
      </c>
      <c r="U85" s="150">
        <v>56796</v>
      </c>
      <c r="V85" s="11" t="s">
        <v>1452</v>
      </c>
      <c r="W85" s="160" t="s">
        <v>1524</v>
      </c>
      <c r="X85" s="11" t="s">
        <v>2099</v>
      </c>
      <c r="Y85" s="51">
        <v>45632</v>
      </c>
      <c r="Z85" s="172"/>
    </row>
    <row r="86" spans="1:26" ht="39" customHeight="1" x14ac:dyDescent="0.25">
      <c r="A86" s="173" t="s">
        <v>2100</v>
      </c>
      <c r="B86" s="12"/>
      <c r="C86" s="174"/>
      <c r="D86" s="174"/>
      <c r="E86" s="174"/>
      <c r="F86" s="174"/>
      <c r="G86" s="175"/>
      <c r="H86" s="12"/>
      <c r="I86" s="174"/>
      <c r="J86" s="176"/>
      <c r="K86" s="174"/>
      <c r="L86" s="174"/>
      <c r="M86" s="174"/>
      <c r="N86" s="177"/>
      <c r="O86" s="174"/>
      <c r="P86" s="63"/>
      <c r="Q86" s="63"/>
      <c r="R86" s="178"/>
      <c r="S86" s="179"/>
      <c r="T86" s="174"/>
      <c r="U86" s="174"/>
      <c r="V86" s="162"/>
      <c r="W86" s="179"/>
      <c r="X86" s="12"/>
      <c r="Y86" s="12"/>
      <c r="Z86" s="154"/>
    </row>
    <row r="87" spans="1:26" ht="39" customHeight="1" x14ac:dyDescent="0.25">
      <c r="A87" s="5">
        <v>1</v>
      </c>
      <c r="B87" s="14" t="s">
        <v>2101</v>
      </c>
      <c r="C87" s="5" t="s">
        <v>46</v>
      </c>
      <c r="D87" s="5" t="s">
        <v>2102</v>
      </c>
      <c r="E87" s="14" t="s">
        <v>2103</v>
      </c>
      <c r="F87" s="161">
        <v>26195</v>
      </c>
      <c r="G87" s="151" t="s">
        <v>2104</v>
      </c>
      <c r="H87" s="68" t="s">
        <v>2105</v>
      </c>
      <c r="I87" s="5" t="s">
        <v>1469</v>
      </c>
      <c r="J87" s="150">
        <v>44105</v>
      </c>
      <c r="K87" s="5">
        <v>24</v>
      </c>
      <c r="L87" s="5">
        <v>7</v>
      </c>
      <c r="M87" s="12" t="s">
        <v>1424</v>
      </c>
      <c r="N87" s="150">
        <v>43922</v>
      </c>
      <c r="O87" s="5" t="s">
        <v>1028</v>
      </c>
      <c r="P87" s="157" t="s">
        <v>2106</v>
      </c>
      <c r="Q87" s="157" t="s">
        <v>2107</v>
      </c>
      <c r="R87" s="9" t="s">
        <v>2108</v>
      </c>
      <c r="S87" s="162">
        <v>132100511943</v>
      </c>
      <c r="T87" s="20">
        <v>2010097101</v>
      </c>
      <c r="U87" s="150">
        <v>51775</v>
      </c>
      <c r="V87" s="14" t="s">
        <v>2109</v>
      </c>
      <c r="W87" s="14" t="s">
        <v>2110</v>
      </c>
      <c r="X87" s="9" t="s">
        <v>1084</v>
      </c>
      <c r="Y87" s="51" t="s">
        <v>1084</v>
      </c>
      <c r="Z87" s="40" t="s">
        <v>2111</v>
      </c>
    </row>
    <row r="88" spans="1:26" ht="39" customHeight="1" x14ac:dyDescent="0.25">
      <c r="A88" s="5">
        <v>2</v>
      </c>
      <c r="B88" s="14" t="s">
        <v>2112</v>
      </c>
      <c r="C88" s="5" t="s">
        <v>46</v>
      </c>
      <c r="D88" s="5" t="s">
        <v>2113</v>
      </c>
      <c r="E88" s="14" t="s">
        <v>2114</v>
      </c>
      <c r="F88" s="161">
        <v>26211</v>
      </c>
      <c r="G88" s="151" t="s">
        <v>2115</v>
      </c>
      <c r="H88" s="68" t="s">
        <v>2116</v>
      </c>
      <c r="I88" s="5" t="s">
        <v>1447</v>
      </c>
      <c r="J88" s="150">
        <v>45383</v>
      </c>
      <c r="K88" s="5">
        <v>28</v>
      </c>
      <c r="L88" s="5">
        <v>1</v>
      </c>
      <c r="M88" s="12" t="s">
        <v>1424</v>
      </c>
      <c r="N88" s="150">
        <v>44409</v>
      </c>
      <c r="O88" s="5" t="s">
        <v>1028</v>
      </c>
      <c r="P88" s="157" t="s">
        <v>2117</v>
      </c>
      <c r="Q88" s="157" t="s">
        <v>2118</v>
      </c>
      <c r="R88" s="9" t="s">
        <v>2119</v>
      </c>
      <c r="S88" s="14" t="s">
        <v>2120</v>
      </c>
      <c r="T88" s="20">
        <v>2005107103</v>
      </c>
      <c r="U88" s="150">
        <v>51806</v>
      </c>
      <c r="V88" s="14" t="s">
        <v>2121</v>
      </c>
      <c r="W88" s="14" t="s">
        <v>2122</v>
      </c>
      <c r="X88" s="89"/>
      <c r="Y88" s="89"/>
      <c r="Z88" s="89"/>
    </row>
    <row r="89" spans="1:26" ht="39" customHeight="1" x14ac:dyDescent="0.25">
      <c r="A89" s="5">
        <v>3</v>
      </c>
      <c r="B89" s="14" t="s">
        <v>2123</v>
      </c>
      <c r="C89" s="5" t="s">
        <v>18</v>
      </c>
      <c r="D89" s="5" t="s">
        <v>2124</v>
      </c>
      <c r="E89" s="14" t="s">
        <v>2125</v>
      </c>
      <c r="F89" s="161">
        <v>27062</v>
      </c>
      <c r="G89" s="151" t="s">
        <v>2126</v>
      </c>
      <c r="H89" s="68" t="s">
        <v>2127</v>
      </c>
      <c r="I89" s="5" t="s">
        <v>1558</v>
      </c>
      <c r="J89" s="150">
        <v>44652</v>
      </c>
      <c r="K89" s="5">
        <v>20</v>
      </c>
      <c r="L89" s="5">
        <v>4</v>
      </c>
      <c r="M89" s="12" t="s">
        <v>1424</v>
      </c>
      <c r="N89" s="150">
        <v>44927</v>
      </c>
      <c r="O89" s="5" t="s">
        <v>1028</v>
      </c>
      <c r="P89" s="157" t="s">
        <v>2128</v>
      </c>
      <c r="Q89" s="157" t="s">
        <v>2129</v>
      </c>
      <c r="R89" s="9" t="s">
        <v>2130</v>
      </c>
      <c r="S89" s="162">
        <v>102100504643</v>
      </c>
      <c r="T89" s="20">
        <v>2002027401</v>
      </c>
      <c r="U89" s="150">
        <v>52657</v>
      </c>
      <c r="V89" s="14" t="s">
        <v>2131</v>
      </c>
      <c r="W89" s="14" t="s">
        <v>2132</v>
      </c>
      <c r="X89" s="9" t="s">
        <v>2133</v>
      </c>
      <c r="Y89" s="51">
        <v>45553</v>
      </c>
      <c r="Z89" s="172"/>
    </row>
    <row r="90" spans="1:26" ht="39" customHeight="1" x14ac:dyDescent="0.25">
      <c r="A90" s="5">
        <v>4</v>
      </c>
      <c r="B90" s="12" t="s">
        <v>2134</v>
      </c>
      <c r="C90" s="5" t="s">
        <v>18</v>
      </c>
      <c r="D90" s="5" t="s">
        <v>2135</v>
      </c>
      <c r="E90" s="14" t="s">
        <v>1776</v>
      </c>
      <c r="F90" s="161">
        <v>22164</v>
      </c>
      <c r="G90" s="151" t="s">
        <v>2136</v>
      </c>
      <c r="H90" s="68" t="s">
        <v>2137</v>
      </c>
      <c r="I90" s="5" t="s">
        <v>1469</v>
      </c>
      <c r="J90" s="150">
        <v>42278</v>
      </c>
      <c r="K90" s="5">
        <v>29</v>
      </c>
      <c r="L90" s="5">
        <v>7</v>
      </c>
      <c r="M90" s="12" t="s">
        <v>1501</v>
      </c>
      <c r="N90" s="150">
        <v>36982</v>
      </c>
      <c r="O90" s="5" t="s">
        <v>1028</v>
      </c>
      <c r="P90" s="157" t="s">
        <v>2138</v>
      </c>
      <c r="Q90" s="157" t="s">
        <v>2139</v>
      </c>
      <c r="R90" s="152" t="s">
        <v>2140</v>
      </c>
      <c r="S90" s="14" t="s">
        <v>2141</v>
      </c>
      <c r="T90" s="20">
        <v>2005096001</v>
      </c>
      <c r="U90" s="150">
        <v>45931</v>
      </c>
      <c r="V90" s="14" t="s">
        <v>2109</v>
      </c>
      <c r="W90" s="14" t="s">
        <v>1841</v>
      </c>
      <c r="X90" s="12"/>
      <c r="Y90" s="12"/>
      <c r="Z90" s="154"/>
    </row>
    <row r="91" spans="1:26" ht="39" customHeight="1" x14ac:dyDescent="0.25">
      <c r="A91" s="5">
        <v>5</v>
      </c>
      <c r="B91" s="14" t="s">
        <v>2142</v>
      </c>
      <c r="C91" s="5" t="s">
        <v>46</v>
      </c>
      <c r="D91" s="5" t="s">
        <v>2143</v>
      </c>
      <c r="E91" s="14" t="s">
        <v>2144</v>
      </c>
      <c r="F91" s="161">
        <v>21985</v>
      </c>
      <c r="G91" s="151" t="s">
        <v>2145</v>
      </c>
      <c r="H91" s="68" t="s">
        <v>2146</v>
      </c>
      <c r="I91" s="5" t="s">
        <v>1469</v>
      </c>
      <c r="J91" s="150">
        <v>42826</v>
      </c>
      <c r="K91" s="5">
        <v>30</v>
      </c>
      <c r="L91" s="5">
        <v>1</v>
      </c>
      <c r="M91" s="12" t="s">
        <v>1424</v>
      </c>
      <c r="N91" s="150">
        <v>45200</v>
      </c>
      <c r="O91" s="5" t="s">
        <v>1028</v>
      </c>
      <c r="P91" s="157" t="s">
        <v>2147</v>
      </c>
      <c r="Q91" s="157" t="s">
        <v>2148</v>
      </c>
      <c r="R91" s="9" t="s">
        <v>2149</v>
      </c>
      <c r="S91" s="14" t="s">
        <v>2150</v>
      </c>
      <c r="T91" s="20">
        <v>2010036001</v>
      </c>
      <c r="U91" s="150">
        <v>45748</v>
      </c>
      <c r="V91" s="14" t="s">
        <v>2121</v>
      </c>
      <c r="W91" s="14" t="s">
        <v>2151</v>
      </c>
      <c r="X91" s="12"/>
      <c r="Y91" s="12"/>
      <c r="Z91" s="154"/>
    </row>
    <row r="92" spans="1:26" ht="39" customHeight="1" x14ac:dyDescent="0.25">
      <c r="A92" s="5">
        <v>6</v>
      </c>
      <c r="B92" s="14" t="s">
        <v>2152</v>
      </c>
      <c r="C92" s="5" t="s">
        <v>18</v>
      </c>
      <c r="D92" s="5" t="s">
        <v>2153</v>
      </c>
      <c r="E92" s="14" t="s">
        <v>2154</v>
      </c>
      <c r="F92" s="161">
        <v>24450</v>
      </c>
      <c r="G92" s="151" t="s">
        <v>2155</v>
      </c>
      <c r="H92" s="68" t="s">
        <v>2156</v>
      </c>
      <c r="I92" s="5" t="s">
        <v>1469</v>
      </c>
      <c r="J92" s="150">
        <v>41183</v>
      </c>
      <c r="K92" s="5">
        <v>18</v>
      </c>
      <c r="L92" s="5">
        <v>7</v>
      </c>
      <c r="M92" s="12" t="s">
        <v>1501</v>
      </c>
      <c r="N92" s="150">
        <v>38443</v>
      </c>
      <c r="O92" s="5" t="s">
        <v>1028</v>
      </c>
      <c r="P92" s="157" t="s">
        <v>2157</v>
      </c>
      <c r="Q92" s="157" t="s">
        <v>2158</v>
      </c>
      <c r="R92" s="9" t="s">
        <v>2159</v>
      </c>
      <c r="S92" s="14" t="s">
        <v>2160</v>
      </c>
      <c r="T92" s="20">
        <v>2009126601</v>
      </c>
      <c r="U92" s="150">
        <v>48214</v>
      </c>
      <c r="V92" s="14" t="s">
        <v>2109</v>
      </c>
      <c r="W92" s="14" t="s">
        <v>2161</v>
      </c>
      <c r="X92" s="89"/>
      <c r="Y92" s="89"/>
      <c r="Z92" s="89"/>
    </row>
    <row r="93" spans="1:26" ht="39" customHeight="1" x14ac:dyDescent="0.25">
      <c r="A93" s="5">
        <v>7</v>
      </c>
      <c r="B93" s="14" t="s">
        <v>2162</v>
      </c>
      <c r="C93" s="5" t="s">
        <v>18</v>
      </c>
      <c r="D93" s="5" t="s">
        <v>2163</v>
      </c>
      <c r="E93" s="14" t="s">
        <v>1456</v>
      </c>
      <c r="F93" s="161">
        <v>24751</v>
      </c>
      <c r="G93" s="151" t="s">
        <v>2164</v>
      </c>
      <c r="H93" s="68" t="s">
        <v>2165</v>
      </c>
      <c r="I93" s="5" t="s">
        <v>1469</v>
      </c>
      <c r="J93" s="150">
        <v>45566</v>
      </c>
      <c r="K93" s="5">
        <v>30</v>
      </c>
      <c r="L93" s="5">
        <v>7</v>
      </c>
      <c r="M93" s="12" t="s">
        <v>1501</v>
      </c>
      <c r="N93" s="150">
        <v>38991</v>
      </c>
      <c r="O93" s="5" t="s">
        <v>982</v>
      </c>
      <c r="P93" s="157" t="s">
        <v>2166</v>
      </c>
      <c r="Q93" s="157" t="s">
        <v>2167</v>
      </c>
      <c r="R93" s="9"/>
      <c r="S93" s="14" t="s">
        <v>2168</v>
      </c>
      <c r="T93" s="20">
        <v>2006106702</v>
      </c>
      <c r="U93" s="150">
        <v>48519</v>
      </c>
      <c r="V93" s="14" t="s">
        <v>2169</v>
      </c>
      <c r="W93" s="14" t="s">
        <v>2170</v>
      </c>
      <c r="X93" s="11" t="s">
        <v>2171</v>
      </c>
      <c r="Y93" s="51">
        <v>45614</v>
      </c>
      <c r="Z93" s="172"/>
    </row>
    <row r="94" spans="1:26" ht="39" customHeight="1" x14ac:dyDescent="0.25">
      <c r="A94" s="5">
        <v>8</v>
      </c>
      <c r="B94" s="14" t="s">
        <v>2172</v>
      </c>
      <c r="C94" s="5" t="s">
        <v>18</v>
      </c>
      <c r="D94" s="5" t="s">
        <v>2173</v>
      </c>
      <c r="E94" s="14" t="s">
        <v>2174</v>
      </c>
      <c r="F94" s="161">
        <v>22381</v>
      </c>
      <c r="G94" s="151" t="s">
        <v>2175</v>
      </c>
      <c r="H94" s="68" t="s">
        <v>2176</v>
      </c>
      <c r="I94" s="5" t="s">
        <v>1699</v>
      </c>
      <c r="J94" s="150">
        <v>39539</v>
      </c>
      <c r="K94" s="5">
        <v>18</v>
      </c>
      <c r="L94" s="5">
        <v>3</v>
      </c>
      <c r="M94" s="12" t="s">
        <v>1501</v>
      </c>
      <c r="N94" s="150">
        <v>39417</v>
      </c>
      <c r="O94" s="5" t="s">
        <v>982</v>
      </c>
      <c r="P94" s="157" t="s">
        <v>2177</v>
      </c>
      <c r="Q94" s="157" t="s">
        <v>2178</v>
      </c>
      <c r="R94" s="9" t="s">
        <v>1084</v>
      </c>
      <c r="S94" s="14" t="s">
        <v>2179</v>
      </c>
      <c r="T94" s="20">
        <v>2010046101</v>
      </c>
      <c r="U94" s="150">
        <v>46143</v>
      </c>
      <c r="V94" s="14" t="s">
        <v>2180</v>
      </c>
      <c r="W94" s="14" t="s">
        <v>2181</v>
      </c>
      <c r="X94" s="11"/>
      <c r="Y94" s="5"/>
      <c r="Z94" s="172"/>
    </row>
    <row r="95" spans="1:26" ht="39" customHeight="1" x14ac:dyDescent="0.25">
      <c r="A95" s="5">
        <v>9</v>
      </c>
      <c r="B95" s="14" t="s">
        <v>2182</v>
      </c>
      <c r="C95" s="5" t="s">
        <v>18</v>
      </c>
      <c r="D95" s="5" t="s">
        <v>2183</v>
      </c>
      <c r="E95" s="14" t="s">
        <v>2184</v>
      </c>
      <c r="F95" s="161">
        <v>24959</v>
      </c>
      <c r="G95" s="151" t="s">
        <v>2185</v>
      </c>
      <c r="H95" s="68" t="s">
        <v>2186</v>
      </c>
      <c r="I95" s="10" t="s">
        <v>1558</v>
      </c>
      <c r="J95" s="150">
        <v>45383</v>
      </c>
      <c r="K95" s="5">
        <v>30</v>
      </c>
      <c r="L95" s="5">
        <v>7</v>
      </c>
      <c r="M95" s="12" t="s">
        <v>1501</v>
      </c>
      <c r="N95" s="150">
        <v>39448</v>
      </c>
      <c r="O95" s="5" t="s">
        <v>982</v>
      </c>
      <c r="P95" s="157" t="s">
        <v>2187</v>
      </c>
      <c r="Q95" s="157" t="s">
        <v>1840</v>
      </c>
      <c r="R95" s="9"/>
      <c r="S95" s="14" t="s">
        <v>2188</v>
      </c>
      <c r="T95" s="20">
        <v>2001056801</v>
      </c>
      <c r="U95" s="150">
        <v>48731</v>
      </c>
      <c r="V95" s="14" t="s">
        <v>2169</v>
      </c>
      <c r="W95" s="14" t="s">
        <v>2189</v>
      </c>
      <c r="X95" s="11"/>
      <c r="Y95" s="5"/>
      <c r="Z95" s="172"/>
    </row>
    <row r="96" spans="1:26" ht="39" customHeight="1" x14ac:dyDescent="0.25">
      <c r="A96" s="5">
        <v>10</v>
      </c>
      <c r="B96" s="14" t="s">
        <v>2190</v>
      </c>
      <c r="C96" s="5" t="s">
        <v>46</v>
      </c>
      <c r="D96" s="5" t="s">
        <v>2191</v>
      </c>
      <c r="E96" s="14" t="s">
        <v>1659</v>
      </c>
      <c r="F96" s="161">
        <v>26079</v>
      </c>
      <c r="G96" s="151" t="s">
        <v>2192</v>
      </c>
      <c r="H96" s="68" t="s">
        <v>2193</v>
      </c>
      <c r="I96" s="10" t="s">
        <v>1469</v>
      </c>
      <c r="J96" s="161">
        <v>45383</v>
      </c>
      <c r="K96" s="5">
        <v>27</v>
      </c>
      <c r="L96" s="5">
        <v>1</v>
      </c>
      <c r="M96" s="12" t="s">
        <v>1501</v>
      </c>
      <c r="N96" s="150">
        <v>39630</v>
      </c>
      <c r="O96" s="5" t="s">
        <v>1028</v>
      </c>
      <c r="P96" s="157" t="s">
        <v>2194</v>
      </c>
      <c r="Q96" s="157" t="s">
        <v>1757</v>
      </c>
      <c r="R96" s="152" t="s">
        <v>2195</v>
      </c>
      <c r="S96" s="14" t="s">
        <v>2196</v>
      </c>
      <c r="T96" s="20">
        <v>2026057101</v>
      </c>
      <c r="U96" s="150">
        <v>49827</v>
      </c>
      <c r="V96" s="14" t="s">
        <v>2197</v>
      </c>
      <c r="W96" s="14" t="s">
        <v>2198</v>
      </c>
      <c r="X96" s="11" t="s">
        <v>2199</v>
      </c>
      <c r="Y96" s="51">
        <v>45586</v>
      </c>
      <c r="Z96" s="172"/>
    </row>
    <row r="97" spans="1:26" ht="39" customHeight="1" x14ac:dyDescent="0.25">
      <c r="A97" s="5">
        <v>11</v>
      </c>
      <c r="B97" s="12" t="s">
        <v>2200</v>
      </c>
      <c r="C97" s="5" t="s">
        <v>18</v>
      </c>
      <c r="D97" s="5" t="s">
        <v>2201</v>
      </c>
      <c r="E97" s="14" t="s">
        <v>2202</v>
      </c>
      <c r="F97" s="161">
        <v>26036</v>
      </c>
      <c r="G97" s="151" t="s">
        <v>2203</v>
      </c>
      <c r="H97" s="68" t="s">
        <v>2204</v>
      </c>
      <c r="I97" s="5" t="s">
        <v>1558</v>
      </c>
      <c r="J97" s="150">
        <v>45383</v>
      </c>
      <c r="K97" s="5">
        <v>26</v>
      </c>
      <c r="L97" s="5">
        <v>1</v>
      </c>
      <c r="M97" s="12" t="s">
        <v>1501</v>
      </c>
      <c r="N97" s="150">
        <v>39722</v>
      </c>
      <c r="O97" s="5" t="s">
        <v>1028</v>
      </c>
      <c r="P97" s="157" t="s">
        <v>2205</v>
      </c>
      <c r="Q97" s="157" t="s">
        <v>2206</v>
      </c>
      <c r="R97" s="152" t="s">
        <v>2207</v>
      </c>
      <c r="S97" s="162">
        <v>102100504667</v>
      </c>
      <c r="T97" s="20">
        <v>2013047102</v>
      </c>
      <c r="U97" s="150">
        <v>49796</v>
      </c>
      <c r="V97" s="14" t="s">
        <v>2121</v>
      </c>
      <c r="W97" s="14" t="s">
        <v>2208</v>
      </c>
      <c r="X97" s="9" t="s">
        <v>2209</v>
      </c>
      <c r="Y97" s="51">
        <v>45579</v>
      </c>
      <c r="Z97" s="172"/>
    </row>
    <row r="98" spans="1:26" ht="39" customHeight="1" x14ac:dyDescent="0.25">
      <c r="A98" s="5">
        <v>12</v>
      </c>
      <c r="B98" s="14" t="s">
        <v>2210</v>
      </c>
      <c r="C98" s="5" t="s">
        <v>18</v>
      </c>
      <c r="D98" s="5" t="s">
        <v>2211</v>
      </c>
      <c r="E98" s="14" t="s">
        <v>2103</v>
      </c>
      <c r="F98" s="161">
        <v>25819</v>
      </c>
      <c r="G98" s="151" t="s">
        <v>2212</v>
      </c>
      <c r="H98" s="68" t="s">
        <v>2213</v>
      </c>
      <c r="I98" s="5" t="s">
        <v>1469</v>
      </c>
      <c r="J98" s="150">
        <v>45505</v>
      </c>
      <c r="K98" s="5">
        <v>24</v>
      </c>
      <c r="L98" s="5">
        <v>5</v>
      </c>
      <c r="M98" s="12" t="s">
        <v>1501</v>
      </c>
      <c r="N98" s="150">
        <v>40299</v>
      </c>
      <c r="O98" s="5" t="s">
        <v>1028</v>
      </c>
      <c r="P98" s="157" t="s">
        <v>2214</v>
      </c>
      <c r="Q98" s="9" t="s">
        <v>2215</v>
      </c>
      <c r="R98" s="9" t="s">
        <v>2216</v>
      </c>
      <c r="S98" s="14" t="s">
        <v>2217</v>
      </c>
      <c r="T98" s="20">
        <v>2008097002</v>
      </c>
      <c r="U98" s="150">
        <v>49583</v>
      </c>
      <c r="V98" s="14" t="s">
        <v>2218</v>
      </c>
      <c r="W98" s="14" t="s">
        <v>2219</v>
      </c>
      <c r="X98" s="11"/>
      <c r="Y98" s="5"/>
      <c r="Z98" s="172"/>
    </row>
    <row r="99" spans="1:26" ht="39" customHeight="1" x14ac:dyDescent="0.25">
      <c r="A99" s="5">
        <v>13</v>
      </c>
      <c r="B99" s="12" t="s">
        <v>2220</v>
      </c>
      <c r="C99" s="5" t="s">
        <v>18</v>
      </c>
      <c r="D99" s="5" t="s">
        <v>2221</v>
      </c>
      <c r="E99" s="14" t="s">
        <v>1887</v>
      </c>
      <c r="F99" s="161">
        <v>26573</v>
      </c>
      <c r="G99" s="151" t="s">
        <v>2222</v>
      </c>
      <c r="H99" s="68" t="s">
        <v>2223</v>
      </c>
      <c r="I99" s="5" t="s">
        <v>1558</v>
      </c>
      <c r="J99" s="150">
        <v>45383</v>
      </c>
      <c r="K99" s="5">
        <v>24</v>
      </c>
      <c r="L99" s="5">
        <v>1</v>
      </c>
      <c r="M99" s="12" t="s">
        <v>1501</v>
      </c>
      <c r="N99" s="150">
        <v>40422</v>
      </c>
      <c r="O99" s="5" t="s">
        <v>982</v>
      </c>
      <c r="P99" s="157" t="s">
        <v>1847</v>
      </c>
      <c r="Q99" s="157" t="s">
        <v>2118</v>
      </c>
      <c r="R99" s="9"/>
      <c r="S99" s="162">
        <v>102100504714</v>
      </c>
      <c r="T99" s="20">
        <v>2001017203</v>
      </c>
      <c r="U99" s="150">
        <v>50345</v>
      </c>
      <c r="V99" s="11" t="s">
        <v>1108</v>
      </c>
      <c r="W99" s="14" t="s">
        <v>2224</v>
      </c>
      <c r="X99" s="11"/>
      <c r="Y99" s="51"/>
      <c r="Z99" s="172"/>
    </row>
    <row r="100" spans="1:26" ht="39" customHeight="1" x14ac:dyDescent="0.25">
      <c r="A100" s="5">
        <v>14</v>
      </c>
      <c r="B100" s="12" t="s">
        <v>2225</v>
      </c>
      <c r="C100" s="5" t="s">
        <v>46</v>
      </c>
      <c r="D100" s="5" t="s">
        <v>2226</v>
      </c>
      <c r="E100" s="14" t="s">
        <v>1934</v>
      </c>
      <c r="F100" s="161">
        <v>28252</v>
      </c>
      <c r="G100" s="151" t="s">
        <v>2227</v>
      </c>
      <c r="H100" s="68" t="s">
        <v>2228</v>
      </c>
      <c r="I100" s="5" t="s">
        <v>1469</v>
      </c>
      <c r="J100" s="150">
        <v>43556</v>
      </c>
      <c r="K100" s="5">
        <v>19</v>
      </c>
      <c r="L100" s="5">
        <v>6</v>
      </c>
      <c r="M100" s="12" t="s">
        <v>1501</v>
      </c>
      <c r="N100" s="150">
        <v>40422</v>
      </c>
      <c r="O100" s="5" t="s">
        <v>1028</v>
      </c>
      <c r="P100" s="157" t="s">
        <v>2229</v>
      </c>
      <c r="Q100" s="157" t="s">
        <v>2230</v>
      </c>
      <c r="R100" s="9" t="s">
        <v>2231</v>
      </c>
      <c r="S100" s="180" t="s">
        <v>2232</v>
      </c>
      <c r="T100" s="20" t="s">
        <v>2233</v>
      </c>
      <c r="U100" s="150">
        <v>52018</v>
      </c>
      <c r="V100" s="11" t="s">
        <v>2218</v>
      </c>
      <c r="W100" s="14"/>
      <c r="X100" s="11" t="s">
        <v>2234</v>
      </c>
      <c r="Y100" s="51">
        <v>45579</v>
      </c>
      <c r="Z100" s="154"/>
    </row>
    <row r="101" spans="1:26" ht="39" customHeight="1" x14ac:dyDescent="0.25">
      <c r="A101" s="5">
        <v>15</v>
      </c>
      <c r="B101" s="12" t="s">
        <v>2235</v>
      </c>
      <c r="C101" s="5" t="s">
        <v>18</v>
      </c>
      <c r="D101" s="5" t="s">
        <v>2236</v>
      </c>
      <c r="E101" s="14" t="s">
        <v>1844</v>
      </c>
      <c r="F101" s="161">
        <v>24346</v>
      </c>
      <c r="G101" s="151" t="s">
        <v>2237</v>
      </c>
      <c r="H101" s="68" t="s">
        <v>1632</v>
      </c>
      <c r="I101" s="5" t="s">
        <v>1469</v>
      </c>
      <c r="J101" s="150">
        <v>45566</v>
      </c>
      <c r="K101" s="5">
        <v>25</v>
      </c>
      <c r="L101" s="5">
        <v>7</v>
      </c>
      <c r="M101" s="12" t="s">
        <v>1501</v>
      </c>
      <c r="N101" s="150">
        <v>40299</v>
      </c>
      <c r="O101" s="5" t="s">
        <v>1028</v>
      </c>
      <c r="P101" s="157" t="s">
        <v>2238</v>
      </c>
      <c r="Q101" s="157" t="s">
        <v>2239</v>
      </c>
      <c r="R101" s="9" t="s">
        <v>2240</v>
      </c>
      <c r="S101" s="14" t="s">
        <v>2241</v>
      </c>
      <c r="T101" s="20">
        <v>2027086601</v>
      </c>
      <c r="U101" s="150">
        <v>48092</v>
      </c>
      <c r="V101" s="11" t="s">
        <v>2131</v>
      </c>
      <c r="W101" s="14" t="s">
        <v>2242</v>
      </c>
      <c r="X101" s="11"/>
      <c r="Y101" s="5"/>
      <c r="Z101" s="172"/>
    </row>
    <row r="102" spans="1:26" ht="39" customHeight="1" x14ac:dyDescent="0.25">
      <c r="A102" s="5">
        <v>16</v>
      </c>
      <c r="B102" s="14" t="s">
        <v>2243</v>
      </c>
      <c r="C102" s="5" t="s">
        <v>18</v>
      </c>
      <c r="D102" s="5" t="s">
        <v>2244</v>
      </c>
      <c r="E102" s="14" t="s">
        <v>2184</v>
      </c>
      <c r="F102" s="161">
        <v>23052</v>
      </c>
      <c r="G102" s="151" t="s">
        <v>2245</v>
      </c>
      <c r="H102" s="68" t="s">
        <v>2246</v>
      </c>
      <c r="I102" s="5" t="s">
        <v>1558</v>
      </c>
      <c r="J102" s="150">
        <v>45444</v>
      </c>
      <c r="K102" s="5">
        <v>33</v>
      </c>
      <c r="L102" s="5">
        <v>3</v>
      </c>
      <c r="M102" s="12" t="s">
        <v>1501</v>
      </c>
      <c r="N102" s="150">
        <v>40817</v>
      </c>
      <c r="O102" s="5" t="s">
        <v>982</v>
      </c>
      <c r="P102" s="157" t="s">
        <v>2247</v>
      </c>
      <c r="Q102" s="157" t="s">
        <v>2178</v>
      </c>
      <c r="R102" s="9"/>
      <c r="S102" s="14" t="s">
        <v>2248</v>
      </c>
      <c r="T102" s="20">
        <v>2010026301</v>
      </c>
      <c r="U102" s="150">
        <v>46813</v>
      </c>
      <c r="V102" s="11" t="s">
        <v>2218</v>
      </c>
      <c r="W102" s="14" t="s">
        <v>1743</v>
      </c>
      <c r="X102" s="12"/>
      <c r="Y102" s="12"/>
      <c r="Z102" s="154"/>
    </row>
    <row r="103" spans="1:26" ht="39" customHeight="1" x14ac:dyDescent="0.25">
      <c r="A103" s="5">
        <v>17</v>
      </c>
      <c r="B103" s="14" t="s">
        <v>2249</v>
      </c>
      <c r="C103" s="5" t="s">
        <v>18</v>
      </c>
      <c r="D103" s="10" t="s">
        <v>2250</v>
      </c>
      <c r="E103" s="14" t="s">
        <v>1844</v>
      </c>
      <c r="F103" s="150">
        <v>24999</v>
      </c>
      <c r="G103" s="151" t="s">
        <v>2251</v>
      </c>
      <c r="H103" s="68" t="s">
        <v>2252</v>
      </c>
      <c r="I103" s="5" t="s">
        <v>1469</v>
      </c>
      <c r="J103" s="150">
        <v>45505</v>
      </c>
      <c r="K103" s="5">
        <v>32</v>
      </c>
      <c r="L103" s="5">
        <v>5</v>
      </c>
      <c r="M103" s="12" t="s">
        <v>1501</v>
      </c>
      <c r="N103" s="150">
        <v>41334</v>
      </c>
      <c r="O103" s="5" t="s">
        <v>1028</v>
      </c>
      <c r="P103" s="157" t="s">
        <v>2253</v>
      </c>
      <c r="Q103" s="157" t="s">
        <v>2254</v>
      </c>
      <c r="R103" s="157" t="s">
        <v>2255</v>
      </c>
      <c r="S103" s="162">
        <v>102100504678</v>
      </c>
      <c r="T103" s="20">
        <v>2010066802</v>
      </c>
      <c r="U103" s="150">
        <v>48761</v>
      </c>
      <c r="V103" s="11" t="s">
        <v>2131</v>
      </c>
      <c r="W103" s="11" t="s">
        <v>2256</v>
      </c>
      <c r="X103" s="11"/>
      <c r="Y103" s="5"/>
      <c r="Z103" s="154"/>
    </row>
    <row r="104" spans="1:26" ht="39" customHeight="1" x14ac:dyDescent="0.25">
      <c r="A104" s="5">
        <v>18</v>
      </c>
      <c r="B104" s="14" t="s">
        <v>2257</v>
      </c>
      <c r="C104" s="5" t="s">
        <v>46</v>
      </c>
      <c r="D104" s="5" t="s">
        <v>2258</v>
      </c>
      <c r="E104" s="14" t="s">
        <v>1489</v>
      </c>
      <c r="F104" s="161">
        <v>23459</v>
      </c>
      <c r="G104" s="151" t="s">
        <v>2259</v>
      </c>
      <c r="H104" s="68" t="s">
        <v>2260</v>
      </c>
      <c r="I104" s="5" t="s">
        <v>1738</v>
      </c>
      <c r="J104" s="150">
        <v>42826</v>
      </c>
      <c r="K104" s="5">
        <v>22</v>
      </c>
      <c r="L104" s="5">
        <v>1</v>
      </c>
      <c r="M104" s="12" t="s">
        <v>1424</v>
      </c>
      <c r="N104" s="150">
        <v>45170</v>
      </c>
      <c r="O104" s="5" t="s">
        <v>1028</v>
      </c>
      <c r="P104" s="157" t="s">
        <v>2261</v>
      </c>
      <c r="Q104" s="157" t="s">
        <v>2262</v>
      </c>
      <c r="R104" s="157" t="s">
        <v>2263</v>
      </c>
      <c r="S104" s="162">
        <v>102100504748</v>
      </c>
      <c r="T104" s="20">
        <v>2023036401</v>
      </c>
      <c r="U104" s="150">
        <v>47209</v>
      </c>
      <c r="V104" s="14" t="s">
        <v>2197</v>
      </c>
      <c r="W104" s="11" t="s">
        <v>2264</v>
      </c>
      <c r="X104" s="11"/>
      <c r="Y104" s="5"/>
      <c r="Z104" s="172"/>
    </row>
    <row r="105" spans="1:26" ht="39" customHeight="1" x14ac:dyDescent="0.25">
      <c r="A105" s="5">
        <v>19</v>
      </c>
      <c r="B105" s="12" t="s">
        <v>2265</v>
      </c>
      <c r="C105" s="5" t="s">
        <v>18</v>
      </c>
      <c r="D105" s="5" t="s">
        <v>2266</v>
      </c>
      <c r="E105" s="14" t="s">
        <v>1648</v>
      </c>
      <c r="F105" s="150">
        <v>29704</v>
      </c>
      <c r="G105" s="151" t="s">
        <v>2267</v>
      </c>
      <c r="H105" s="68" t="s">
        <v>2268</v>
      </c>
      <c r="I105" s="5" t="s">
        <v>1469</v>
      </c>
      <c r="J105" s="150">
        <v>44835</v>
      </c>
      <c r="K105" s="5">
        <v>18</v>
      </c>
      <c r="L105" s="5">
        <v>10</v>
      </c>
      <c r="M105" s="12" t="s">
        <v>1501</v>
      </c>
      <c r="N105" s="150">
        <v>41913</v>
      </c>
      <c r="O105" s="5" t="s">
        <v>1028</v>
      </c>
      <c r="P105" s="157" t="s">
        <v>2269</v>
      </c>
      <c r="Q105" s="157" t="s">
        <v>2270</v>
      </c>
      <c r="R105" s="9" t="s">
        <v>2271</v>
      </c>
      <c r="S105" s="162">
        <v>102100504728</v>
      </c>
      <c r="T105" s="20">
        <v>2028048101</v>
      </c>
      <c r="U105" s="150">
        <v>53448</v>
      </c>
      <c r="V105" s="14" t="s">
        <v>2197</v>
      </c>
      <c r="W105" s="11" t="s">
        <v>2272</v>
      </c>
      <c r="X105" s="9" t="s">
        <v>2273</v>
      </c>
      <c r="Y105" s="51">
        <v>45579</v>
      </c>
      <c r="Z105" s="172"/>
    </row>
    <row r="106" spans="1:26" ht="39" customHeight="1" x14ac:dyDescent="0.25">
      <c r="A106" s="5">
        <v>20</v>
      </c>
      <c r="B106" s="12" t="s">
        <v>2274</v>
      </c>
      <c r="C106" s="5" t="s">
        <v>18</v>
      </c>
      <c r="D106" s="5" t="s">
        <v>2275</v>
      </c>
      <c r="E106" s="14" t="s">
        <v>2276</v>
      </c>
      <c r="F106" s="150">
        <v>27576</v>
      </c>
      <c r="G106" s="151" t="s">
        <v>2277</v>
      </c>
      <c r="H106" s="68" t="s">
        <v>2278</v>
      </c>
      <c r="I106" s="5" t="s">
        <v>1558</v>
      </c>
      <c r="J106" s="150">
        <v>45383</v>
      </c>
      <c r="K106" s="5">
        <v>19</v>
      </c>
      <c r="L106" s="5">
        <v>3</v>
      </c>
      <c r="M106" s="12" t="s">
        <v>1501</v>
      </c>
      <c r="N106" s="150">
        <v>43160</v>
      </c>
      <c r="O106" s="5" t="s">
        <v>1028</v>
      </c>
      <c r="P106" s="157" t="s">
        <v>2279</v>
      </c>
      <c r="Q106" s="157" t="s">
        <v>2280</v>
      </c>
      <c r="R106" s="9" t="s">
        <v>2281</v>
      </c>
      <c r="S106" s="162">
        <v>102100504630</v>
      </c>
      <c r="T106" s="20">
        <v>2001077503</v>
      </c>
      <c r="U106" s="150">
        <v>51349</v>
      </c>
      <c r="V106" s="14" t="s">
        <v>2197</v>
      </c>
      <c r="W106" s="14" t="s">
        <v>2282</v>
      </c>
      <c r="X106" s="9" t="s">
        <v>2283</v>
      </c>
      <c r="Y106" s="51">
        <v>45553</v>
      </c>
      <c r="Z106" s="154"/>
    </row>
    <row r="107" spans="1:26" ht="39" customHeight="1" x14ac:dyDescent="0.25">
      <c r="A107" s="5">
        <v>21</v>
      </c>
      <c r="B107" s="12" t="s">
        <v>2284</v>
      </c>
      <c r="C107" s="5" t="s">
        <v>18</v>
      </c>
      <c r="D107" s="5" t="s">
        <v>2285</v>
      </c>
      <c r="E107" s="14" t="s">
        <v>2286</v>
      </c>
      <c r="F107" s="161">
        <v>26588</v>
      </c>
      <c r="G107" s="151" t="s">
        <v>2287</v>
      </c>
      <c r="H107" s="68" t="s">
        <v>2288</v>
      </c>
      <c r="I107" s="5" t="s">
        <v>1699</v>
      </c>
      <c r="J107" s="150">
        <v>44105</v>
      </c>
      <c r="K107" s="5">
        <v>19</v>
      </c>
      <c r="L107" s="5">
        <v>10</v>
      </c>
      <c r="M107" s="12" t="s">
        <v>1501</v>
      </c>
      <c r="N107" s="150">
        <v>43739</v>
      </c>
      <c r="O107" s="5" t="s">
        <v>1028</v>
      </c>
      <c r="P107" s="157" t="s">
        <v>2289</v>
      </c>
      <c r="Q107" s="157" t="s">
        <v>2290</v>
      </c>
      <c r="R107" s="9" t="s">
        <v>2291</v>
      </c>
      <c r="S107" s="162">
        <v>102100504727</v>
      </c>
      <c r="T107" s="20">
        <v>2016077201</v>
      </c>
      <c r="U107" s="150">
        <v>50253</v>
      </c>
      <c r="V107" s="11" t="s">
        <v>2218</v>
      </c>
      <c r="W107" s="14" t="s">
        <v>2292</v>
      </c>
      <c r="X107" s="11"/>
      <c r="Y107" s="5"/>
      <c r="Z107" s="154"/>
    </row>
    <row r="108" spans="1:26" ht="39" customHeight="1" x14ac:dyDescent="0.25">
      <c r="A108" s="5">
        <v>22</v>
      </c>
      <c r="B108" s="12" t="s">
        <v>2293</v>
      </c>
      <c r="C108" s="5" t="s">
        <v>18</v>
      </c>
      <c r="D108" s="5" t="s">
        <v>2294</v>
      </c>
      <c r="E108" s="14" t="s">
        <v>2184</v>
      </c>
      <c r="F108" s="161">
        <v>22623</v>
      </c>
      <c r="G108" s="151" t="s">
        <v>2295</v>
      </c>
      <c r="H108" s="68" t="s">
        <v>2296</v>
      </c>
      <c r="I108" s="5" t="s">
        <v>1558</v>
      </c>
      <c r="J108" s="150">
        <v>40634</v>
      </c>
      <c r="K108" s="5">
        <v>23</v>
      </c>
      <c r="L108" s="5">
        <v>0</v>
      </c>
      <c r="M108" s="12" t="s">
        <v>2297</v>
      </c>
      <c r="N108" s="150">
        <v>44317</v>
      </c>
      <c r="O108" s="5" t="s">
        <v>982</v>
      </c>
      <c r="P108" s="157" t="s">
        <v>2298</v>
      </c>
      <c r="Q108" s="157" t="s">
        <v>2299</v>
      </c>
      <c r="R108" s="9"/>
      <c r="S108" s="180" t="s">
        <v>2300</v>
      </c>
      <c r="T108" s="20">
        <v>2008126101</v>
      </c>
      <c r="U108" s="150">
        <v>46388</v>
      </c>
      <c r="V108" s="11" t="s">
        <v>2218</v>
      </c>
      <c r="W108" s="14" t="s">
        <v>2301</v>
      </c>
      <c r="X108" s="11"/>
      <c r="Y108" s="5"/>
      <c r="Z108" s="172"/>
    </row>
    <row r="109" spans="1:26" ht="39" customHeight="1" x14ac:dyDescent="0.25">
      <c r="A109" s="5">
        <v>23</v>
      </c>
      <c r="B109" s="14" t="s">
        <v>2302</v>
      </c>
      <c r="C109" s="5" t="s">
        <v>18</v>
      </c>
      <c r="D109" s="5" t="s">
        <v>2303</v>
      </c>
      <c r="E109" s="14" t="s">
        <v>2304</v>
      </c>
      <c r="F109" s="161">
        <v>23411</v>
      </c>
      <c r="G109" s="151" t="s">
        <v>2305</v>
      </c>
      <c r="H109" s="68" t="s">
        <v>2306</v>
      </c>
      <c r="I109" s="5" t="s">
        <v>1738</v>
      </c>
      <c r="J109" s="150">
        <v>40817</v>
      </c>
      <c r="K109" s="5">
        <v>17</v>
      </c>
      <c r="L109" s="5">
        <v>7</v>
      </c>
      <c r="M109" s="12" t="s">
        <v>1739</v>
      </c>
      <c r="N109" s="150">
        <v>37165</v>
      </c>
      <c r="O109" s="5" t="s">
        <v>982</v>
      </c>
      <c r="P109" s="157" t="s">
        <v>2307</v>
      </c>
      <c r="Q109" s="157" t="s">
        <v>2308</v>
      </c>
      <c r="R109" s="9"/>
      <c r="S109" s="14" t="s">
        <v>2309</v>
      </c>
      <c r="T109" s="20">
        <v>2004026402</v>
      </c>
      <c r="U109" s="150">
        <v>47178</v>
      </c>
      <c r="V109" s="11" t="s">
        <v>1108</v>
      </c>
      <c r="W109" s="14" t="s">
        <v>2310</v>
      </c>
      <c r="X109" s="11"/>
      <c r="Y109" s="5"/>
      <c r="Z109" s="154"/>
    </row>
    <row r="110" spans="1:26" ht="39" customHeight="1" x14ac:dyDescent="0.25">
      <c r="A110" s="5">
        <v>24</v>
      </c>
      <c r="B110" s="14" t="s">
        <v>2311</v>
      </c>
      <c r="C110" s="5" t="s">
        <v>18</v>
      </c>
      <c r="D110" s="5" t="s">
        <v>2312</v>
      </c>
      <c r="E110" s="14" t="s">
        <v>2313</v>
      </c>
      <c r="F110" s="150">
        <v>22466</v>
      </c>
      <c r="G110" s="151" t="s">
        <v>2314</v>
      </c>
      <c r="H110" s="68" t="s">
        <v>2315</v>
      </c>
      <c r="I110" s="5" t="s">
        <v>1738</v>
      </c>
      <c r="J110" s="150" t="s">
        <v>1728</v>
      </c>
      <c r="K110" s="5">
        <v>32</v>
      </c>
      <c r="L110" s="5">
        <v>1</v>
      </c>
      <c r="M110" s="12" t="s">
        <v>1739</v>
      </c>
      <c r="N110" s="150">
        <v>37561</v>
      </c>
      <c r="O110" s="5" t="s">
        <v>1028</v>
      </c>
      <c r="P110" s="157" t="s">
        <v>2316</v>
      </c>
      <c r="Q110" s="157" t="s">
        <v>2317</v>
      </c>
      <c r="R110" s="9" t="s">
        <v>2318</v>
      </c>
      <c r="S110" s="14" t="s">
        <v>2319</v>
      </c>
      <c r="T110" s="20">
        <v>2007046101</v>
      </c>
      <c r="U110" s="150">
        <v>46143</v>
      </c>
      <c r="V110" s="11" t="s">
        <v>1108</v>
      </c>
      <c r="W110" s="14" t="s">
        <v>2181</v>
      </c>
      <c r="X110" s="11"/>
      <c r="Y110" s="5"/>
      <c r="Z110" s="154"/>
    </row>
    <row r="111" spans="1:26" ht="39" customHeight="1" x14ac:dyDescent="0.25">
      <c r="A111" s="5">
        <v>25</v>
      </c>
      <c r="B111" s="9" t="s">
        <v>2320</v>
      </c>
      <c r="C111" s="5" t="s">
        <v>46</v>
      </c>
      <c r="D111" s="5"/>
      <c r="E111" s="9" t="s">
        <v>1575</v>
      </c>
      <c r="F111" s="150">
        <v>26528</v>
      </c>
      <c r="G111" s="151" t="s">
        <v>2321</v>
      </c>
      <c r="H111" s="68" t="s">
        <v>2322</v>
      </c>
      <c r="I111" s="10" t="s">
        <v>1699</v>
      </c>
      <c r="J111" s="150">
        <v>45383</v>
      </c>
      <c r="K111" s="5">
        <v>22</v>
      </c>
      <c r="L111" s="5">
        <v>4</v>
      </c>
      <c r="M111" s="12" t="s">
        <v>1501</v>
      </c>
      <c r="N111" s="150">
        <v>45078</v>
      </c>
      <c r="O111" s="5" t="s">
        <v>1028</v>
      </c>
      <c r="P111" s="157" t="s">
        <v>2323</v>
      </c>
      <c r="Q111" s="157" t="s">
        <v>2324</v>
      </c>
      <c r="R111" s="9" t="s">
        <v>2325</v>
      </c>
      <c r="S111" s="162">
        <v>112100511200007</v>
      </c>
      <c r="T111" s="166">
        <v>2017087202</v>
      </c>
      <c r="U111" s="161">
        <v>50284</v>
      </c>
      <c r="V111" s="11" t="s">
        <v>1034</v>
      </c>
      <c r="W111" s="11" t="s">
        <v>2326</v>
      </c>
      <c r="X111" s="11"/>
      <c r="Y111" s="51"/>
      <c r="Z111" s="154"/>
    </row>
    <row r="112" spans="1:26" ht="39" customHeight="1" x14ac:dyDescent="0.25">
      <c r="A112" s="5">
        <v>26</v>
      </c>
      <c r="B112" s="12" t="s">
        <v>2327</v>
      </c>
      <c r="C112" s="5" t="s">
        <v>46</v>
      </c>
      <c r="D112" s="5" t="s">
        <v>2328</v>
      </c>
      <c r="E112" s="14" t="s">
        <v>2329</v>
      </c>
      <c r="F112" s="161" t="s">
        <v>2330</v>
      </c>
      <c r="G112" s="151" t="s">
        <v>2331</v>
      </c>
      <c r="H112" s="68" t="s">
        <v>2332</v>
      </c>
      <c r="I112" s="5" t="s">
        <v>1717</v>
      </c>
      <c r="J112" s="150">
        <v>38261</v>
      </c>
      <c r="K112" s="5">
        <v>6</v>
      </c>
      <c r="L112" s="5">
        <v>7</v>
      </c>
      <c r="M112" s="12" t="s">
        <v>1739</v>
      </c>
      <c r="N112" s="150">
        <v>38473</v>
      </c>
      <c r="O112" s="5" t="s">
        <v>982</v>
      </c>
      <c r="P112" s="157" t="s">
        <v>2333</v>
      </c>
      <c r="Q112" s="157" t="s">
        <v>2334</v>
      </c>
      <c r="R112" s="9"/>
      <c r="S112" s="162">
        <v>102100504724</v>
      </c>
      <c r="T112" s="20">
        <v>2019057201</v>
      </c>
      <c r="U112" s="150">
        <v>50192</v>
      </c>
      <c r="V112" s="11" t="s">
        <v>2218</v>
      </c>
      <c r="W112" s="14" t="s">
        <v>2335</v>
      </c>
      <c r="X112" s="11"/>
      <c r="Y112" s="5"/>
      <c r="Z112" s="154"/>
    </row>
    <row r="113" spans="1:26" ht="39" customHeight="1" x14ac:dyDescent="0.25">
      <c r="A113" s="5">
        <v>27</v>
      </c>
      <c r="B113" s="14" t="s">
        <v>2336</v>
      </c>
      <c r="C113" s="5" t="s">
        <v>18</v>
      </c>
      <c r="D113" s="5" t="s">
        <v>2337</v>
      </c>
      <c r="E113" s="14" t="s">
        <v>1555</v>
      </c>
      <c r="F113" s="161">
        <v>25593</v>
      </c>
      <c r="G113" s="151" t="s">
        <v>2338</v>
      </c>
      <c r="H113" s="68" t="s">
        <v>2339</v>
      </c>
      <c r="I113" s="5" t="s">
        <v>1738</v>
      </c>
      <c r="J113" s="150">
        <v>38626</v>
      </c>
      <c r="K113" s="5">
        <v>15</v>
      </c>
      <c r="L113" s="5">
        <v>7</v>
      </c>
      <c r="M113" s="12" t="s">
        <v>1739</v>
      </c>
      <c r="N113" s="150">
        <v>38626</v>
      </c>
      <c r="O113" s="5" t="s">
        <v>1028</v>
      </c>
      <c r="P113" s="157" t="s">
        <v>2340</v>
      </c>
      <c r="Q113" s="157" t="s">
        <v>2341</v>
      </c>
      <c r="R113" s="9" t="s">
        <v>2342</v>
      </c>
      <c r="S113" s="162">
        <v>102100504674</v>
      </c>
      <c r="T113" s="20">
        <v>2025017001</v>
      </c>
      <c r="U113" s="150">
        <v>49341</v>
      </c>
      <c r="V113" s="11" t="s">
        <v>2109</v>
      </c>
      <c r="W113" s="14" t="s">
        <v>2343</v>
      </c>
      <c r="X113" s="11" t="s">
        <v>2344</v>
      </c>
      <c r="Y113" s="51">
        <v>45614</v>
      </c>
      <c r="Z113" s="154"/>
    </row>
    <row r="114" spans="1:26" ht="39" customHeight="1" x14ac:dyDescent="0.25">
      <c r="A114" s="5">
        <v>28</v>
      </c>
      <c r="B114" s="12" t="s">
        <v>2345</v>
      </c>
      <c r="C114" s="5" t="s">
        <v>46</v>
      </c>
      <c r="D114" s="5" t="s">
        <v>2346</v>
      </c>
      <c r="E114" s="14" t="s">
        <v>2347</v>
      </c>
      <c r="F114" s="161">
        <v>23509</v>
      </c>
      <c r="G114" s="151" t="s">
        <v>2348</v>
      </c>
      <c r="H114" s="68" t="s">
        <v>2349</v>
      </c>
      <c r="I114" s="5" t="s">
        <v>1738</v>
      </c>
      <c r="J114" s="150">
        <v>40087</v>
      </c>
      <c r="K114" s="5">
        <v>9</v>
      </c>
      <c r="L114" s="5">
        <v>7</v>
      </c>
      <c r="M114" s="12" t="s">
        <v>1739</v>
      </c>
      <c r="N114" s="150">
        <v>39083</v>
      </c>
      <c r="O114" s="5" t="s">
        <v>1028</v>
      </c>
      <c r="P114" s="157" t="s">
        <v>2350</v>
      </c>
      <c r="Q114" s="157" t="s">
        <v>2351</v>
      </c>
      <c r="R114" s="9" t="s">
        <v>2352</v>
      </c>
      <c r="S114" s="162">
        <v>102100504689</v>
      </c>
      <c r="T114" s="20">
        <v>2012056401</v>
      </c>
      <c r="U114" s="150">
        <v>47270</v>
      </c>
      <c r="V114" s="11" t="s">
        <v>2218</v>
      </c>
      <c r="W114" s="14" t="s">
        <v>2353</v>
      </c>
      <c r="X114" s="11"/>
      <c r="Y114" s="5"/>
      <c r="Z114" s="154"/>
    </row>
    <row r="115" spans="1:26" ht="39" customHeight="1" x14ac:dyDescent="0.25">
      <c r="A115" s="5">
        <v>29</v>
      </c>
      <c r="B115" s="14" t="s">
        <v>2354</v>
      </c>
      <c r="C115" s="5" t="s">
        <v>18</v>
      </c>
      <c r="D115" s="5" t="s">
        <v>2355</v>
      </c>
      <c r="E115" s="14" t="s">
        <v>2356</v>
      </c>
      <c r="F115" s="161">
        <v>22786</v>
      </c>
      <c r="G115" s="151" t="s">
        <v>2357</v>
      </c>
      <c r="H115" s="68" t="s">
        <v>2358</v>
      </c>
      <c r="I115" s="5" t="s">
        <v>1738</v>
      </c>
      <c r="J115" s="150">
        <v>39173</v>
      </c>
      <c r="K115" s="5">
        <v>18</v>
      </c>
      <c r="L115" s="5">
        <v>1</v>
      </c>
      <c r="M115" s="12" t="s">
        <v>1739</v>
      </c>
      <c r="N115" s="150">
        <v>39173</v>
      </c>
      <c r="O115" s="5" t="s">
        <v>982</v>
      </c>
      <c r="P115" s="9" t="s">
        <v>2177</v>
      </c>
      <c r="Q115" s="9" t="s">
        <v>2359</v>
      </c>
      <c r="R115" s="9"/>
      <c r="S115" s="14" t="s">
        <v>2360</v>
      </c>
      <c r="T115" s="20">
        <v>2020056201</v>
      </c>
      <c r="U115" s="150">
        <v>46539</v>
      </c>
      <c r="V115" s="11" t="s">
        <v>1108</v>
      </c>
      <c r="W115" s="14" t="s">
        <v>2361</v>
      </c>
      <c r="X115" s="11"/>
      <c r="Y115" s="5"/>
      <c r="Z115" s="154"/>
    </row>
    <row r="116" spans="1:26" ht="39" customHeight="1" x14ac:dyDescent="0.25">
      <c r="A116" s="5">
        <v>30</v>
      </c>
      <c r="B116" s="14" t="s">
        <v>2362</v>
      </c>
      <c r="C116" s="5" t="s">
        <v>18</v>
      </c>
      <c r="D116" s="5" t="s">
        <v>2363</v>
      </c>
      <c r="E116" s="14" t="s">
        <v>1950</v>
      </c>
      <c r="F116" s="161">
        <v>24476</v>
      </c>
      <c r="G116" s="151" t="s">
        <v>2364</v>
      </c>
      <c r="H116" s="68" t="s">
        <v>2365</v>
      </c>
      <c r="I116" s="5" t="s">
        <v>1738</v>
      </c>
      <c r="J116" s="150">
        <v>40087</v>
      </c>
      <c r="K116" s="5">
        <v>16</v>
      </c>
      <c r="L116" s="5">
        <v>7</v>
      </c>
      <c r="M116" s="12" t="s">
        <v>1739</v>
      </c>
      <c r="N116" s="150">
        <v>39326</v>
      </c>
      <c r="O116" s="5" t="s">
        <v>982</v>
      </c>
      <c r="P116" s="9" t="s">
        <v>2366</v>
      </c>
      <c r="Q116" s="9" t="s">
        <v>2367</v>
      </c>
      <c r="R116" s="9"/>
      <c r="S116" s="162">
        <v>102100504700</v>
      </c>
      <c r="T116" s="20">
        <v>2004016701</v>
      </c>
      <c r="U116" s="150">
        <v>48245</v>
      </c>
      <c r="V116" s="11" t="s">
        <v>2218</v>
      </c>
      <c r="W116" s="14" t="s">
        <v>2368</v>
      </c>
      <c r="X116" s="12"/>
      <c r="Y116" s="12"/>
      <c r="Z116" s="154"/>
    </row>
    <row r="117" spans="1:26" ht="39" customHeight="1" x14ac:dyDescent="0.25">
      <c r="A117" s="5">
        <v>31</v>
      </c>
      <c r="B117" s="12" t="s">
        <v>2369</v>
      </c>
      <c r="C117" s="5" t="s">
        <v>18</v>
      </c>
      <c r="D117" s="5" t="s">
        <v>2370</v>
      </c>
      <c r="E117" s="14" t="s">
        <v>1648</v>
      </c>
      <c r="F117" s="161">
        <v>25551</v>
      </c>
      <c r="G117" s="151" t="s">
        <v>2371</v>
      </c>
      <c r="H117" s="68" t="s">
        <v>2372</v>
      </c>
      <c r="I117" s="5" t="s">
        <v>1738</v>
      </c>
      <c r="J117" s="150">
        <v>41548</v>
      </c>
      <c r="K117" s="5">
        <v>15</v>
      </c>
      <c r="L117" s="5">
        <v>7</v>
      </c>
      <c r="M117" s="12" t="s">
        <v>1739</v>
      </c>
      <c r="N117" s="150">
        <v>39326</v>
      </c>
      <c r="O117" s="5" t="s">
        <v>982</v>
      </c>
      <c r="P117" s="157" t="s">
        <v>2373</v>
      </c>
      <c r="Q117" s="157" t="s">
        <v>2374</v>
      </c>
      <c r="R117" s="9"/>
      <c r="S117" s="162">
        <v>102100504749</v>
      </c>
      <c r="T117" s="20">
        <v>2014126901</v>
      </c>
      <c r="U117" s="150">
        <v>49310</v>
      </c>
      <c r="V117" s="11" t="s">
        <v>1108</v>
      </c>
      <c r="W117" s="14" t="s">
        <v>2375</v>
      </c>
      <c r="X117" s="11"/>
      <c r="Y117" s="51"/>
      <c r="Z117" s="154"/>
    </row>
    <row r="118" spans="1:26" ht="39" customHeight="1" x14ac:dyDescent="0.25">
      <c r="A118" s="5">
        <v>32</v>
      </c>
      <c r="B118" s="14" t="s">
        <v>2376</v>
      </c>
      <c r="C118" s="5" t="s">
        <v>46</v>
      </c>
      <c r="D118" s="5" t="s">
        <v>2377</v>
      </c>
      <c r="E118" s="14" t="s">
        <v>1950</v>
      </c>
      <c r="F118" s="161">
        <v>25294</v>
      </c>
      <c r="G118" s="151" t="s">
        <v>2378</v>
      </c>
      <c r="H118" s="68" t="s">
        <v>2379</v>
      </c>
      <c r="I118" s="5" t="s">
        <v>1738</v>
      </c>
      <c r="J118" s="150">
        <v>39904</v>
      </c>
      <c r="K118" s="5">
        <v>15</v>
      </c>
      <c r="L118" s="5">
        <v>1</v>
      </c>
      <c r="M118" s="12" t="s">
        <v>1739</v>
      </c>
      <c r="N118" s="150">
        <v>39814</v>
      </c>
      <c r="O118" s="5" t="s">
        <v>982</v>
      </c>
      <c r="P118" s="157" t="s">
        <v>2380</v>
      </c>
      <c r="Q118" s="157" t="s">
        <v>2178</v>
      </c>
      <c r="R118" s="9"/>
      <c r="S118" s="162">
        <v>102100504741</v>
      </c>
      <c r="T118" s="20">
        <v>2001046901</v>
      </c>
      <c r="U118" s="150">
        <v>49065</v>
      </c>
      <c r="V118" s="11" t="s">
        <v>2218</v>
      </c>
      <c r="W118" s="14" t="s">
        <v>2381</v>
      </c>
      <c r="X118" s="11"/>
      <c r="Y118" s="5"/>
      <c r="Z118" s="154"/>
    </row>
    <row r="119" spans="1:26" ht="39" customHeight="1" x14ac:dyDescent="0.25">
      <c r="A119" s="5">
        <v>33</v>
      </c>
      <c r="B119" s="12" t="s">
        <v>2382</v>
      </c>
      <c r="C119" s="5" t="s">
        <v>18</v>
      </c>
      <c r="D119" s="5" t="s">
        <v>2383</v>
      </c>
      <c r="E119" s="14" t="s">
        <v>2384</v>
      </c>
      <c r="F119" s="161">
        <v>25661</v>
      </c>
      <c r="G119" s="151" t="s">
        <v>2385</v>
      </c>
      <c r="H119" s="68" t="s">
        <v>2386</v>
      </c>
      <c r="I119" s="5" t="s">
        <v>1738</v>
      </c>
      <c r="J119" s="150">
        <v>41365</v>
      </c>
      <c r="K119" s="5">
        <v>9</v>
      </c>
      <c r="L119" s="5">
        <v>4</v>
      </c>
      <c r="M119" s="12" t="s">
        <v>1739</v>
      </c>
      <c r="N119" s="150">
        <v>39904</v>
      </c>
      <c r="O119" s="5" t="s">
        <v>1028</v>
      </c>
      <c r="P119" s="157" t="s">
        <v>2387</v>
      </c>
      <c r="Q119" s="157" t="s">
        <v>2388</v>
      </c>
      <c r="R119" s="9" t="s">
        <v>2389</v>
      </c>
      <c r="S119" s="162">
        <v>102100504705</v>
      </c>
      <c r="T119" s="20">
        <v>2003047003</v>
      </c>
      <c r="U119" s="150">
        <v>49430</v>
      </c>
      <c r="V119" s="14" t="s">
        <v>2121</v>
      </c>
      <c r="W119" s="14" t="s">
        <v>2390</v>
      </c>
      <c r="X119" s="9" t="s">
        <v>2391</v>
      </c>
      <c r="Y119" s="51">
        <v>45579</v>
      </c>
      <c r="Z119" s="172"/>
    </row>
    <row r="120" spans="1:26" ht="39" customHeight="1" x14ac:dyDescent="0.25">
      <c r="A120" s="5">
        <v>34</v>
      </c>
      <c r="B120" s="14" t="s">
        <v>2392</v>
      </c>
      <c r="C120" s="5" t="s">
        <v>46</v>
      </c>
      <c r="D120" s="5" t="s">
        <v>2393</v>
      </c>
      <c r="E120" s="14" t="s">
        <v>1489</v>
      </c>
      <c r="F120" s="161">
        <v>27327</v>
      </c>
      <c r="G120" s="151" t="s">
        <v>2394</v>
      </c>
      <c r="H120" s="68" t="s">
        <v>2395</v>
      </c>
      <c r="I120" s="5" t="s">
        <v>1738</v>
      </c>
      <c r="J120" s="150">
        <v>40634</v>
      </c>
      <c r="K120" s="5">
        <v>13</v>
      </c>
      <c r="L120" s="5">
        <v>1</v>
      </c>
      <c r="M120" s="12" t="s">
        <v>1739</v>
      </c>
      <c r="N120" s="150">
        <v>40391</v>
      </c>
      <c r="O120" s="5" t="s">
        <v>982</v>
      </c>
      <c r="P120" s="157" t="s">
        <v>2396</v>
      </c>
      <c r="Q120" s="157" t="s">
        <v>2118</v>
      </c>
      <c r="R120" s="9"/>
      <c r="S120" s="162">
        <v>102100504652</v>
      </c>
      <c r="T120" s="20">
        <v>2025107403</v>
      </c>
      <c r="U120" s="150">
        <v>51075</v>
      </c>
      <c r="V120" s="11" t="s">
        <v>2218</v>
      </c>
      <c r="W120" s="14" t="s">
        <v>2397</v>
      </c>
      <c r="X120" s="11"/>
      <c r="Y120" s="5"/>
      <c r="Z120" s="154"/>
    </row>
    <row r="121" spans="1:26" ht="39" customHeight="1" x14ac:dyDescent="0.25">
      <c r="A121" s="5">
        <v>35</v>
      </c>
      <c r="B121" s="14" t="s">
        <v>2398</v>
      </c>
      <c r="C121" s="5" t="s">
        <v>18</v>
      </c>
      <c r="D121" s="5" t="s">
        <v>2399</v>
      </c>
      <c r="E121" s="14" t="s">
        <v>2400</v>
      </c>
      <c r="F121" s="150" t="s">
        <v>2401</v>
      </c>
      <c r="G121" s="151" t="s">
        <v>2402</v>
      </c>
      <c r="H121" s="68" t="s">
        <v>2403</v>
      </c>
      <c r="I121" s="5" t="s">
        <v>1738</v>
      </c>
      <c r="J121" s="150">
        <v>43374</v>
      </c>
      <c r="K121" s="5">
        <v>12</v>
      </c>
      <c r="L121" s="5">
        <v>6</v>
      </c>
      <c r="M121" s="12" t="s">
        <v>1739</v>
      </c>
      <c r="N121" s="150" t="s">
        <v>2404</v>
      </c>
      <c r="O121" s="5" t="s">
        <v>1028</v>
      </c>
      <c r="P121" s="157" t="s">
        <v>2405</v>
      </c>
      <c r="Q121" s="157" t="s">
        <v>2406</v>
      </c>
      <c r="R121" s="9" t="s">
        <v>2407</v>
      </c>
      <c r="S121" s="162">
        <v>102100504646</v>
      </c>
      <c r="T121" s="20" t="s">
        <v>2408</v>
      </c>
      <c r="U121" s="150">
        <v>51380</v>
      </c>
      <c r="V121" s="11" t="s">
        <v>2131</v>
      </c>
      <c r="W121" s="14" t="s">
        <v>2409</v>
      </c>
      <c r="X121" s="11" t="s">
        <v>2410</v>
      </c>
      <c r="Y121" s="51">
        <v>45579</v>
      </c>
      <c r="Z121" s="154"/>
    </row>
    <row r="122" spans="1:26" ht="39" customHeight="1" x14ac:dyDescent="0.25">
      <c r="A122" s="5">
        <v>36</v>
      </c>
      <c r="B122" s="12" t="s">
        <v>2411</v>
      </c>
      <c r="C122" s="5" t="s">
        <v>18</v>
      </c>
      <c r="D122" s="5" t="s">
        <v>2412</v>
      </c>
      <c r="E122" s="14" t="s">
        <v>1489</v>
      </c>
      <c r="F122" s="150">
        <v>25261</v>
      </c>
      <c r="G122" s="151" t="s">
        <v>2413</v>
      </c>
      <c r="H122" s="68" t="s">
        <v>2414</v>
      </c>
      <c r="I122" s="5" t="s">
        <v>1738</v>
      </c>
      <c r="J122" s="150">
        <v>45383</v>
      </c>
      <c r="K122" s="5">
        <v>20</v>
      </c>
      <c r="L122" s="5">
        <v>4</v>
      </c>
      <c r="M122" s="12" t="s">
        <v>1739</v>
      </c>
      <c r="N122" s="150">
        <v>41334</v>
      </c>
      <c r="O122" s="5" t="s">
        <v>982</v>
      </c>
      <c r="P122" s="157" t="s">
        <v>2340</v>
      </c>
      <c r="Q122" s="157" t="s">
        <v>2415</v>
      </c>
      <c r="R122" s="9"/>
      <c r="S122" s="162">
        <v>102100504702</v>
      </c>
      <c r="T122" s="20">
        <v>2027026901</v>
      </c>
      <c r="U122" s="150">
        <v>49004</v>
      </c>
      <c r="V122" s="11" t="s">
        <v>2218</v>
      </c>
      <c r="W122" s="14" t="s">
        <v>2416</v>
      </c>
      <c r="X122" s="11" t="s">
        <v>2417</v>
      </c>
      <c r="Y122" s="51">
        <v>45579</v>
      </c>
      <c r="Z122" s="154"/>
    </row>
    <row r="123" spans="1:26" ht="39" customHeight="1" x14ac:dyDescent="0.25">
      <c r="A123" s="5">
        <v>37</v>
      </c>
      <c r="B123" s="14" t="s">
        <v>2418</v>
      </c>
      <c r="C123" s="5" t="s">
        <v>46</v>
      </c>
      <c r="D123" s="5" t="s">
        <v>2419</v>
      </c>
      <c r="E123" s="14" t="s">
        <v>2420</v>
      </c>
      <c r="F123" s="161">
        <v>26588</v>
      </c>
      <c r="G123" s="151" t="s">
        <v>2421</v>
      </c>
      <c r="H123" s="68" t="s">
        <v>2422</v>
      </c>
      <c r="I123" s="5" t="s">
        <v>1717</v>
      </c>
      <c r="J123" s="150">
        <v>44105</v>
      </c>
      <c r="K123" s="5">
        <v>21</v>
      </c>
      <c r="L123" s="5">
        <v>7</v>
      </c>
      <c r="M123" s="12" t="s">
        <v>1739</v>
      </c>
      <c r="N123" s="150">
        <v>41518</v>
      </c>
      <c r="O123" s="5" t="s">
        <v>982</v>
      </c>
      <c r="P123" s="157" t="s">
        <v>2423</v>
      </c>
      <c r="Q123" s="157" t="s">
        <v>2424</v>
      </c>
      <c r="R123" s="9"/>
      <c r="S123" s="162">
        <v>112100511440012</v>
      </c>
      <c r="T123" s="20">
        <v>2016107202</v>
      </c>
      <c r="U123" s="150">
        <v>50345</v>
      </c>
      <c r="V123" s="11" t="s">
        <v>2131</v>
      </c>
      <c r="W123" s="14" t="s">
        <v>2425</v>
      </c>
      <c r="X123" s="12"/>
      <c r="Y123" s="12"/>
      <c r="Z123" s="154"/>
    </row>
    <row r="124" spans="1:26" ht="39" customHeight="1" x14ac:dyDescent="0.25">
      <c r="A124" s="5">
        <v>38</v>
      </c>
      <c r="B124" s="14" t="s">
        <v>2426</v>
      </c>
      <c r="C124" s="5" t="s">
        <v>46</v>
      </c>
      <c r="D124" s="5" t="s">
        <v>2427</v>
      </c>
      <c r="E124" s="14" t="s">
        <v>2428</v>
      </c>
      <c r="F124" s="161">
        <v>24467</v>
      </c>
      <c r="G124" s="151" t="s">
        <v>2429</v>
      </c>
      <c r="H124" s="68" t="s">
        <v>2430</v>
      </c>
      <c r="I124" s="5" t="s">
        <v>1738</v>
      </c>
      <c r="J124" s="150">
        <v>45383</v>
      </c>
      <c r="K124" s="5">
        <v>32</v>
      </c>
      <c r="L124" s="5">
        <v>1</v>
      </c>
      <c r="M124" s="12" t="s">
        <v>1739</v>
      </c>
      <c r="N124" s="150">
        <v>41609</v>
      </c>
      <c r="O124" s="5" t="s">
        <v>982</v>
      </c>
      <c r="P124" s="157" t="s">
        <v>2431</v>
      </c>
      <c r="Q124" s="157" t="s">
        <v>2432</v>
      </c>
      <c r="R124" s="9"/>
      <c r="S124" s="162">
        <v>102100504642</v>
      </c>
      <c r="T124" s="20">
        <v>2026126601</v>
      </c>
      <c r="U124" s="150">
        <v>48214</v>
      </c>
      <c r="V124" s="11" t="s">
        <v>2169</v>
      </c>
      <c r="W124" s="14" t="s">
        <v>2208</v>
      </c>
      <c r="X124" s="11"/>
      <c r="Y124" s="5"/>
      <c r="Z124" s="154"/>
    </row>
    <row r="125" spans="1:26" ht="39" customHeight="1" x14ac:dyDescent="0.25">
      <c r="A125" s="5">
        <v>39</v>
      </c>
      <c r="B125" s="12" t="s">
        <v>2433</v>
      </c>
      <c r="C125" s="5" t="s">
        <v>18</v>
      </c>
      <c r="D125" s="5" t="s">
        <v>2434</v>
      </c>
      <c r="E125" s="14" t="s">
        <v>2435</v>
      </c>
      <c r="F125" s="150" t="s">
        <v>2436</v>
      </c>
      <c r="G125" s="8" t="s">
        <v>2437</v>
      </c>
      <c r="H125" s="68" t="s">
        <v>2438</v>
      </c>
      <c r="I125" s="5" t="s">
        <v>1738</v>
      </c>
      <c r="J125" s="150" t="s">
        <v>2439</v>
      </c>
      <c r="K125" s="5">
        <v>10</v>
      </c>
      <c r="L125" s="5">
        <v>3</v>
      </c>
      <c r="M125" s="12" t="s">
        <v>1739</v>
      </c>
      <c r="N125" s="150">
        <v>41699</v>
      </c>
      <c r="O125" s="5" t="s">
        <v>982</v>
      </c>
      <c r="P125" s="157" t="s">
        <v>2440</v>
      </c>
      <c r="Q125" s="157" t="s">
        <v>2441</v>
      </c>
      <c r="R125" s="9"/>
      <c r="S125" s="162">
        <v>112100513400025</v>
      </c>
      <c r="T125" s="20">
        <v>2027047501</v>
      </c>
      <c r="U125" s="150" t="s">
        <v>2442</v>
      </c>
      <c r="V125" s="11" t="s">
        <v>1108</v>
      </c>
      <c r="W125" s="14" t="s">
        <v>2443</v>
      </c>
      <c r="X125" s="89"/>
      <c r="Y125" s="89"/>
      <c r="Z125" s="89"/>
    </row>
    <row r="126" spans="1:26" ht="39" customHeight="1" x14ac:dyDescent="0.25">
      <c r="A126" s="5">
        <v>40</v>
      </c>
      <c r="B126" s="12" t="s">
        <v>2444</v>
      </c>
      <c r="C126" s="5" t="s">
        <v>18</v>
      </c>
      <c r="D126" s="5" t="s">
        <v>2445</v>
      </c>
      <c r="E126" s="14" t="s">
        <v>1489</v>
      </c>
      <c r="F126" s="150">
        <v>27524</v>
      </c>
      <c r="G126" s="8" t="s">
        <v>2446</v>
      </c>
      <c r="H126" s="68" t="s">
        <v>2447</v>
      </c>
      <c r="I126" s="5" t="s">
        <v>1738</v>
      </c>
      <c r="J126" s="150" t="s">
        <v>1728</v>
      </c>
      <c r="K126" s="5">
        <v>15</v>
      </c>
      <c r="L126" s="5">
        <v>3</v>
      </c>
      <c r="M126" s="12" t="s">
        <v>1739</v>
      </c>
      <c r="N126" s="150">
        <v>41760</v>
      </c>
      <c r="O126" s="5" t="s">
        <v>982</v>
      </c>
      <c r="P126" s="9" t="s">
        <v>2448</v>
      </c>
      <c r="Q126" s="9" t="s">
        <v>2449</v>
      </c>
      <c r="R126" s="9"/>
      <c r="S126" s="162">
        <v>122100509809</v>
      </c>
      <c r="T126" s="20">
        <v>2010057502</v>
      </c>
      <c r="U126" s="150">
        <v>51288</v>
      </c>
      <c r="V126" s="11" t="s">
        <v>2131</v>
      </c>
      <c r="W126" s="14" t="s">
        <v>2450</v>
      </c>
      <c r="X126" s="11" t="s">
        <v>2451</v>
      </c>
      <c r="Y126" s="51">
        <v>45586</v>
      </c>
      <c r="Z126" s="154"/>
    </row>
    <row r="127" spans="1:26" ht="39" customHeight="1" x14ac:dyDescent="0.25">
      <c r="A127" s="5">
        <v>41</v>
      </c>
      <c r="B127" s="12" t="s">
        <v>2452</v>
      </c>
      <c r="C127" s="5" t="s">
        <v>18</v>
      </c>
      <c r="D127" s="5" t="s">
        <v>2453</v>
      </c>
      <c r="E127" s="14" t="s">
        <v>1967</v>
      </c>
      <c r="F127" s="150">
        <v>28688</v>
      </c>
      <c r="G127" s="8" t="s">
        <v>2454</v>
      </c>
      <c r="H127" s="68" t="s">
        <v>2455</v>
      </c>
      <c r="I127" s="5" t="s">
        <v>1738</v>
      </c>
      <c r="J127" s="150">
        <v>45383</v>
      </c>
      <c r="K127" s="5">
        <v>15</v>
      </c>
      <c r="L127" s="5">
        <v>3</v>
      </c>
      <c r="M127" s="12" t="s">
        <v>1739</v>
      </c>
      <c r="N127" s="150">
        <v>42186</v>
      </c>
      <c r="O127" s="5" t="s">
        <v>1028</v>
      </c>
      <c r="P127" s="157" t="s">
        <v>2456</v>
      </c>
      <c r="Q127" s="9" t="s">
        <v>2457</v>
      </c>
      <c r="R127" s="9" t="s">
        <v>2458</v>
      </c>
      <c r="S127" s="162">
        <v>142100512835</v>
      </c>
      <c r="T127" s="20" t="s">
        <v>2459</v>
      </c>
      <c r="U127" s="150">
        <v>52444</v>
      </c>
      <c r="V127" s="11" t="s">
        <v>2169</v>
      </c>
      <c r="W127" s="14" t="s">
        <v>2460</v>
      </c>
      <c r="X127" s="11"/>
      <c r="Y127" s="5"/>
      <c r="Z127" s="154" t="s">
        <v>1084</v>
      </c>
    </row>
    <row r="128" spans="1:26" ht="39" customHeight="1" x14ac:dyDescent="0.25">
      <c r="A128" s="5">
        <v>42</v>
      </c>
      <c r="B128" s="14" t="s">
        <v>2461</v>
      </c>
      <c r="C128" s="5" t="s">
        <v>46</v>
      </c>
      <c r="D128" s="10" t="s">
        <v>2462</v>
      </c>
      <c r="E128" s="14" t="s">
        <v>2463</v>
      </c>
      <c r="F128" s="150">
        <v>30455</v>
      </c>
      <c r="G128" s="8" t="s">
        <v>2464</v>
      </c>
      <c r="H128" s="68" t="s">
        <v>2465</v>
      </c>
      <c r="I128" s="5" t="s">
        <v>1738</v>
      </c>
      <c r="J128" s="150">
        <v>45383</v>
      </c>
      <c r="K128" s="5">
        <v>14</v>
      </c>
      <c r="L128" s="5">
        <v>4</v>
      </c>
      <c r="M128" s="12" t="s">
        <v>1739</v>
      </c>
      <c r="N128" s="150">
        <v>42614</v>
      </c>
      <c r="O128" s="5" t="s">
        <v>982</v>
      </c>
      <c r="P128" s="167" t="s">
        <v>2466</v>
      </c>
      <c r="Q128" s="11" t="s">
        <v>2467</v>
      </c>
      <c r="R128" s="168" t="s">
        <v>1084</v>
      </c>
      <c r="S128" s="162">
        <v>132100511994</v>
      </c>
      <c r="T128" s="20">
        <v>2019058301</v>
      </c>
      <c r="U128" s="150">
        <v>54210</v>
      </c>
      <c r="V128" s="11" t="s">
        <v>2131</v>
      </c>
      <c r="W128" s="14" t="s">
        <v>2468</v>
      </c>
      <c r="X128" s="89"/>
      <c r="Y128" s="89"/>
      <c r="Z128" s="89"/>
    </row>
    <row r="129" spans="1:26" ht="39" customHeight="1" x14ac:dyDescent="0.25">
      <c r="A129" s="5">
        <v>43</v>
      </c>
      <c r="B129" s="14" t="s">
        <v>2469</v>
      </c>
      <c r="C129" s="5" t="s">
        <v>46</v>
      </c>
      <c r="D129" s="5" t="s">
        <v>2470</v>
      </c>
      <c r="E129" s="14" t="s">
        <v>1420</v>
      </c>
      <c r="F129" s="150">
        <v>27127</v>
      </c>
      <c r="G129" s="151" t="s">
        <v>2471</v>
      </c>
      <c r="H129" s="68" t="s">
        <v>2472</v>
      </c>
      <c r="I129" s="5" t="s">
        <v>1717</v>
      </c>
      <c r="J129" s="150">
        <v>44105</v>
      </c>
      <c r="K129" s="5">
        <v>14</v>
      </c>
      <c r="L129" s="5">
        <v>6</v>
      </c>
      <c r="M129" s="12" t="s">
        <v>1739</v>
      </c>
      <c r="N129" s="150" t="s">
        <v>2473</v>
      </c>
      <c r="O129" s="5" t="s">
        <v>982</v>
      </c>
      <c r="P129" s="157" t="s">
        <v>2474</v>
      </c>
      <c r="Q129" s="157" t="s">
        <v>2475</v>
      </c>
      <c r="R129" s="9"/>
      <c r="S129" s="162">
        <v>102100504718</v>
      </c>
      <c r="T129" s="20">
        <v>2008047402</v>
      </c>
      <c r="U129" s="150">
        <v>50891</v>
      </c>
      <c r="V129" s="11" t="s">
        <v>2131</v>
      </c>
      <c r="W129" s="14" t="s">
        <v>2476</v>
      </c>
      <c r="X129" s="11"/>
      <c r="Y129" s="5"/>
      <c r="Z129" s="154"/>
    </row>
    <row r="130" spans="1:26" ht="39" customHeight="1" x14ac:dyDescent="0.25">
      <c r="A130" s="5">
        <v>44</v>
      </c>
      <c r="B130" s="12" t="s">
        <v>2477</v>
      </c>
      <c r="C130" s="5" t="s">
        <v>18</v>
      </c>
      <c r="D130" s="5" t="s">
        <v>2478</v>
      </c>
      <c r="E130" s="14" t="s">
        <v>1934</v>
      </c>
      <c r="F130" s="150">
        <v>25867</v>
      </c>
      <c r="G130" s="151" t="s">
        <v>2479</v>
      </c>
      <c r="H130" s="68" t="s">
        <v>2480</v>
      </c>
      <c r="I130" s="5" t="s">
        <v>1717</v>
      </c>
      <c r="J130" s="150">
        <v>43374</v>
      </c>
      <c r="K130" s="5">
        <v>13</v>
      </c>
      <c r="L130" s="5">
        <v>9</v>
      </c>
      <c r="M130" s="12" t="s">
        <v>1739</v>
      </c>
      <c r="N130" s="150">
        <v>43009</v>
      </c>
      <c r="O130" s="5" t="s">
        <v>1028</v>
      </c>
      <c r="P130" s="157" t="s">
        <v>2481</v>
      </c>
      <c r="Q130" s="157" t="s">
        <v>2482</v>
      </c>
      <c r="R130" s="157" t="s">
        <v>2483</v>
      </c>
      <c r="S130" s="162">
        <v>102100504686</v>
      </c>
      <c r="T130" s="20">
        <v>2026107001</v>
      </c>
      <c r="U130" s="150">
        <v>49614</v>
      </c>
      <c r="V130" s="11" t="s">
        <v>2218</v>
      </c>
      <c r="W130" s="14" t="s">
        <v>2484</v>
      </c>
      <c r="X130" s="11"/>
      <c r="Y130" s="5"/>
      <c r="Z130" s="154"/>
    </row>
    <row r="131" spans="1:26" ht="39" customHeight="1" x14ac:dyDescent="0.25">
      <c r="A131" s="5">
        <v>45</v>
      </c>
      <c r="B131" s="14" t="s">
        <v>2485</v>
      </c>
      <c r="C131" s="5" t="s">
        <v>18</v>
      </c>
      <c r="D131" s="5" t="s">
        <v>1084</v>
      </c>
      <c r="E131" s="14" t="s">
        <v>2486</v>
      </c>
      <c r="F131" s="150">
        <v>30748</v>
      </c>
      <c r="G131" s="151" t="s">
        <v>2487</v>
      </c>
      <c r="H131" s="5" t="s">
        <v>2488</v>
      </c>
      <c r="I131" s="5" t="s">
        <v>1738</v>
      </c>
      <c r="J131" s="150">
        <v>44652</v>
      </c>
      <c r="K131" s="5">
        <v>11</v>
      </c>
      <c r="L131" s="5">
        <v>3</v>
      </c>
      <c r="M131" s="12" t="s">
        <v>1739</v>
      </c>
      <c r="N131" s="150">
        <v>43344</v>
      </c>
      <c r="O131" s="5" t="s">
        <v>982</v>
      </c>
      <c r="P131" s="157" t="s">
        <v>2489</v>
      </c>
      <c r="Q131" s="157" t="s">
        <v>2490</v>
      </c>
      <c r="R131" s="9"/>
      <c r="S131" s="162">
        <v>142100512850</v>
      </c>
      <c r="T131" s="20">
        <v>2007038401</v>
      </c>
      <c r="U131" s="150">
        <v>54514</v>
      </c>
      <c r="V131" s="11" t="s">
        <v>2169</v>
      </c>
      <c r="W131" s="14" t="s">
        <v>2491</v>
      </c>
      <c r="X131" s="89"/>
      <c r="Y131" s="89"/>
      <c r="Z131" s="89"/>
    </row>
    <row r="132" spans="1:26" ht="39" customHeight="1" x14ac:dyDescent="0.25">
      <c r="A132" s="5">
        <v>46</v>
      </c>
      <c r="B132" s="14" t="s">
        <v>2492</v>
      </c>
      <c r="C132" s="5" t="s">
        <v>18</v>
      </c>
      <c r="D132" s="5" t="s">
        <v>2493</v>
      </c>
      <c r="E132" s="12" t="s">
        <v>2494</v>
      </c>
      <c r="F132" s="93" t="s">
        <v>2495</v>
      </c>
      <c r="G132" s="8" t="s">
        <v>2496</v>
      </c>
      <c r="H132" s="68" t="s">
        <v>2497</v>
      </c>
      <c r="I132" s="5" t="s">
        <v>1717</v>
      </c>
      <c r="J132" s="150" t="s">
        <v>2498</v>
      </c>
      <c r="K132" s="5">
        <v>10</v>
      </c>
      <c r="L132" s="5">
        <v>9</v>
      </c>
      <c r="M132" s="12" t="s">
        <v>1739</v>
      </c>
      <c r="N132" s="150">
        <v>43556</v>
      </c>
      <c r="O132" s="5" t="s">
        <v>982</v>
      </c>
      <c r="P132" s="9" t="s">
        <v>2499</v>
      </c>
      <c r="Q132" s="9" t="s">
        <v>2500</v>
      </c>
      <c r="R132" s="9"/>
      <c r="S132" s="162">
        <v>122100509810</v>
      </c>
      <c r="T132" s="20">
        <v>2023088101</v>
      </c>
      <c r="U132" s="93" t="s">
        <v>2501</v>
      </c>
      <c r="V132" s="11" t="s">
        <v>2131</v>
      </c>
      <c r="W132" s="14" t="s">
        <v>2502</v>
      </c>
      <c r="X132" s="11" t="s">
        <v>2503</v>
      </c>
      <c r="Y132" s="51">
        <v>45586</v>
      </c>
      <c r="Z132" s="154"/>
    </row>
    <row r="133" spans="1:26" ht="39" customHeight="1" x14ac:dyDescent="0.25">
      <c r="A133" s="5">
        <v>47</v>
      </c>
      <c r="B133" s="14" t="s">
        <v>2504</v>
      </c>
      <c r="C133" s="5" t="s">
        <v>46</v>
      </c>
      <c r="D133" s="5" t="s">
        <v>2505</v>
      </c>
      <c r="E133" s="14" t="s">
        <v>1536</v>
      </c>
      <c r="F133" s="161">
        <v>23643</v>
      </c>
      <c r="G133" s="151" t="s">
        <v>2506</v>
      </c>
      <c r="H133" s="68" t="s">
        <v>2507</v>
      </c>
      <c r="I133" s="5" t="s">
        <v>1738</v>
      </c>
      <c r="J133" s="150">
        <v>45566</v>
      </c>
      <c r="K133" s="5">
        <v>32</v>
      </c>
      <c r="L133" s="5">
        <v>7</v>
      </c>
      <c r="M133" s="12" t="s">
        <v>1739</v>
      </c>
      <c r="N133" s="150">
        <v>44652</v>
      </c>
      <c r="O133" s="5" t="s">
        <v>982</v>
      </c>
      <c r="P133" s="157" t="s">
        <v>2508</v>
      </c>
      <c r="Q133" s="157" t="s">
        <v>1840</v>
      </c>
      <c r="R133" s="9"/>
      <c r="S133" s="162">
        <v>102100504658</v>
      </c>
      <c r="T133" s="20">
        <v>2023096401</v>
      </c>
      <c r="U133" s="150">
        <v>47392</v>
      </c>
      <c r="V133" s="11" t="s">
        <v>2169</v>
      </c>
      <c r="W133" s="14" t="s">
        <v>2509</v>
      </c>
      <c r="X133" s="11"/>
      <c r="Y133" s="5"/>
      <c r="Z133" s="172"/>
    </row>
    <row r="134" spans="1:26" ht="39" customHeight="1" x14ac:dyDescent="0.25">
      <c r="A134" s="5">
        <v>48</v>
      </c>
      <c r="B134" s="12" t="s">
        <v>2510</v>
      </c>
      <c r="C134" s="5" t="s">
        <v>18</v>
      </c>
      <c r="D134" s="5" t="s">
        <v>2511</v>
      </c>
      <c r="E134" s="14" t="s">
        <v>1887</v>
      </c>
      <c r="F134" s="161">
        <v>26499</v>
      </c>
      <c r="G134" s="151" t="s">
        <v>2512</v>
      </c>
      <c r="H134" s="68" t="s">
        <v>2513</v>
      </c>
      <c r="I134" s="5" t="s">
        <v>1717</v>
      </c>
      <c r="J134" s="150">
        <v>45566</v>
      </c>
      <c r="K134" s="5">
        <v>24</v>
      </c>
      <c r="L134" s="5">
        <v>7</v>
      </c>
      <c r="M134" s="12" t="s">
        <v>1739</v>
      </c>
      <c r="N134" s="150">
        <v>44621</v>
      </c>
      <c r="O134" s="5" t="s">
        <v>982</v>
      </c>
      <c r="P134" s="157" t="s">
        <v>1559</v>
      </c>
      <c r="Q134" s="157" t="s">
        <v>2514</v>
      </c>
      <c r="R134" s="9"/>
      <c r="S134" s="162">
        <v>102100504632</v>
      </c>
      <c r="T134" s="20">
        <v>2019077202</v>
      </c>
      <c r="U134" s="150">
        <v>50253</v>
      </c>
      <c r="V134" s="11" t="s">
        <v>2218</v>
      </c>
      <c r="W134" s="14" t="s">
        <v>2515</v>
      </c>
      <c r="X134" s="11"/>
      <c r="Y134" s="5"/>
      <c r="Z134" s="172"/>
    </row>
    <row r="135" spans="1:26" ht="39" customHeight="1" x14ac:dyDescent="0.25">
      <c r="A135" s="5">
        <v>49</v>
      </c>
      <c r="B135" s="12" t="s">
        <v>2516</v>
      </c>
      <c r="C135" s="5" t="s">
        <v>18</v>
      </c>
      <c r="D135" s="5" t="s">
        <v>2517</v>
      </c>
      <c r="E135" s="14" t="s">
        <v>2103</v>
      </c>
      <c r="F135" s="161">
        <v>26716</v>
      </c>
      <c r="G135" s="151" t="s">
        <v>2518</v>
      </c>
      <c r="H135" s="68" t="s">
        <v>2519</v>
      </c>
      <c r="I135" s="5" t="s">
        <v>1717</v>
      </c>
      <c r="J135" s="150">
        <v>45566</v>
      </c>
      <c r="K135" s="5">
        <v>25</v>
      </c>
      <c r="L135" s="5">
        <v>7</v>
      </c>
      <c r="M135" s="12" t="s">
        <v>1739</v>
      </c>
      <c r="N135" s="150">
        <v>44652</v>
      </c>
      <c r="O135" s="5" t="s">
        <v>982</v>
      </c>
      <c r="P135" s="157" t="s">
        <v>2520</v>
      </c>
      <c r="Q135" s="157" t="s">
        <v>2521</v>
      </c>
      <c r="R135" s="9"/>
      <c r="S135" s="162">
        <v>102100504736</v>
      </c>
      <c r="T135" s="20">
        <v>2021027301</v>
      </c>
      <c r="U135" s="150">
        <v>50465</v>
      </c>
      <c r="V135" s="11" t="s">
        <v>2169</v>
      </c>
      <c r="W135" s="14" t="s">
        <v>2522</v>
      </c>
      <c r="X135" s="11" t="s">
        <v>2523</v>
      </c>
      <c r="Y135" s="51">
        <v>45586</v>
      </c>
      <c r="Z135" s="154"/>
    </row>
    <row r="136" spans="1:26" ht="39" customHeight="1" x14ac:dyDescent="0.25">
      <c r="A136" s="5">
        <v>50</v>
      </c>
      <c r="B136" s="14" t="s">
        <v>2524</v>
      </c>
      <c r="C136" s="5" t="s">
        <v>46</v>
      </c>
      <c r="D136" s="10" t="s">
        <v>2525</v>
      </c>
      <c r="E136" s="14" t="s">
        <v>1545</v>
      </c>
      <c r="F136" s="150">
        <v>30539</v>
      </c>
      <c r="G136" s="8" t="s">
        <v>2526</v>
      </c>
      <c r="H136" s="68" t="s">
        <v>2527</v>
      </c>
      <c r="I136" s="5" t="s">
        <v>1738</v>
      </c>
      <c r="J136" s="150">
        <v>45200</v>
      </c>
      <c r="K136" s="5">
        <v>12</v>
      </c>
      <c r="L136" s="5">
        <v>9</v>
      </c>
      <c r="M136" s="12" t="s">
        <v>1739</v>
      </c>
      <c r="N136" s="150">
        <v>44105</v>
      </c>
      <c r="O136" s="5" t="s">
        <v>982</v>
      </c>
      <c r="P136" s="11" t="s">
        <v>2528</v>
      </c>
      <c r="Q136" s="11" t="s">
        <v>2529</v>
      </c>
      <c r="R136" s="168" t="s">
        <v>1084</v>
      </c>
      <c r="S136" s="162">
        <v>142100512849</v>
      </c>
      <c r="T136" s="20" t="s">
        <v>2530</v>
      </c>
      <c r="U136" s="150">
        <v>54302</v>
      </c>
      <c r="V136" s="11" t="s">
        <v>2180</v>
      </c>
      <c r="W136" s="14" t="s">
        <v>2531</v>
      </c>
      <c r="X136" s="11" t="s">
        <v>2532</v>
      </c>
      <c r="Y136" s="51">
        <v>45586</v>
      </c>
      <c r="Z136" s="172"/>
    </row>
    <row r="137" spans="1:26" ht="39" customHeight="1" x14ac:dyDescent="0.25">
      <c r="A137" s="5">
        <v>51</v>
      </c>
      <c r="B137" s="14" t="s">
        <v>2533</v>
      </c>
      <c r="C137" s="5" t="s">
        <v>18</v>
      </c>
      <c r="D137" s="10" t="s">
        <v>2525</v>
      </c>
      <c r="E137" s="14" t="s">
        <v>1687</v>
      </c>
      <c r="F137" s="150">
        <v>30167</v>
      </c>
      <c r="G137" s="8" t="s">
        <v>2534</v>
      </c>
      <c r="H137" s="68" t="s">
        <v>2535</v>
      </c>
      <c r="I137" s="5" t="s">
        <v>1717</v>
      </c>
      <c r="J137" s="150">
        <v>45200</v>
      </c>
      <c r="K137" s="5">
        <v>12</v>
      </c>
      <c r="L137" s="5">
        <v>9</v>
      </c>
      <c r="M137" s="12" t="s">
        <v>1739</v>
      </c>
      <c r="N137" s="150">
        <v>44927</v>
      </c>
      <c r="O137" s="5" t="s">
        <v>982</v>
      </c>
      <c r="P137" s="11" t="s">
        <v>2536</v>
      </c>
      <c r="Q137" s="11" t="s">
        <v>2537</v>
      </c>
      <c r="R137" s="168" t="s">
        <v>1084</v>
      </c>
      <c r="S137" s="162">
        <v>142100512848</v>
      </c>
      <c r="T137" s="20" t="s">
        <v>2538</v>
      </c>
      <c r="U137" s="150">
        <v>53936</v>
      </c>
      <c r="V137" s="11" t="s">
        <v>2218</v>
      </c>
      <c r="W137" s="14" t="s">
        <v>2539</v>
      </c>
      <c r="X137" s="181" t="s">
        <v>2540</v>
      </c>
      <c r="Y137" s="182">
        <v>45637</v>
      </c>
      <c r="Z137" s="40"/>
    </row>
    <row r="138" spans="1:26" ht="39" customHeight="1" x14ac:dyDescent="0.25">
      <c r="A138" s="5">
        <v>52</v>
      </c>
      <c r="B138" s="12" t="s">
        <v>2541</v>
      </c>
      <c r="C138" s="5" t="s">
        <v>46</v>
      </c>
      <c r="D138" s="5" t="s">
        <v>2542</v>
      </c>
      <c r="E138" s="14" t="s">
        <v>2543</v>
      </c>
      <c r="F138" s="161">
        <v>31663</v>
      </c>
      <c r="G138" s="151" t="s">
        <v>2544</v>
      </c>
      <c r="H138" s="169" t="s">
        <v>2545</v>
      </c>
      <c r="I138" s="5" t="s">
        <v>1717</v>
      </c>
      <c r="J138" s="150">
        <v>45200</v>
      </c>
      <c r="K138" s="5">
        <v>5</v>
      </c>
      <c r="L138" s="5">
        <v>9</v>
      </c>
      <c r="M138" s="12" t="s">
        <v>1739</v>
      </c>
      <c r="N138" s="150">
        <v>44927</v>
      </c>
      <c r="O138" s="5" t="s">
        <v>982</v>
      </c>
      <c r="P138" s="157" t="s">
        <v>2546</v>
      </c>
      <c r="Q138" s="157" t="s">
        <v>2547</v>
      </c>
      <c r="R138" s="9"/>
      <c r="S138" s="162" t="s">
        <v>2548</v>
      </c>
      <c r="T138" s="20" t="s">
        <v>2549</v>
      </c>
      <c r="U138" s="150">
        <v>55427</v>
      </c>
      <c r="V138" s="11" t="s">
        <v>1108</v>
      </c>
      <c r="W138" s="14" t="s">
        <v>2550</v>
      </c>
      <c r="X138" s="11" t="s">
        <v>2551</v>
      </c>
      <c r="Y138" s="51">
        <v>44798</v>
      </c>
      <c r="Z138" s="172" t="s">
        <v>1084</v>
      </c>
    </row>
    <row r="139" spans="1:26" ht="39" customHeight="1" x14ac:dyDescent="0.25">
      <c r="A139" s="5">
        <v>53</v>
      </c>
      <c r="B139" s="40" t="s">
        <v>2552</v>
      </c>
      <c r="C139" s="39" t="s">
        <v>18</v>
      </c>
      <c r="D139" s="5"/>
      <c r="E139" s="40" t="s">
        <v>2553</v>
      </c>
      <c r="F139" s="170">
        <v>34130</v>
      </c>
      <c r="G139" s="156" t="s">
        <v>2554</v>
      </c>
      <c r="H139" s="68" t="s">
        <v>2555</v>
      </c>
      <c r="I139" s="5" t="s">
        <v>1717</v>
      </c>
      <c r="J139" s="161">
        <v>45200</v>
      </c>
      <c r="K139" s="5">
        <v>4</v>
      </c>
      <c r="L139" s="5">
        <v>7</v>
      </c>
      <c r="M139" s="12" t="s">
        <v>1739</v>
      </c>
      <c r="N139" s="161">
        <v>44866</v>
      </c>
      <c r="O139" s="5" t="s">
        <v>982</v>
      </c>
      <c r="P139" s="157"/>
      <c r="Q139" s="160" t="s">
        <v>2556</v>
      </c>
      <c r="R139" s="9"/>
      <c r="S139" s="162"/>
      <c r="T139" s="171" t="s">
        <v>2557</v>
      </c>
      <c r="U139" s="150">
        <v>57862</v>
      </c>
      <c r="V139" s="11" t="s">
        <v>2180</v>
      </c>
      <c r="W139" s="160" t="s">
        <v>2558</v>
      </c>
      <c r="X139" s="11"/>
      <c r="Y139" s="5"/>
      <c r="Z139" s="153" t="s">
        <v>1965</v>
      </c>
    </row>
    <row r="140" spans="1:26" ht="39" customHeight="1" x14ac:dyDescent="0.25">
      <c r="A140" s="5">
        <v>54</v>
      </c>
      <c r="B140" s="40" t="s">
        <v>2559</v>
      </c>
      <c r="C140" s="39" t="s">
        <v>46</v>
      </c>
      <c r="D140" s="5"/>
      <c r="E140" s="40" t="s">
        <v>1638</v>
      </c>
      <c r="F140" s="170">
        <v>33052</v>
      </c>
      <c r="G140" s="156" t="s">
        <v>2560</v>
      </c>
      <c r="H140" s="68" t="s">
        <v>2561</v>
      </c>
      <c r="I140" s="5" t="s">
        <v>1717</v>
      </c>
      <c r="J140" s="161">
        <v>45200</v>
      </c>
      <c r="K140" s="5">
        <v>4</v>
      </c>
      <c r="L140" s="5">
        <v>7</v>
      </c>
      <c r="M140" s="12" t="s">
        <v>1739</v>
      </c>
      <c r="N140" s="161">
        <v>44927</v>
      </c>
      <c r="O140" s="5" t="s">
        <v>982</v>
      </c>
      <c r="P140" s="157" t="s">
        <v>2562</v>
      </c>
      <c r="Q140" s="160" t="s">
        <v>2563</v>
      </c>
      <c r="R140" s="9"/>
      <c r="S140" s="162" t="s">
        <v>2564</v>
      </c>
      <c r="T140" s="171" t="s">
        <v>2565</v>
      </c>
      <c r="U140" s="150">
        <v>56796</v>
      </c>
      <c r="V140" s="11" t="s">
        <v>1108</v>
      </c>
      <c r="W140" s="160" t="s">
        <v>2040</v>
      </c>
      <c r="X140" s="11"/>
      <c r="Y140" s="5"/>
      <c r="Z140" s="172"/>
    </row>
    <row r="141" spans="1:26" ht="39" customHeight="1" x14ac:dyDescent="0.25">
      <c r="A141" s="5">
        <v>55</v>
      </c>
      <c r="B141" s="154" t="s">
        <v>2566</v>
      </c>
      <c r="C141" s="67" t="s">
        <v>18</v>
      </c>
      <c r="D141" s="5"/>
      <c r="E141" s="154" t="s">
        <v>1638</v>
      </c>
      <c r="F141" s="155">
        <v>33326</v>
      </c>
      <c r="G141" s="106" t="s">
        <v>2567</v>
      </c>
      <c r="H141" s="68" t="s">
        <v>2568</v>
      </c>
      <c r="I141" s="5" t="s">
        <v>1717</v>
      </c>
      <c r="J141" s="161">
        <v>45200</v>
      </c>
      <c r="K141" s="5">
        <v>4</v>
      </c>
      <c r="L141" s="5">
        <v>7</v>
      </c>
      <c r="M141" s="12" t="s">
        <v>1739</v>
      </c>
      <c r="N141" s="161">
        <v>44927</v>
      </c>
      <c r="O141" s="5" t="s">
        <v>982</v>
      </c>
      <c r="P141" s="157" t="s">
        <v>2569</v>
      </c>
      <c r="Q141" s="160" t="s">
        <v>2570</v>
      </c>
      <c r="R141" s="9"/>
      <c r="S141" s="162" t="s">
        <v>2571</v>
      </c>
      <c r="T141" s="183">
        <v>2029039104</v>
      </c>
      <c r="U141" s="150">
        <v>57071</v>
      </c>
      <c r="V141" s="11" t="s">
        <v>2169</v>
      </c>
      <c r="W141" s="160" t="s">
        <v>2572</v>
      </c>
      <c r="X141" s="11"/>
      <c r="Y141" s="5"/>
      <c r="Z141" s="172"/>
    </row>
    <row r="142" spans="1:26" ht="39" customHeight="1" x14ac:dyDescent="0.25">
      <c r="A142" s="5">
        <v>56</v>
      </c>
      <c r="B142" s="40" t="s">
        <v>2573</v>
      </c>
      <c r="C142" s="39" t="s">
        <v>46</v>
      </c>
      <c r="D142" s="5"/>
      <c r="E142" s="40" t="s">
        <v>1894</v>
      </c>
      <c r="F142" s="170">
        <v>33284</v>
      </c>
      <c r="G142" s="156" t="s">
        <v>2574</v>
      </c>
      <c r="H142" s="68" t="s">
        <v>2575</v>
      </c>
      <c r="I142" s="5" t="s">
        <v>1717</v>
      </c>
      <c r="J142" s="161">
        <v>45200</v>
      </c>
      <c r="K142" s="5">
        <v>4</v>
      </c>
      <c r="L142" s="5">
        <v>7</v>
      </c>
      <c r="M142" s="12" t="s">
        <v>1739</v>
      </c>
      <c r="N142" s="161">
        <v>44866</v>
      </c>
      <c r="O142" s="5" t="s">
        <v>982</v>
      </c>
      <c r="P142" s="157" t="s">
        <v>2576</v>
      </c>
      <c r="Q142" s="160" t="s">
        <v>2577</v>
      </c>
      <c r="R142" s="9"/>
      <c r="S142" s="162" t="s">
        <v>2578</v>
      </c>
      <c r="T142" s="171" t="s">
        <v>2579</v>
      </c>
      <c r="U142" s="150">
        <v>57040</v>
      </c>
      <c r="V142" s="11" t="s">
        <v>1108</v>
      </c>
      <c r="W142" s="160" t="s">
        <v>2580</v>
      </c>
      <c r="X142" s="11"/>
      <c r="Y142" s="5"/>
      <c r="Z142" s="172"/>
    </row>
    <row r="143" spans="1:26" ht="39" customHeight="1" x14ac:dyDescent="0.25">
      <c r="A143" s="5">
        <v>57</v>
      </c>
      <c r="B143" s="154" t="s">
        <v>2581</v>
      </c>
      <c r="C143" s="67" t="s">
        <v>18</v>
      </c>
      <c r="D143" s="5"/>
      <c r="E143" s="154" t="s">
        <v>2184</v>
      </c>
      <c r="F143" s="155">
        <v>33829</v>
      </c>
      <c r="G143" s="106" t="s">
        <v>2582</v>
      </c>
      <c r="H143" s="68" t="s">
        <v>2583</v>
      </c>
      <c r="I143" s="5" t="s">
        <v>1717</v>
      </c>
      <c r="J143" s="161">
        <v>45200</v>
      </c>
      <c r="K143" s="5">
        <v>4</v>
      </c>
      <c r="L143" s="5">
        <v>7</v>
      </c>
      <c r="M143" s="12" t="s">
        <v>1739</v>
      </c>
      <c r="N143" s="161">
        <v>44866</v>
      </c>
      <c r="O143" s="5" t="s">
        <v>982</v>
      </c>
      <c r="P143" s="157" t="s">
        <v>2584</v>
      </c>
      <c r="Q143" s="160" t="s">
        <v>2585</v>
      </c>
      <c r="R143" s="9"/>
      <c r="S143" s="162" t="s">
        <v>2586</v>
      </c>
      <c r="T143" s="171" t="s">
        <v>2587</v>
      </c>
      <c r="U143" s="150">
        <v>57589</v>
      </c>
      <c r="V143" s="11" t="s">
        <v>2218</v>
      </c>
      <c r="W143" s="160" t="s">
        <v>2588</v>
      </c>
      <c r="X143" s="11"/>
      <c r="Y143" s="5"/>
      <c r="Z143" s="172"/>
    </row>
    <row r="144" spans="1:26" ht="39" customHeight="1" x14ac:dyDescent="0.25">
      <c r="A144" s="5">
        <v>58</v>
      </c>
      <c r="B144" s="154" t="s">
        <v>2589</v>
      </c>
      <c r="C144" s="67" t="s">
        <v>18</v>
      </c>
      <c r="D144" s="5"/>
      <c r="E144" s="154" t="s">
        <v>2590</v>
      </c>
      <c r="F144" s="155">
        <v>32763</v>
      </c>
      <c r="G144" s="106" t="s">
        <v>2591</v>
      </c>
      <c r="H144" s="68" t="s">
        <v>2592</v>
      </c>
      <c r="I144" s="5" t="s">
        <v>1717</v>
      </c>
      <c r="J144" s="161">
        <v>45200</v>
      </c>
      <c r="K144" s="5">
        <v>4</v>
      </c>
      <c r="L144" s="5">
        <v>7</v>
      </c>
      <c r="M144" s="12" t="s">
        <v>1739</v>
      </c>
      <c r="N144" s="161">
        <v>44866</v>
      </c>
      <c r="O144" s="5" t="s">
        <v>982</v>
      </c>
      <c r="P144" s="157" t="s">
        <v>2593</v>
      </c>
      <c r="Q144" s="160" t="s">
        <v>2594</v>
      </c>
      <c r="R144" s="9"/>
      <c r="S144" s="162" t="s">
        <v>2595</v>
      </c>
      <c r="T144" s="171" t="s">
        <v>2596</v>
      </c>
      <c r="U144" s="150">
        <v>56615</v>
      </c>
      <c r="V144" s="11" t="s">
        <v>2180</v>
      </c>
      <c r="W144" s="160" t="s">
        <v>2597</v>
      </c>
      <c r="X144" s="11" t="s">
        <v>2598</v>
      </c>
      <c r="Y144" s="51">
        <v>45586</v>
      </c>
      <c r="Z144" s="172"/>
    </row>
    <row r="145" spans="1:26" ht="39" customHeight="1" x14ac:dyDescent="0.25">
      <c r="A145" s="5">
        <v>59</v>
      </c>
      <c r="B145" s="40" t="s">
        <v>2599</v>
      </c>
      <c r="C145" s="39" t="s">
        <v>46</v>
      </c>
      <c r="D145" s="5"/>
      <c r="E145" s="40" t="s">
        <v>1555</v>
      </c>
      <c r="F145" s="170">
        <v>34254</v>
      </c>
      <c r="G145" s="156" t="s">
        <v>2600</v>
      </c>
      <c r="H145" s="68" t="s">
        <v>2601</v>
      </c>
      <c r="I145" s="5" t="s">
        <v>1717</v>
      </c>
      <c r="J145" s="161">
        <v>45200</v>
      </c>
      <c r="K145" s="5">
        <v>4</v>
      </c>
      <c r="L145" s="5">
        <v>7</v>
      </c>
      <c r="M145" s="12" t="s">
        <v>1739</v>
      </c>
      <c r="N145" s="161">
        <v>44866</v>
      </c>
      <c r="O145" s="5" t="s">
        <v>982</v>
      </c>
      <c r="P145" s="157" t="s">
        <v>2602</v>
      </c>
      <c r="Q145" s="160" t="s">
        <v>2603</v>
      </c>
      <c r="R145" s="9"/>
      <c r="S145" s="162" t="s">
        <v>2604</v>
      </c>
      <c r="T145" s="171" t="s">
        <v>2605</v>
      </c>
      <c r="U145" s="150">
        <v>58015</v>
      </c>
      <c r="V145" s="11" t="s">
        <v>2180</v>
      </c>
      <c r="W145" s="160" t="s">
        <v>2606</v>
      </c>
      <c r="X145" s="89"/>
      <c r="Y145" s="89"/>
      <c r="Z145" s="89"/>
    </row>
    <row r="146" spans="1:26" ht="39" customHeight="1" x14ac:dyDescent="0.25">
      <c r="A146" s="5">
        <v>60</v>
      </c>
      <c r="B146" s="154" t="s">
        <v>2607</v>
      </c>
      <c r="C146" s="67" t="s">
        <v>18</v>
      </c>
      <c r="D146" s="5"/>
      <c r="E146" s="154" t="s">
        <v>2608</v>
      </c>
      <c r="F146" s="155">
        <v>32617</v>
      </c>
      <c r="G146" s="106" t="s">
        <v>2609</v>
      </c>
      <c r="H146" s="68" t="s">
        <v>2610</v>
      </c>
      <c r="I146" s="5" t="s">
        <v>1717</v>
      </c>
      <c r="J146" s="161">
        <v>45200</v>
      </c>
      <c r="K146" s="5">
        <v>10</v>
      </c>
      <c r="L146" s="5">
        <v>3</v>
      </c>
      <c r="M146" s="12" t="s">
        <v>1739</v>
      </c>
      <c r="N146" s="161">
        <v>44866</v>
      </c>
      <c r="O146" s="5" t="s">
        <v>982</v>
      </c>
      <c r="P146" s="157" t="s">
        <v>2611</v>
      </c>
      <c r="Q146" s="160" t="s">
        <v>2612</v>
      </c>
      <c r="R146" s="9"/>
      <c r="S146" s="162" t="s">
        <v>2613</v>
      </c>
      <c r="T146" s="171" t="s">
        <v>2614</v>
      </c>
      <c r="U146" s="150">
        <v>56370</v>
      </c>
      <c r="V146" s="11" t="s">
        <v>2169</v>
      </c>
      <c r="W146" s="160" t="s">
        <v>2615</v>
      </c>
      <c r="X146" s="89"/>
      <c r="Y146" s="89"/>
      <c r="Z146" s="89"/>
    </row>
    <row r="147" spans="1:26" ht="39" customHeight="1" x14ac:dyDescent="0.25">
      <c r="A147" s="5">
        <v>61</v>
      </c>
      <c r="B147" s="40" t="s">
        <v>2616</v>
      </c>
      <c r="C147" s="39" t="s">
        <v>18</v>
      </c>
      <c r="D147" s="12"/>
      <c r="E147" s="40" t="s">
        <v>1648</v>
      </c>
      <c r="F147" s="170">
        <v>33836</v>
      </c>
      <c r="G147" s="156" t="s">
        <v>2617</v>
      </c>
      <c r="H147" s="68" t="s">
        <v>2618</v>
      </c>
      <c r="I147" s="5" t="s">
        <v>1717</v>
      </c>
      <c r="J147" s="161">
        <v>45200</v>
      </c>
      <c r="K147" s="5">
        <v>4</v>
      </c>
      <c r="L147" s="5">
        <v>7</v>
      </c>
      <c r="M147" s="12" t="s">
        <v>1739</v>
      </c>
      <c r="N147" s="161">
        <v>44927</v>
      </c>
      <c r="O147" s="5" t="s">
        <v>982</v>
      </c>
      <c r="P147" s="157" t="s">
        <v>2584</v>
      </c>
      <c r="Q147" s="160" t="s">
        <v>2619</v>
      </c>
      <c r="R147" s="9"/>
      <c r="S147" s="162" t="s">
        <v>2620</v>
      </c>
      <c r="T147" s="171" t="s">
        <v>2621</v>
      </c>
      <c r="U147" s="150">
        <v>57589</v>
      </c>
      <c r="V147" s="11" t="s">
        <v>1108</v>
      </c>
      <c r="W147" s="160" t="s">
        <v>2622</v>
      </c>
      <c r="X147" s="11" t="s">
        <v>2623</v>
      </c>
      <c r="Y147" s="51">
        <v>45586</v>
      </c>
      <c r="Z147" s="154"/>
    </row>
    <row r="148" spans="1:26" ht="39" customHeight="1" x14ac:dyDescent="0.25">
      <c r="A148" s="5">
        <v>62</v>
      </c>
      <c r="B148" s="40" t="s">
        <v>2624</v>
      </c>
      <c r="C148" s="39" t="s">
        <v>46</v>
      </c>
      <c r="D148" s="12"/>
      <c r="E148" s="40" t="s">
        <v>2625</v>
      </c>
      <c r="F148" s="170">
        <v>33400</v>
      </c>
      <c r="G148" s="156" t="s">
        <v>2626</v>
      </c>
      <c r="H148" s="68" t="s">
        <v>2627</v>
      </c>
      <c r="I148" s="5" t="s">
        <v>1717</v>
      </c>
      <c r="J148" s="161">
        <v>45200</v>
      </c>
      <c r="K148" s="5">
        <v>4</v>
      </c>
      <c r="L148" s="5">
        <v>7</v>
      </c>
      <c r="M148" s="12" t="s">
        <v>1739</v>
      </c>
      <c r="N148" s="161">
        <v>44927</v>
      </c>
      <c r="O148" s="5" t="s">
        <v>982</v>
      </c>
      <c r="P148" s="157" t="s">
        <v>2628</v>
      </c>
      <c r="Q148" s="160" t="s">
        <v>2629</v>
      </c>
      <c r="R148" s="9"/>
      <c r="S148" s="162" t="s">
        <v>2630</v>
      </c>
      <c r="T148" s="171" t="s">
        <v>2631</v>
      </c>
      <c r="U148" s="150">
        <v>57162</v>
      </c>
      <c r="V148" s="11" t="s">
        <v>2169</v>
      </c>
      <c r="W148" s="160" t="s">
        <v>2170</v>
      </c>
      <c r="X148" s="181" t="s">
        <v>2540</v>
      </c>
      <c r="Y148" s="182">
        <v>45637</v>
      </c>
      <c r="Z148" s="184"/>
    </row>
    <row r="149" spans="1:26" ht="39" customHeight="1" x14ac:dyDescent="0.25">
      <c r="A149" s="5">
        <v>63</v>
      </c>
      <c r="B149" s="14" t="s">
        <v>2632</v>
      </c>
      <c r="C149" s="5" t="s">
        <v>18</v>
      </c>
      <c r="D149" s="5" t="s">
        <v>2633</v>
      </c>
      <c r="E149" s="14" t="s">
        <v>2634</v>
      </c>
      <c r="F149" s="150">
        <v>29512</v>
      </c>
      <c r="G149" s="151" t="s">
        <v>2635</v>
      </c>
      <c r="H149" s="68" t="s">
        <v>2636</v>
      </c>
      <c r="I149" s="5" t="s">
        <v>1717</v>
      </c>
      <c r="J149" s="150">
        <v>45383</v>
      </c>
      <c r="K149" s="5">
        <v>15</v>
      </c>
      <c r="L149" s="5">
        <v>3</v>
      </c>
      <c r="M149" s="12" t="s">
        <v>1739</v>
      </c>
      <c r="N149" s="150">
        <v>44927</v>
      </c>
      <c r="O149" s="5" t="s">
        <v>1028</v>
      </c>
      <c r="P149" s="11" t="s">
        <v>2637</v>
      </c>
      <c r="Q149" s="11" t="s">
        <v>2638</v>
      </c>
      <c r="R149" s="9" t="s">
        <v>2639</v>
      </c>
      <c r="S149" s="162">
        <v>132100511976</v>
      </c>
      <c r="T149" s="20">
        <v>2018108002</v>
      </c>
      <c r="U149" s="150">
        <v>53267</v>
      </c>
      <c r="V149" s="11" t="s">
        <v>2131</v>
      </c>
      <c r="W149" s="14" t="s">
        <v>2640</v>
      </c>
      <c r="X149" s="11" t="s">
        <v>2641</v>
      </c>
      <c r="Y149" s="51">
        <v>45586</v>
      </c>
      <c r="Z149" s="154"/>
    </row>
    <row r="150" spans="1:26" ht="39" customHeight="1" x14ac:dyDescent="0.25">
      <c r="A150" s="5">
        <v>64</v>
      </c>
      <c r="B150" s="154" t="s">
        <v>2642</v>
      </c>
      <c r="C150" s="67" t="s">
        <v>18</v>
      </c>
      <c r="D150" s="5"/>
      <c r="E150" s="154" t="s">
        <v>2643</v>
      </c>
      <c r="F150" s="155">
        <v>32648</v>
      </c>
      <c r="G150" s="106" t="s">
        <v>2644</v>
      </c>
      <c r="H150" s="68" t="s">
        <v>2645</v>
      </c>
      <c r="I150" s="5" t="s">
        <v>1717</v>
      </c>
      <c r="J150" s="161">
        <v>45383</v>
      </c>
      <c r="K150" s="5">
        <v>5</v>
      </c>
      <c r="L150" s="5">
        <v>1</v>
      </c>
      <c r="M150" s="12" t="s">
        <v>1739</v>
      </c>
      <c r="N150" s="150">
        <v>44927</v>
      </c>
      <c r="O150" s="5" t="s">
        <v>982</v>
      </c>
      <c r="P150" s="157" t="s">
        <v>2646</v>
      </c>
      <c r="Q150" s="160" t="s">
        <v>2647</v>
      </c>
      <c r="R150" s="9"/>
      <c r="S150" s="162"/>
      <c r="T150" s="171" t="s">
        <v>2648</v>
      </c>
      <c r="U150" s="150">
        <v>56401</v>
      </c>
      <c r="V150" s="11" t="s">
        <v>1108</v>
      </c>
      <c r="W150" s="160" t="s">
        <v>2649</v>
      </c>
      <c r="X150" s="11" t="s">
        <v>2650</v>
      </c>
      <c r="Y150" s="51">
        <v>45586</v>
      </c>
      <c r="Z150" s="154"/>
    </row>
    <row r="151" spans="1:26" ht="39" customHeight="1" x14ac:dyDescent="0.25">
      <c r="A151" s="5">
        <v>65</v>
      </c>
      <c r="B151" s="154" t="s">
        <v>2651</v>
      </c>
      <c r="C151" s="67" t="s">
        <v>18</v>
      </c>
      <c r="D151" s="5"/>
      <c r="E151" s="154" t="s">
        <v>1934</v>
      </c>
      <c r="F151" s="155">
        <v>33074</v>
      </c>
      <c r="G151" s="106" t="s">
        <v>2652</v>
      </c>
      <c r="H151" s="68" t="s">
        <v>2653</v>
      </c>
      <c r="I151" s="5" t="s">
        <v>1717</v>
      </c>
      <c r="J151" s="161">
        <v>45383</v>
      </c>
      <c r="K151" s="5">
        <v>5</v>
      </c>
      <c r="L151" s="5">
        <v>1</v>
      </c>
      <c r="M151" s="12" t="s">
        <v>1739</v>
      </c>
      <c r="N151" s="161">
        <v>45017</v>
      </c>
      <c r="O151" s="5" t="s">
        <v>982</v>
      </c>
      <c r="P151" s="157" t="s">
        <v>2654</v>
      </c>
      <c r="Q151" s="160" t="s">
        <v>2655</v>
      </c>
      <c r="R151" s="9"/>
      <c r="S151" s="162"/>
      <c r="T151" s="171" t="s">
        <v>2656</v>
      </c>
      <c r="U151" s="150">
        <v>56827</v>
      </c>
      <c r="V151" s="11" t="s">
        <v>1108</v>
      </c>
      <c r="W151" s="160" t="s">
        <v>2657</v>
      </c>
      <c r="X151" s="11"/>
      <c r="Y151" s="5"/>
      <c r="Z151" s="172"/>
    </row>
    <row r="152" spans="1:26" ht="39" customHeight="1" x14ac:dyDescent="0.25">
      <c r="A152" s="5">
        <v>66</v>
      </c>
      <c r="B152" s="154" t="s">
        <v>2658</v>
      </c>
      <c r="C152" s="67" t="s">
        <v>46</v>
      </c>
      <c r="D152" s="5"/>
      <c r="E152" s="154" t="s">
        <v>2659</v>
      </c>
      <c r="F152" s="155">
        <v>32959</v>
      </c>
      <c r="G152" s="106" t="s">
        <v>2660</v>
      </c>
      <c r="H152" s="68" t="s">
        <v>2661</v>
      </c>
      <c r="I152" s="5" t="s">
        <v>1717</v>
      </c>
      <c r="J152" s="161">
        <v>45383</v>
      </c>
      <c r="K152" s="5">
        <v>5</v>
      </c>
      <c r="L152" s="5">
        <v>1</v>
      </c>
      <c r="M152" s="12" t="s">
        <v>1739</v>
      </c>
      <c r="N152" s="161">
        <v>45017</v>
      </c>
      <c r="O152" s="5" t="s">
        <v>982</v>
      </c>
      <c r="P152" s="157" t="s">
        <v>2662</v>
      </c>
      <c r="Q152" s="160" t="s">
        <v>2663</v>
      </c>
      <c r="R152" s="9"/>
      <c r="S152" s="162"/>
      <c r="T152" s="171" t="s">
        <v>2664</v>
      </c>
      <c r="U152" s="150">
        <v>56705</v>
      </c>
      <c r="V152" s="11" t="s">
        <v>1108</v>
      </c>
      <c r="W152" s="160" t="s">
        <v>2665</v>
      </c>
      <c r="X152" s="11"/>
      <c r="Y152" s="5"/>
      <c r="Z152" s="172"/>
    </row>
    <row r="153" spans="1:26" ht="39" customHeight="1" x14ac:dyDescent="0.25">
      <c r="A153" s="5">
        <v>67</v>
      </c>
      <c r="B153" s="154" t="s">
        <v>2666</v>
      </c>
      <c r="C153" s="67" t="s">
        <v>18</v>
      </c>
      <c r="D153" s="5"/>
      <c r="E153" s="154" t="s">
        <v>2428</v>
      </c>
      <c r="F153" s="155">
        <v>31302</v>
      </c>
      <c r="G153" s="106" t="s">
        <v>2667</v>
      </c>
      <c r="H153" s="68" t="s">
        <v>2668</v>
      </c>
      <c r="I153" s="5" t="s">
        <v>1717</v>
      </c>
      <c r="J153" s="161">
        <v>45627</v>
      </c>
      <c r="K153" s="5">
        <v>5</v>
      </c>
      <c r="L153" s="5">
        <v>9</v>
      </c>
      <c r="M153" s="12" t="s">
        <v>1739</v>
      </c>
      <c r="N153" s="161">
        <v>44927</v>
      </c>
      <c r="O153" s="5" t="s">
        <v>982</v>
      </c>
      <c r="P153" s="157"/>
      <c r="Q153" s="160" t="s">
        <v>2669</v>
      </c>
      <c r="R153" s="9"/>
      <c r="S153" s="162"/>
      <c r="T153" s="171" t="s">
        <v>2670</v>
      </c>
      <c r="U153" s="150">
        <v>55062</v>
      </c>
      <c r="V153" s="11" t="s">
        <v>2218</v>
      </c>
      <c r="W153" s="160" t="s">
        <v>2671</v>
      </c>
      <c r="X153" s="11" t="s">
        <v>2672</v>
      </c>
      <c r="Y153" s="51">
        <v>45586</v>
      </c>
      <c r="Z153" s="172"/>
    </row>
    <row r="154" spans="1:26" ht="39" customHeight="1" x14ac:dyDescent="0.25">
      <c r="A154" s="5">
        <v>68</v>
      </c>
      <c r="B154" s="154" t="s">
        <v>2673</v>
      </c>
      <c r="C154" s="67" t="s">
        <v>18</v>
      </c>
      <c r="D154" s="12"/>
      <c r="E154" s="154" t="s">
        <v>1420</v>
      </c>
      <c r="F154" s="155">
        <v>34047</v>
      </c>
      <c r="G154" s="106" t="s">
        <v>2674</v>
      </c>
      <c r="H154" s="68" t="s">
        <v>2675</v>
      </c>
      <c r="I154" s="5" t="s">
        <v>1717</v>
      </c>
      <c r="J154" s="161">
        <v>45383</v>
      </c>
      <c r="K154" s="5">
        <v>5</v>
      </c>
      <c r="L154" s="5">
        <v>1</v>
      </c>
      <c r="M154" s="12" t="s">
        <v>1739</v>
      </c>
      <c r="N154" s="161">
        <v>44927</v>
      </c>
      <c r="O154" s="5" t="s">
        <v>982</v>
      </c>
      <c r="P154" s="157"/>
      <c r="Q154" s="160" t="s">
        <v>2676</v>
      </c>
      <c r="R154" s="9"/>
      <c r="S154" s="162"/>
      <c r="T154" s="183">
        <v>2019039302</v>
      </c>
      <c r="U154" s="150">
        <v>57801</v>
      </c>
      <c r="V154" s="11" t="s">
        <v>2131</v>
      </c>
      <c r="W154" s="160" t="s">
        <v>2677</v>
      </c>
      <c r="X154" s="11" t="s">
        <v>2099</v>
      </c>
      <c r="Y154" s="51">
        <v>45632</v>
      </c>
      <c r="Z154" s="172"/>
    </row>
    <row r="155" spans="1:26" ht="39" customHeight="1" x14ac:dyDescent="0.25">
      <c r="A155" s="5">
        <v>69</v>
      </c>
      <c r="B155" s="154" t="s">
        <v>2678</v>
      </c>
      <c r="C155" s="67" t="s">
        <v>18</v>
      </c>
      <c r="D155" s="12"/>
      <c r="E155" s="154" t="s">
        <v>1566</v>
      </c>
      <c r="F155" s="155">
        <v>32266</v>
      </c>
      <c r="G155" s="106" t="s">
        <v>2679</v>
      </c>
      <c r="H155" s="68" t="s">
        <v>2680</v>
      </c>
      <c r="I155" s="5" t="s">
        <v>1717</v>
      </c>
      <c r="J155" s="161">
        <v>45383</v>
      </c>
      <c r="K155" s="5">
        <v>5</v>
      </c>
      <c r="L155" s="5">
        <v>1</v>
      </c>
      <c r="M155" s="12" t="s">
        <v>1739</v>
      </c>
      <c r="N155" s="161">
        <v>44927</v>
      </c>
      <c r="O155" s="5" t="s">
        <v>982</v>
      </c>
      <c r="P155" s="157" t="s">
        <v>2681</v>
      </c>
      <c r="Q155" s="160" t="s">
        <v>2682</v>
      </c>
      <c r="R155" s="9"/>
      <c r="S155" s="162">
        <v>182212815453</v>
      </c>
      <c r="T155" s="171" t="s">
        <v>2683</v>
      </c>
      <c r="U155" s="150">
        <v>56036</v>
      </c>
      <c r="V155" s="11" t="s">
        <v>2131</v>
      </c>
      <c r="W155" s="160" t="s">
        <v>2677</v>
      </c>
      <c r="X155" s="11" t="s">
        <v>2684</v>
      </c>
      <c r="Y155" s="185">
        <v>45586</v>
      </c>
      <c r="Z155" s="154"/>
    </row>
    <row r="156" spans="1:26" ht="39" customHeight="1" x14ac:dyDescent="0.25">
      <c r="A156" s="5">
        <v>70</v>
      </c>
      <c r="B156" s="40" t="s">
        <v>2685</v>
      </c>
      <c r="C156" s="39" t="s">
        <v>18</v>
      </c>
      <c r="D156" s="5"/>
      <c r="E156" s="40" t="s">
        <v>1536</v>
      </c>
      <c r="F156" s="170">
        <v>32492</v>
      </c>
      <c r="G156" s="156" t="s">
        <v>2686</v>
      </c>
      <c r="H156" s="68" t="s">
        <v>2687</v>
      </c>
      <c r="I156" s="5" t="s">
        <v>1717</v>
      </c>
      <c r="J156" s="161">
        <v>45383</v>
      </c>
      <c r="K156" s="5">
        <v>5</v>
      </c>
      <c r="L156" s="5">
        <v>1</v>
      </c>
      <c r="M156" s="12" t="s">
        <v>1739</v>
      </c>
      <c r="N156" s="161">
        <v>44927</v>
      </c>
      <c r="O156" s="5" t="s">
        <v>982</v>
      </c>
      <c r="P156" s="157" t="s">
        <v>2688</v>
      </c>
      <c r="Q156" s="160" t="s">
        <v>2689</v>
      </c>
      <c r="R156" s="9"/>
      <c r="S156" s="162"/>
      <c r="T156" s="171" t="s">
        <v>2690</v>
      </c>
      <c r="U156" s="150">
        <v>56250</v>
      </c>
      <c r="V156" s="11" t="s">
        <v>2218</v>
      </c>
      <c r="W156" s="160" t="s">
        <v>2691</v>
      </c>
      <c r="X156" s="11"/>
      <c r="Y156" s="51"/>
      <c r="Z156" s="172"/>
    </row>
    <row r="157" spans="1:26" ht="39" customHeight="1" x14ac:dyDescent="0.25">
      <c r="A157" s="5">
        <v>71</v>
      </c>
      <c r="B157" s="14" t="s">
        <v>2692</v>
      </c>
      <c r="C157" s="5" t="s">
        <v>46</v>
      </c>
      <c r="D157" s="5" t="s">
        <v>2693</v>
      </c>
      <c r="E157" s="14" t="s">
        <v>2694</v>
      </c>
      <c r="F157" s="150" t="s">
        <v>2695</v>
      </c>
      <c r="G157" s="151" t="s">
        <v>2696</v>
      </c>
      <c r="H157" s="68" t="s">
        <v>2697</v>
      </c>
      <c r="I157" s="5" t="s">
        <v>2698</v>
      </c>
      <c r="J157" s="150">
        <v>38808</v>
      </c>
      <c r="K157" s="5">
        <v>0</v>
      </c>
      <c r="L157" s="5">
        <v>0</v>
      </c>
      <c r="M157" s="12" t="s">
        <v>1121</v>
      </c>
      <c r="N157" s="150" t="s">
        <v>2699</v>
      </c>
      <c r="O157" s="5" t="s">
        <v>982</v>
      </c>
      <c r="P157" s="157" t="s">
        <v>2700</v>
      </c>
      <c r="Q157" s="157" t="s">
        <v>2406</v>
      </c>
      <c r="R157" s="9"/>
      <c r="S157" s="162">
        <v>112100513000020</v>
      </c>
      <c r="T157" s="20">
        <v>2017037702</v>
      </c>
      <c r="U157" s="150">
        <v>51957</v>
      </c>
      <c r="V157" s="11" t="s">
        <v>2131</v>
      </c>
      <c r="W157" s="14" t="s">
        <v>2701</v>
      </c>
      <c r="X157" s="89"/>
      <c r="Y157" s="89"/>
      <c r="Z157" s="89"/>
    </row>
    <row r="158" spans="1:26" ht="39" customHeight="1" x14ac:dyDescent="0.25">
      <c r="A158" s="5">
        <v>72</v>
      </c>
      <c r="B158" s="154" t="s">
        <v>2702</v>
      </c>
      <c r="C158" s="67" t="s">
        <v>46</v>
      </c>
      <c r="D158" s="12"/>
      <c r="E158" s="154" t="s">
        <v>1648</v>
      </c>
      <c r="F158" s="155">
        <v>32391</v>
      </c>
      <c r="G158" s="106" t="s">
        <v>2703</v>
      </c>
      <c r="H158" s="68" t="s">
        <v>2704</v>
      </c>
      <c r="I158" s="5" t="s">
        <v>1991</v>
      </c>
      <c r="J158" s="161">
        <v>43525</v>
      </c>
      <c r="K158" s="5"/>
      <c r="L158" s="5"/>
      <c r="M158" s="12" t="s">
        <v>1121</v>
      </c>
      <c r="N158" s="161">
        <v>44075</v>
      </c>
      <c r="O158" s="5" t="s">
        <v>982</v>
      </c>
      <c r="P158" s="157" t="s">
        <v>2705</v>
      </c>
      <c r="Q158" s="160" t="s">
        <v>2706</v>
      </c>
      <c r="R158" s="9"/>
      <c r="S158" s="162"/>
      <c r="T158" s="171" t="s">
        <v>2707</v>
      </c>
      <c r="U158" s="150">
        <v>56158</v>
      </c>
      <c r="V158" s="11" t="s">
        <v>2131</v>
      </c>
      <c r="W158" s="160" t="s">
        <v>2476</v>
      </c>
      <c r="X158" s="11"/>
      <c r="Y158" s="5"/>
      <c r="Z158" s="172" t="s">
        <v>1965</v>
      </c>
    </row>
    <row r="159" spans="1:26" ht="39" customHeight="1" x14ac:dyDescent="0.25">
      <c r="A159" s="5">
        <v>73</v>
      </c>
      <c r="B159" s="154" t="s">
        <v>2708</v>
      </c>
      <c r="C159" s="67" t="s">
        <v>18</v>
      </c>
      <c r="D159" s="12"/>
      <c r="E159" s="154" t="s">
        <v>2709</v>
      </c>
      <c r="F159" s="155">
        <v>32970</v>
      </c>
      <c r="G159" s="106" t="s">
        <v>2710</v>
      </c>
      <c r="H159" s="68" t="s">
        <v>2711</v>
      </c>
      <c r="I159" s="5" t="s">
        <v>1991</v>
      </c>
      <c r="J159" s="161">
        <v>43525</v>
      </c>
      <c r="K159" s="5"/>
      <c r="L159" s="5"/>
      <c r="M159" s="12" t="s">
        <v>1121</v>
      </c>
      <c r="N159" s="161">
        <v>44075</v>
      </c>
      <c r="O159" s="5" t="s">
        <v>982</v>
      </c>
      <c r="P159" s="157" t="s">
        <v>2712</v>
      </c>
      <c r="Q159" s="160" t="s">
        <v>2713</v>
      </c>
      <c r="R159" s="9"/>
      <c r="S159" s="162"/>
      <c r="T159" s="171" t="s">
        <v>2714</v>
      </c>
      <c r="U159" s="150">
        <v>56735</v>
      </c>
      <c r="V159" s="11" t="s">
        <v>2218</v>
      </c>
      <c r="W159" s="89" t="s">
        <v>2715</v>
      </c>
      <c r="X159" s="11"/>
      <c r="Y159" s="5"/>
      <c r="Z159" s="172" t="s">
        <v>1965</v>
      </c>
    </row>
    <row r="160" spans="1:26" ht="39" customHeight="1" x14ac:dyDescent="0.25">
      <c r="A160" s="5">
        <v>74</v>
      </c>
      <c r="B160" s="154" t="s">
        <v>2716</v>
      </c>
      <c r="C160" s="67" t="s">
        <v>46</v>
      </c>
      <c r="D160" s="5"/>
      <c r="E160" s="154" t="s">
        <v>1489</v>
      </c>
      <c r="F160" s="155">
        <v>30695</v>
      </c>
      <c r="G160" s="106" t="s">
        <v>2717</v>
      </c>
      <c r="H160" s="68" t="s">
        <v>2718</v>
      </c>
      <c r="I160" s="5" t="s">
        <v>1991</v>
      </c>
      <c r="J160" s="161">
        <v>43525</v>
      </c>
      <c r="K160" s="5"/>
      <c r="L160" s="5"/>
      <c r="M160" s="12" t="s">
        <v>1121</v>
      </c>
      <c r="N160" s="161">
        <v>44440</v>
      </c>
      <c r="O160" s="5" t="s">
        <v>982</v>
      </c>
      <c r="P160" s="157" t="s">
        <v>2719</v>
      </c>
      <c r="Q160" s="160" t="s">
        <v>2720</v>
      </c>
      <c r="R160" s="9"/>
      <c r="S160" s="162"/>
      <c r="T160" s="20" t="s">
        <v>2721</v>
      </c>
      <c r="U160" s="150">
        <v>54455</v>
      </c>
      <c r="V160" s="11" t="s">
        <v>2169</v>
      </c>
      <c r="W160" s="160" t="s">
        <v>2722</v>
      </c>
      <c r="X160" s="11"/>
      <c r="Y160" s="5"/>
      <c r="Z160" s="172" t="s">
        <v>1965</v>
      </c>
    </row>
    <row r="161" spans="1:26" ht="39" customHeight="1" x14ac:dyDescent="0.25">
      <c r="A161" s="5">
        <v>75</v>
      </c>
      <c r="B161" s="154" t="s">
        <v>2723</v>
      </c>
      <c r="C161" s="67" t="s">
        <v>46</v>
      </c>
      <c r="D161" s="5"/>
      <c r="E161" s="154" t="s">
        <v>1844</v>
      </c>
      <c r="F161" s="155">
        <v>34592</v>
      </c>
      <c r="G161" s="106" t="s">
        <v>2724</v>
      </c>
      <c r="H161" s="68" t="s">
        <v>2725</v>
      </c>
      <c r="I161" s="5" t="s">
        <v>1991</v>
      </c>
      <c r="J161" s="161">
        <v>44166</v>
      </c>
      <c r="K161" s="5">
        <v>0</v>
      </c>
      <c r="L161" s="5">
        <v>0</v>
      </c>
      <c r="M161" s="12" t="s">
        <v>1121</v>
      </c>
      <c r="N161" s="161">
        <v>44805</v>
      </c>
      <c r="O161" s="5" t="s">
        <v>982</v>
      </c>
      <c r="P161" s="157"/>
      <c r="Q161" s="160" t="s">
        <v>2726</v>
      </c>
      <c r="R161" s="9"/>
      <c r="S161" s="162"/>
      <c r="T161" s="5">
        <v>2015099401</v>
      </c>
      <c r="U161" s="150">
        <v>58349</v>
      </c>
      <c r="V161" s="11" t="s">
        <v>2169</v>
      </c>
      <c r="W161" s="160" t="s">
        <v>2727</v>
      </c>
      <c r="X161" s="11" t="s">
        <v>2728</v>
      </c>
      <c r="Y161" s="51">
        <v>45586</v>
      </c>
      <c r="Z161" s="154"/>
    </row>
    <row r="162" spans="1:26" ht="39" customHeight="1" x14ac:dyDescent="0.25">
      <c r="A162" s="5">
        <v>76</v>
      </c>
      <c r="B162" s="154" t="s">
        <v>2729</v>
      </c>
      <c r="C162" s="67" t="s">
        <v>18</v>
      </c>
      <c r="D162" s="5"/>
      <c r="E162" s="154" t="s">
        <v>2730</v>
      </c>
      <c r="F162" s="155">
        <v>32501</v>
      </c>
      <c r="G162" s="106" t="s">
        <v>2731</v>
      </c>
      <c r="H162" s="68" t="s">
        <v>2732</v>
      </c>
      <c r="I162" s="5" t="s">
        <v>1991</v>
      </c>
      <c r="J162" s="161">
        <v>44166</v>
      </c>
      <c r="K162" s="5">
        <v>0</v>
      </c>
      <c r="L162" s="5">
        <v>0</v>
      </c>
      <c r="M162" s="12" t="s">
        <v>1121</v>
      </c>
      <c r="N162" s="161">
        <v>44805</v>
      </c>
      <c r="O162" s="5" t="s">
        <v>982</v>
      </c>
      <c r="P162" s="157"/>
      <c r="Q162" s="160" t="s">
        <v>2612</v>
      </c>
      <c r="R162" s="9"/>
      <c r="S162" s="162"/>
      <c r="T162" s="5" t="s">
        <v>2733</v>
      </c>
      <c r="U162" s="150">
        <v>56250</v>
      </c>
      <c r="V162" s="11" t="s">
        <v>2169</v>
      </c>
      <c r="W162" s="160" t="s">
        <v>2734</v>
      </c>
      <c r="X162" s="11"/>
      <c r="Y162" s="5"/>
      <c r="Z162" s="172"/>
    </row>
    <row r="163" spans="1:26" ht="39" customHeight="1" x14ac:dyDescent="0.25">
      <c r="A163" s="5">
        <v>77</v>
      </c>
      <c r="B163" s="154" t="s">
        <v>2735</v>
      </c>
      <c r="C163" s="67" t="s">
        <v>18</v>
      </c>
      <c r="D163" s="5"/>
      <c r="E163" s="154" t="s">
        <v>1489</v>
      </c>
      <c r="F163" s="155">
        <v>33672</v>
      </c>
      <c r="G163" s="106" t="s">
        <v>2736</v>
      </c>
      <c r="H163" s="68" t="s">
        <v>2737</v>
      </c>
      <c r="I163" s="5" t="s">
        <v>1991</v>
      </c>
      <c r="J163" s="161">
        <v>44166</v>
      </c>
      <c r="K163" s="5">
        <v>0</v>
      </c>
      <c r="L163" s="5">
        <v>0</v>
      </c>
      <c r="M163" s="12" t="s">
        <v>1121</v>
      </c>
      <c r="N163" s="161">
        <v>44805</v>
      </c>
      <c r="O163" s="5" t="s">
        <v>982</v>
      </c>
      <c r="P163" s="157"/>
      <c r="Q163" s="160" t="s">
        <v>2738</v>
      </c>
      <c r="R163" s="9"/>
      <c r="S163" s="162"/>
      <c r="T163" s="5" t="s">
        <v>2739</v>
      </c>
      <c r="U163" s="150">
        <v>57436</v>
      </c>
      <c r="V163" s="11" t="s">
        <v>2180</v>
      </c>
      <c r="W163" s="160" t="s">
        <v>2040</v>
      </c>
      <c r="X163" s="11"/>
      <c r="Y163" s="5"/>
      <c r="Z163" s="172"/>
    </row>
    <row r="164" spans="1:26" ht="39" customHeight="1" x14ac:dyDescent="0.25">
      <c r="A164" s="5">
        <v>78</v>
      </c>
      <c r="B164" s="154" t="s">
        <v>2740</v>
      </c>
      <c r="C164" s="67" t="s">
        <v>18</v>
      </c>
      <c r="D164" s="5"/>
      <c r="E164" s="154" t="s">
        <v>1696</v>
      </c>
      <c r="F164" s="155">
        <v>32080</v>
      </c>
      <c r="G164" s="106" t="s">
        <v>2741</v>
      </c>
      <c r="H164" s="68" t="s">
        <v>2742</v>
      </c>
      <c r="I164" s="5" t="s">
        <v>1991</v>
      </c>
      <c r="J164" s="161">
        <v>44166</v>
      </c>
      <c r="K164" s="5">
        <v>0</v>
      </c>
      <c r="L164" s="5">
        <v>0</v>
      </c>
      <c r="M164" s="12" t="s">
        <v>1121</v>
      </c>
      <c r="N164" s="161">
        <v>44805</v>
      </c>
      <c r="O164" s="5" t="s">
        <v>982</v>
      </c>
      <c r="P164" s="157"/>
      <c r="Q164" s="160" t="s">
        <v>2743</v>
      </c>
      <c r="R164" s="9"/>
      <c r="S164" s="162"/>
      <c r="T164" s="5" t="s">
        <v>2744</v>
      </c>
      <c r="U164" s="150">
        <v>55824</v>
      </c>
      <c r="V164" s="11" t="s">
        <v>2169</v>
      </c>
      <c r="W164" s="160" t="s">
        <v>2745</v>
      </c>
      <c r="X164" s="11"/>
      <c r="Y164" s="5"/>
      <c r="Z164" s="172"/>
    </row>
    <row r="165" spans="1:26" ht="39" customHeight="1" x14ac:dyDescent="0.25">
      <c r="A165" s="5">
        <v>79</v>
      </c>
      <c r="B165" s="154" t="s">
        <v>2746</v>
      </c>
      <c r="C165" s="67" t="s">
        <v>18</v>
      </c>
      <c r="D165" s="5"/>
      <c r="E165" s="154" t="s">
        <v>2747</v>
      </c>
      <c r="F165" s="155">
        <v>31761</v>
      </c>
      <c r="G165" s="106" t="s">
        <v>2748</v>
      </c>
      <c r="H165" s="68" t="s">
        <v>2749</v>
      </c>
      <c r="I165" s="5" t="s">
        <v>1991</v>
      </c>
      <c r="J165" s="161">
        <v>44166</v>
      </c>
      <c r="K165" s="5">
        <v>0</v>
      </c>
      <c r="L165" s="5">
        <v>0</v>
      </c>
      <c r="M165" s="12" t="s">
        <v>1121</v>
      </c>
      <c r="N165" s="161">
        <v>44805</v>
      </c>
      <c r="O165" s="5" t="s">
        <v>982</v>
      </c>
      <c r="P165" s="157"/>
      <c r="Q165" s="160" t="s">
        <v>2750</v>
      </c>
      <c r="R165" s="9"/>
      <c r="S165" s="162"/>
      <c r="T165" s="5" t="s">
        <v>2751</v>
      </c>
      <c r="U165" s="150">
        <v>55519</v>
      </c>
      <c r="V165" s="11" t="s">
        <v>2169</v>
      </c>
      <c r="W165" s="160" t="s">
        <v>1743</v>
      </c>
      <c r="X165" s="11"/>
      <c r="Y165" s="5"/>
      <c r="Z165" s="172"/>
    </row>
    <row r="166" spans="1:26" ht="39" customHeight="1" x14ac:dyDescent="0.25">
      <c r="A166" s="5">
        <v>80</v>
      </c>
      <c r="B166" s="154" t="s">
        <v>2752</v>
      </c>
      <c r="C166" s="67" t="s">
        <v>46</v>
      </c>
      <c r="D166" s="5"/>
      <c r="E166" s="154" t="s">
        <v>1575</v>
      </c>
      <c r="F166" s="155">
        <v>33615</v>
      </c>
      <c r="G166" s="106" t="s">
        <v>2753</v>
      </c>
      <c r="H166" s="68" t="s">
        <v>2754</v>
      </c>
      <c r="I166" s="5" t="s">
        <v>1991</v>
      </c>
      <c r="J166" s="161">
        <v>44166</v>
      </c>
      <c r="K166" s="5">
        <v>0</v>
      </c>
      <c r="L166" s="5">
        <v>0</v>
      </c>
      <c r="M166" s="12" t="s">
        <v>1121</v>
      </c>
      <c r="N166" s="161">
        <v>44805</v>
      </c>
      <c r="O166" s="5" t="s">
        <v>982</v>
      </c>
      <c r="P166" s="157"/>
      <c r="Q166" s="160" t="s">
        <v>2755</v>
      </c>
      <c r="R166" s="9"/>
      <c r="S166" s="162"/>
      <c r="T166" s="5" t="s">
        <v>2756</v>
      </c>
      <c r="U166" s="150">
        <v>57377</v>
      </c>
      <c r="V166" s="11" t="s">
        <v>2131</v>
      </c>
      <c r="W166" s="160" t="s">
        <v>2757</v>
      </c>
      <c r="X166" s="11"/>
      <c r="Y166" s="5"/>
      <c r="Z166" s="172"/>
    </row>
    <row r="167" spans="1:26" ht="39" customHeight="1" x14ac:dyDescent="0.25">
      <c r="A167" s="5">
        <v>81</v>
      </c>
      <c r="B167" s="154" t="s">
        <v>2758</v>
      </c>
      <c r="C167" s="67" t="s">
        <v>46</v>
      </c>
      <c r="D167" s="5"/>
      <c r="E167" s="154" t="s">
        <v>2759</v>
      </c>
      <c r="F167" s="155">
        <v>33319</v>
      </c>
      <c r="G167" s="106" t="s">
        <v>2760</v>
      </c>
      <c r="H167" s="68" t="s">
        <v>2761</v>
      </c>
      <c r="I167" s="5" t="s">
        <v>1991</v>
      </c>
      <c r="J167" s="161">
        <v>44166</v>
      </c>
      <c r="K167" s="5">
        <v>0</v>
      </c>
      <c r="L167" s="5">
        <v>0</v>
      </c>
      <c r="M167" s="12" t="s">
        <v>1121</v>
      </c>
      <c r="N167" s="161">
        <v>44927</v>
      </c>
      <c r="O167" s="5" t="s">
        <v>982</v>
      </c>
      <c r="P167" s="157"/>
      <c r="Q167" s="160" t="s">
        <v>2762</v>
      </c>
      <c r="R167" s="9"/>
      <c r="S167" s="162"/>
      <c r="T167" s="5" t="s">
        <v>2763</v>
      </c>
      <c r="U167" s="150">
        <v>57071</v>
      </c>
      <c r="V167" s="11" t="s">
        <v>2169</v>
      </c>
      <c r="W167" s="160" t="s">
        <v>2764</v>
      </c>
      <c r="X167" s="11"/>
      <c r="Y167" s="5"/>
      <c r="Z167" s="172"/>
    </row>
    <row r="168" spans="1:26" ht="39" customHeight="1" x14ac:dyDescent="0.25">
      <c r="A168" s="5">
        <v>82</v>
      </c>
      <c r="B168" s="154" t="s">
        <v>2765</v>
      </c>
      <c r="C168" s="67" t="s">
        <v>46</v>
      </c>
      <c r="D168" s="5"/>
      <c r="E168" s="154" t="s">
        <v>2766</v>
      </c>
      <c r="F168" s="155">
        <v>32623</v>
      </c>
      <c r="G168" s="106" t="s">
        <v>2767</v>
      </c>
      <c r="H168" s="68" t="s">
        <v>2768</v>
      </c>
      <c r="I168" s="5" t="s">
        <v>1991</v>
      </c>
      <c r="J168" s="161">
        <v>44166</v>
      </c>
      <c r="K168" s="5">
        <v>0</v>
      </c>
      <c r="L168" s="5">
        <v>0</v>
      </c>
      <c r="M168" s="12" t="s">
        <v>1121</v>
      </c>
      <c r="N168" s="161">
        <v>44927</v>
      </c>
      <c r="O168" s="5" t="s">
        <v>982</v>
      </c>
      <c r="P168" s="157"/>
      <c r="Q168" s="160" t="s">
        <v>2769</v>
      </c>
      <c r="R168" s="9"/>
      <c r="S168" s="162"/>
      <c r="T168" s="5" t="s">
        <v>2770</v>
      </c>
      <c r="U168" s="150">
        <v>56370</v>
      </c>
      <c r="V168" s="11" t="s">
        <v>2180</v>
      </c>
      <c r="W168" s="160" t="s">
        <v>2170</v>
      </c>
      <c r="X168" s="11" t="s">
        <v>2771</v>
      </c>
      <c r="Y168" s="51">
        <v>45586</v>
      </c>
      <c r="Z168" s="154"/>
    </row>
    <row r="169" spans="1:26" ht="39" customHeight="1" x14ac:dyDescent="0.25">
      <c r="A169" s="5">
        <v>83</v>
      </c>
      <c r="B169" s="154" t="s">
        <v>2772</v>
      </c>
      <c r="C169" s="67" t="s">
        <v>18</v>
      </c>
      <c r="D169" s="5"/>
      <c r="E169" s="154" t="s">
        <v>2773</v>
      </c>
      <c r="F169" s="155">
        <v>32669</v>
      </c>
      <c r="G169" s="106" t="s">
        <v>2774</v>
      </c>
      <c r="H169" s="68" t="s">
        <v>2775</v>
      </c>
      <c r="I169" s="5" t="s">
        <v>1717</v>
      </c>
      <c r="J169" s="161">
        <v>45352</v>
      </c>
      <c r="K169" s="5">
        <v>0</v>
      </c>
      <c r="L169" s="5">
        <v>0</v>
      </c>
      <c r="M169" s="12" t="s">
        <v>1739</v>
      </c>
      <c r="N169" s="161">
        <v>45352</v>
      </c>
      <c r="O169" s="5" t="s">
        <v>1028</v>
      </c>
      <c r="P169" s="157"/>
      <c r="Q169" s="160" t="s">
        <v>1084</v>
      </c>
      <c r="R169" s="9" t="s">
        <v>2776</v>
      </c>
      <c r="S169" s="162"/>
      <c r="T169" s="5"/>
      <c r="U169" s="150">
        <v>56431</v>
      </c>
      <c r="V169" s="11" t="s">
        <v>2180</v>
      </c>
      <c r="W169" s="160" t="s">
        <v>1084</v>
      </c>
      <c r="X169" s="11"/>
      <c r="Y169" s="5"/>
      <c r="Z169" s="172"/>
    </row>
    <row r="170" spans="1:26" ht="39" customHeight="1" x14ac:dyDescent="0.25">
      <c r="A170" s="173" t="s">
        <v>2777</v>
      </c>
      <c r="B170" s="173"/>
      <c r="C170" s="174"/>
      <c r="D170" s="174"/>
      <c r="E170" s="174"/>
      <c r="F170" s="174"/>
      <c r="G170" s="175"/>
      <c r="H170" s="12"/>
      <c r="I170" s="174"/>
      <c r="J170" s="177"/>
      <c r="K170" s="174"/>
      <c r="L170" s="174"/>
      <c r="M170" s="174"/>
      <c r="N170" s="177"/>
      <c r="O170" s="174"/>
      <c r="P170" s="63"/>
      <c r="Q170" s="63"/>
      <c r="R170" s="178"/>
      <c r="S170" s="179"/>
      <c r="T170" s="174"/>
      <c r="U170" s="174"/>
      <c r="V170" s="33"/>
      <c r="W170" s="179"/>
      <c r="X170" s="12"/>
      <c r="Y170" s="12"/>
      <c r="Z170" s="154"/>
    </row>
    <row r="171" spans="1:26" ht="39" customHeight="1" x14ac:dyDescent="0.25">
      <c r="A171" s="5">
        <v>1</v>
      </c>
      <c r="B171" s="9" t="s">
        <v>2778</v>
      </c>
      <c r="C171" s="5" t="s">
        <v>18</v>
      </c>
      <c r="D171" s="5" t="s">
        <v>2779</v>
      </c>
      <c r="E171" s="11" t="s">
        <v>2780</v>
      </c>
      <c r="F171" s="150">
        <v>20502</v>
      </c>
      <c r="G171" s="151" t="s">
        <v>2781</v>
      </c>
      <c r="H171" s="68" t="s">
        <v>2782</v>
      </c>
      <c r="I171" s="5" t="s">
        <v>1423</v>
      </c>
      <c r="J171" s="150">
        <v>45383</v>
      </c>
      <c r="K171" s="5">
        <v>41</v>
      </c>
      <c r="L171" s="5">
        <v>1</v>
      </c>
      <c r="M171" s="12" t="s">
        <v>1424</v>
      </c>
      <c r="N171" s="150">
        <v>38261</v>
      </c>
      <c r="O171" s="5" t="s">
        <v>1028</v>
      </c>
      <c r="P171" s="157" t="s">
        <v>2783</v>
      </c>
      <c r="Q171" s="157" t="s">
        <v>2784</v>
      </c>
      <c r="R171" s="152" t="s">
        <v>2785</v>
      </c>
      <c r="S171" s="14"/>
      <c r="T171" s="20">
        <v>2017025601</v>
      </c>
      <c r="U171" s="161">
        <v>46082</v>
      </c>
      <c r="V171" s="11" t="s">
        <v>2786</v>
      </c>
      <c r="W171" s="11" t="s">
        <v>2292</v>
      </c>
      <c r="X171" s="11"/>
      <c r="Y171" s="10"/>
      <c r="Z171" s="154"/>
    </row>
    <row r="172" spans="1:26" ht="39" customHeight="1" x14ac:dyDescent="0.25">
      <c r="A172" s="5">
        <v>2</v>
      </c>
      <c r="B172" s="9" t="s">
        <v>2787</v>
      </c>
      <c r="C172" s="5" t="s">
        <v>18</v>
      </c>
      <c r="D172" s="5" t="s">
        <v>2788</v>
      </c>
      <c r="E172" s="11" t="s">
        <v>2789</v>
      </c>
      <c r="F172" s="150">
        <v>22023</v>
      </c>
      <c r="G172" s="151" t="s">
        <v>2790</v>
      </c>
      <c r="H172" s="68" t="s">
        <v>2791</v>
      </c>
      <c r="I172" s="10" t="s">
        <v>1447</v>
      </c>
      <c r="J172" s="150">
        <v>42278</v>
      </c>
      <c r="K172" s="5">
        <v>26</v>
      </c>
      <c r="L172" s="5">
        <v>7</v>
      </c>
      <c r="M172" s="12" t="s">
        <v>1424</v>
      </c>
      <c r="N172" s="150">
        <v>39692</v>
      </c>
      <c r="O172" s="5" t="s">
        <v>1028</v>
      </c>
      <c r="P172" s="157" t="s">
        <v>2792</v>
      </c>
      <c r="Q172" s="157" t="s">
        <v>2793</v>
      </c>
      <c r="R172" s="157" t="s">
        <v>2794</v>
      </c>
      <c r="S172" s="186" t="s">
        <v>2795</v>
      </c>
      <c r="T172" s="166" t="s">
        <v>2796</v>
      </c>
      <c r="U172" s="161">
        <v>47604</v>
      </c>
      <c r="V172" s="11" t="s">
        <v>2797</v>
      </c>
      <c r="W172" s="11" t="s">
        <v>2798</v>
      </c>
      <c r="X172" s="11" t="s">
        <v>1084</v>
      </c>
      <c r="Y172" s="31" t="s">
        <v>1084</v>
      </c>
      <c r="Z172" s="40" t="s">
        <v>2799</v>
      </c>
    </row>
    <row r="173" spans="1:26" ht="39" customHeight="1" x14ac:dyDescent="0.25">
      <c r="A173" s="5">
        <v>3</v>
      </c>
      <c r="B173" s="9" t="s">
        <v>2800</v>
      </c>
      <c r="C173" s="5" t="s">
        <v>18</v>
      </c>
      <c r="D173" s="5" t="s">
        <v>2801</v>
      </c>
      <c r="E173" s="11" t="s">
        <v>1844</v>
      </c>
      <c r="F173" s="150">
        <v>25000</v>
      </c>
      <c r="G173" s="151" t="s">
        <v>2802</v>
      </c>
      <c r="H173" s="68" t="s">
        <v>2803</v>
      </c>
      <c r="I173" s="5" t="s">
        <v>1423</v>
      </c>
      <c r="J173" s="150">
        <v>45383</v>
      </c>
      <c r="K173" s="5">
        <v>30</v>
      </c>
      <c r="L173" s="5">
        <v>1</v>
      </c>
      <c r="M173" s="12" t="s">
        <v>1424</v>
      </c>
      <c r="N173" s="150">
        <v>39692</v>
      </c>
      <c r="O173" s="5" t="s">
        <v>1028</v>
      </c>
      <c r="P173" s="157" t="s">
        <v>2804</v>
      </c>
      <c r="Q173" s="157" t="s">
        <v>2805</v>
      </c>
      <c r="R173" s="152" t="s">
        <v>2806</v>
      </c>
      <c r="S173" s="165" t="s">
        <v>2807</v>
      </c>
      <c r="T173" s="20">
        <v>2011066802</v>
      </c>
      <c r="U173" s="161">
        <v>50587</v>
      </c>
      <c r="V173" s="11" t="s">
        <v>2808</v>
      </c>
      <c r="W173" s="11" t="s">
        <v>2809</v>
      </c>
      <c r="X173" s="11"/>
      <c r="Y173" s="10"/>
      <c r="Z173" s="154"/>
    </row>
    <row r="174" spans="1:26" ht="39" customHeight="1" x14ac:dyDescent="0.25">
      <c r="A174" s="5">
        <v>4</v>
      </c>
      <c r="B174" s="9" t="s">
        <v>2810</v>
      </c>
      <c r="C174" s="5" t="s">
        <v>18</v>
      </c>
      <c r="D174" s="5" t="s">
        <v>2811</v>
      </c>
      <c r="E174" s="11" t="s">
        <v>1489</v>
      </c>
      <c r="F174" s="150">
        <v>24920</v>
      </c>
      <c r="G174" s="151" t="s">
        <v>2812</v>
      </c>
      <c r="H174" s="68" t="s">
        <v>2813</v>
      </c>
      <c r="I174" s="5" t="s">
        <v>1423</v>
      </c>
      <c r="J174" s="150">
        <v>45383</v>
      </c>
      <c r="K174" s="5">
        <v>31</v>
      </c>
      <c r="L174" s="5">
        <v>1</v>
      </c>
      <c r="M174" s="12" t="s">
        <v>1424</v>
      </c>
      <c r="N174" s="150">
        <v>40330</v>
      </c>
      <c r="O174" s="5" t="s">
        <v>1028</v>
      </c>
      <c r="P174" s="157" t="s">
        <v>2804</v>
      </c>
      <c r="Q174" s="157" t="s">
        <v>2814</v>
      </c>
      <c r="R174" s="152" t="s">
        <v>2815</v>
      </c>
      <c r="S174" s="162">
        <v>102100504731</v>
      </c>
      <c r="T174" s="166">
        <v>2023036802</v>
      </c>
      <c r="U174" s="161">
        <v>50496</v>
      </c>
      <c r="V174" s="11" t="s">
        <v>2797</v>
      </c>
      <c r="W174" s="11" t="s">
        <v>2816</v>
      </c>
      <c r="X174" s="11"/>
      <c r="Y174" s="10"/>
      <c r="Z174" s="154"/>
    </row>
    <row r="175" spans="1:26" ht="39" customHeight="1" x14ac:dyDescent="0.25">
      <c r="A175" s="5">
        <v>5</v>
      </c>
      <c r="B175" s="9" t="s">
        <v>2817</v>
      </c>
      <c r="C175" s="5" t="s">
        <v>18</v>
      </c>
      <c r="D175" s="5" t="s">
        <v>2818</v>
      </c>
      <c r="E175" s="11" t="s">
        <v>2694</v>
      </c>
      <c r="F175" s="150">
        <v>24870</v>
      </c>
      <c r="G175" s="151" t="s">
        <v>2819</v>
      </c>
      <c r="H175" s="68" t="s">
        <v>2820</v>
      </c>
      <c r="I175" s="10" t="s">
        <v>1423</v>
      </c>
      <c r="J175" s="150">
        <v>44105</v>
      </c>
      <c r="K175" s="5">
        <v>27</v>
      </c>
      <c r="L175" s="5">
        <v>1</v>
      </c>
      <c r="M175" s="12" t="s">
        <v>1424</v>
      </c>
      <c r="N175" s="150">
        <v>42248</v>
      </c>
      <c r="O175" s="5" t="s">
        <v>1028</v>
      </c>
      <c r="P175" s="157" t="s">
        <v>2821</v>
      </c>
      <c r="Q175" s="157" t="s">
        <v>2822</v>
      </c>
      <c r="R175" s="152" t="s">
        <v>2823</v>
      </c>
      <c r="S175" s="14" t="s">
        <v>2824</v>
      </c>
      <c r="T175" s="20">
        <v>2002026802</v>
      </c>
      <c r="U175" s="161">
        <v>50465</v>
      </c>
      <c r="V175" s="11" t="s">
        <v>2797</v>
      </c>
      <c r="W175" s="11" t="s">
        <v>2825</v>
      </c>
      <c r="X175" s="89"/>
      <c r="Y175" s="89"/>
      <c r="Z175" s="89"/>
    </row>
    <row r="176" spans="1:26" ht="39" customHeight="1" x14ac:dyDescent="0.25">
      <c r="A176" s="5">
        <v>6</v>
      </c>
      <c r="B176" s="9" t="s">
        <v>2826</v>
      </c>
      <c r="C176" s="5" t="s">
        <v>18</v>
      </c>
      <c r="D176" s="5" t="s">
        <v>2827</v>
      </c>
      <c r="E176" s="11" t="s">
        <v>2428</v>
      </c>
      <c r="F176" s="150">
        <v>20858</v>
      </c>
      <c r="G176" s="151" t="s">
        <v>2828</v>
      </c>
      <c r="H176" s="68" t="s">
        <v>2829</v>
      </c>
      <c r="I176" s="10" t="s">
        <v>1423</v>
      </c>
      <c r="J176" s="150">
        <v>43556</v>
      </c>
      <c r="K176" s="5">
        <v>32</v>
      </c>
      <c r="L176" s="5">
        <v>1</v>
      </c>
      <c r="M176" s="12" t="s">
        <v>1424</v>
      </c>
      <c r="N176" s="150">
        <v>42644</v>
      </c>
      <c r="O176" s="5" t="s">
        <v>1028</v>
      </c>
      <c r="P176" s="157" t="s">
        <v>2830</v>
      </c>
      <c r="Q176" s="157" t="s">
        <v>2831</v>
      </c>
      <c r="R176" s="9" t="s">
        <v>2832</v>
      </c>
      <c r="S176" s="14" t="s">
        <v>2833</v>
      </c>
      <c r="T176" s="20">
        <v>2007025701</v>
      </c>
      <c r="U176" s="161">
        <v>46447</v>
      </c>
      <c r="V176" s="11" t="s">
        <v>2786</v>
      </c>
      <c r="W176" s="11" t="s">
        <v>2834</v>
      </c>
      <c r="X176" s="11"/>
      <c r="Y176" s="10"/>
      <c r="Z176" s="154"/>
    </row>
    <row r="177" spans="1:26" ht="39" customHeight="1" x14ac:dyDescent="0.25">
      <c r="A177" s="5">
        <v>7</v>
      </c>
      <c r="B177" s="9" t="s">
        <v>2835</v>
      </c>
      <c r="C177" s="5" t="s">
        <v>46</v>
      </c>
      <c r="D177" s="5" t="s">
        <v>2836</v>
      </c>
      <c r="E177" s="11" t="s">
        <v>2837</v>
      </c>
      <c r="F177" s="150">
        <v>25753</v>
      </c>
      <c r="G177" s="151" t="s">
        <v>2838</v>
      </c>
      <c r="H177" s="68" t="s">
        <v>2839</v>
      </c>
      <c r="I177" s="10" t="s">
        <v>1423</v>
      </c>
      <c r="J177" s="150">
        <v>45566</v>
      </c>
      <c r="K177" s="5">
        <v>28</v>
      </c>
      <c r="L177" s="5">
        <v>7</v>
      </c>
      <c r="M177" s="12" t="s">
        <v>1424</v>
      </c>
      <c r="N177" s="150">
        <v>43132</v>
      </c>
      <c r="O177" s="5" t="s">
        <v>1028</v>
      </c>
      <c r="P177" s="157" t="s">
        <v>2840</v>
      </c>
      <c r="Q177" s="157" t="s">
        <v>1084</v>
      </c>
      <c r="R177" s="152" t="s">
        <v>2841</v>
      </c>
      <c r="S177" s="14" t="s">
        <v>2842</v>
      </c>
      <c r="T177" s="20" t="s">
        <v>2843</v>
      </c>
      <c r="U177" s="161">
        <v>51349</v>
      </c>
      <c r="V177" s="11" t="s">
        <v>1076</v>
      </c>
      <c r="W177" s="11" t="s">
        <v>2844</v>
      </c>
      <c r="X177" s="11"/>
      <c r="Y177" s="10"/>
      <c r="Z177" s="154"/>
    </row>
    <row r="178" spans="1:26" ht="39" customHeight="1" x14ac:dyDescent="0.25">
      <c r="A178" s="5">
        <v>8</v>
      </c>
      <c r="B178" s="9" t="s">
        <v>2845</v>
      </c>
      <c r="C178" s="5" t="s">
        <v>18</v>
      </c>
      <c r="D178" s="5" t="s">
        <v>2846</v>
      </c>
      <c r="E178" s="11" t="s">
        <v>1536</v>
      </c>
      <c r="F178" s="150">
        <v>26053</v>
      </c>
      <c r="G178" s="151" t="s">
        <v>2847</v>
      </c>
      <c r="H178" s="68" t="s">
        <v>2848</v>
      </c>
      <c r="I178" s="10" t="s">
        <v>1447</v>
      </c>
      <c r="J178" s="150">
        <v>44470</v>
      </c>
      <c r="K178" s="5">
        <v>27</v>
      </c>
      <c r="L178" s="5">
        <v>7</v>
      </c>
      <c r="M178" s="12" t="s">
        <v>1424</v>
      </c>
      <c r="N178" s="150">
        <v>44378</v>
      </c>
      <c r="O178" s="5" t="s">
        <v>1028</v>
      </c>
      <c r="P178" s="157" t="s">
        <v>2849</v>
      </c>
      <c r="Q178" s="157" t="s">
        <v>2850</v>
      </c>
      <c r="R178" s="9" t="s">
        <v>2851</v>
      </c>
      <c r="S178" s="14" t="s">
        <v>2852</v>
      </c>
      <c r="T178" s="20">
        <v>2030047102</v>
      </c>
      <c r="U178" s="161">
        <v>51622</v>
      </c>
      <c r="V178" s="11" t="s">
        <v>2786</v>
      </c>
      <c r="W178" s="11" t="s">
        <v>2292</v>
      </c>
      <c r="X178" s="12"/>
      <c r="Y178" s="12"/>
      <c r="Z178" s="187" t="s">
        <v>2853</v>
      </c>
    </row>
    <row r="179" spans="1:26" ht="39" customHeight="1" x14ac:dyDescent="0.25">
      <c r="A179" s="5">
        <v>9</v>
      </c>
      <c r="B179" s="9" t="s">
        <v>2854</v>
      </c>
      <c r="C179" s="5" t="s">
        <v>46</v>
      </c>
      <c r="D179" s="5" t="s">
        <v>2855</v>
      </c>
      <c r="E179" s="11" t="s">
        <v>2856</v>
      </c>
      <c r="F179" s="150">
        <v>23148</v>
      </c>
      <c r="G179" s="151" t="s">
        <v>2857</v>
      </c>
      <c r="H179" s="68" t="s">
        <v>2858</v>
      </c>
      <c r="I179" s="10" t="s">
        <v>1558</v>
      </c>
      <c r="J179" s="150">
        <v>42278</v>
      </c>
      <c r="K179" s="5">
        <v>25</v>
      </c>
      <c r="L179" s="5">
        <v>7</v>
      </c>
      <c r="M179" s="12" t="s">
        <v>1424</v>
      </c>
      <c r="N179" s="150">
        <v>44440</v>
      </c>
      <c r="O179" s="5" t="s">
        <v>1028</v>
      </c>
      <c r="P179" s="157" t="s">
        <v>2859</v>
      </c>
      <c r="Q179" s="157" t="s">
        <v>2860</v>
      </c>
      <c r="R179" s="9" t="s">
        <v>2861</v>
      </c>
      <c r="S179" s="14" t="s">
        <v>2862</v>
      </c>
      <c r="T179" s="20">
        <v>2017056301</v>
      </c>
      <c r="U179" s="161">
        <v>48731</v>
      </c>
      <c r="V179" s="11" t="s">
        <v>1116</v>
      </c>
      <c r="W179" s="11" t="s">
        <v>2863</v>
      </c>
      <c r="X179" s="11"/>
      <c r="Y179" s="10"/>
      <c r="Z179" s="40" t="s">
        <v>2864</v>
      </c>
    </row>
    <row r="180" spans="1:26" ht="39" customHeight="1" x14ac:dyDescent="0.25">
      <c r="A180" s="5">
        <v>10</v>
      </c>
      <c r="B180" s="9" t="s">
        <v>2865</v>
      </c>
      <c r="C180" s="5" t="s">
        <v>18</v>
      </c>
      <c r="D180" s="5" t="s">
        <v>2866</v>
      </c>
      <c r="E180" s="11" t="s">
        <v>2076</v>
      </c>
      <c r="F180" s="150">
        <v>22002</v>
      </c>
      <c r="G180" s="151" t="s">
        <v>2867</v>
      </c>
      <c r="H180" s="68" t="s">
        <v>2868</v>
      </c>
      <c r="I180" s="10" t="s">
        <v>1469</v>
      </c>
      <c r="J180" s="150">
        <v>41548</v>
      </c>
      <c r="K180" s="5">
        <v>21</v>
      </c>
      <c r="L180" s="5">
        <v>7</v>
      </c>
      <c r="M180" s="12" t="s">
        <v>1501</v>
      </c>
      <c r="N180" s="150">
        <v>36892</v>
      </c>
      <c r="O180" s="5" t="s">
        <v>1028</v>
      </c>
      <c r="P180" s="157" t="s">
        <v>1459</v>
      </c>
      <c r="Q180" s="157" t="s">
        <v>2869</v>
      </c>
      <c r="R180" s="9" t="s">
        <v>2870</v>
      </c>
      <c r="S180" s="14" t="s">
        <v>2871</v>
      </c>
      <c r="T180" s="20">
        <v>2027036001</v>
      </c>
      <c r="U180" s="161">
        <v>45748</v>
      </c>
      <c r="V180" s="11" t="s">
        <v>1116</v>
      </c>
      <c r="W180" s="11" t="s">
        <v>1766</v>
      </c>
      <c r="X180" s="11"/>
      <c r="Y180" s="10"/>
      <c r="Z180" s="154"/>
    </row>
    <row r="181" spans="1:26" ht="39" customHeight="1" x14ac:dyDescent="0.25">
      <c r="A181" s="5">
        <v>11</v>
      </c>
      <c r="B181" s="9" t="s">
        <v>2872</v>
      </c>
      <c r="C181" s="5" t="s">
        <v>18</v>
      </c>
      <c r="D181" s="5" t="s">
        <v>2873</v>
      </c>
      <c r="E181" s="11" t="s">
        <v>2874</v>
      </c>
      <c r="F181" s="150">
        <v>25796</v>
      </c>
      <c r="G181" s="151" t="s">
        <v>2875</v>
      </c>
      <c r="H181" s="68" t="s">
        <v>2876</v>
      </c>
      <c r="I181" s="10" t="s">
        <v>1469</v>
      </c>
      <c r="J181" s="150" t="s">
        <v>2877</v>
      </c>
      <c r="K181" s="5">
        <v>17</v>
      </c>
      <c r="L181" s="5">
        <v>1</v>
      </c>
      <c r="M181" s="12" t="s">
        <v>1501</v>
      </c>
      <c r="N181" s="150" t="s">
        <v>2878</v>
      </c>
      <c r="O181" s="5" t="s">
        <v>1028</v>
      </c>
      <c r="P181" s="157" t="s">
        <v>2879</v>
      </c>
      <c r="Q181" s="157" t="s">
        <v>2880</v>
      </c>
      <c r="R181" s="9" t="s">
        <v>2881</v>
      </c>
      <c r="S181" s="14" t="s">
        <v>2882</v>
      </c>
      <c r="T181" s="20">
        <v>2016087001</v>
      </c>
      <c r="U181" s="161">
        <v>49553</v>
      </c>
      <c r="V181" s="11" t="s">
        <v>1116</v>
      </c>
      <c r="W181" s="11" t="s">
        <v>2798</v>
      </c>
      <c r="X181" s="11"/>
      <c r="Y181" s="10"/>
      <c r="Z181" s="154"/>
    </row>
    <row r="182" spans="1:26" ht="39" customHeight="1" x14ac:dyDescent="0.25">
      <c r="A182" s="5">
        <v>12</v>
      </c>
      <c r="B182" s="9" t="s">
        <v>2883</v>
      </c>
      <c r="C182" s="5" t="s">
        <v>18</v>
      </c>
      <c r="D182" s="5" t="s">
        <v>2884</v>
      </c>
      <c r="E182" s="11" t="s">
        <v>2885</v>
      </c>
      <c r="F182" s="150">
        <v>23030</v>
      </c>
      <c r="G182" s="151" t="s">
        <v>2886</v>
      </c>
      <c r="H182" s="68" t="s">
        <v>2887</v>
      </c>
      <c r="I182" s="10" t="s">
        <v>1469</v>
      </c>
      <c r="J182" s="150">
        <v>39539</v>
      </c>
      <c r="K182" s="5">
        <v>18</v>
      </c>
      <c r="L182" s="5">
        <v>1</v>
      </c>
      <c r="M182" s="12" t="s">
        <v>1501</v>
      </c>
      <c r="N182" s="150">
        <v>39539</v>
      </c>
      <c r="O182" s="10" t="s">
        <v>982</v>
      </c>
      <c r="P182" s="157" t="s">
        <v>2888</v>
      </c>
      <c r="Q182" s="157" t="s">
        <v>2889</v>
      </c>
      <c r="R182" s="9"/>
      <c r="S182" s="14" t="s">
        <v>2890</v>
      </c>
      <c r="T182" s="20">
        <v>2019016301</v>
      </c>
      <c r="U182" s="161">
        <v>46784</v>
      </c>
      <c r="V182" s="11" t="s">
        <v>2808</v>
      </c>
      <c r="W182" s="11" t="s">
        <v>2891</v>
      </c>
      <c r="X182" s="11"/>
      <c r="Y182" s="10"/>
      <c r="Z182" s="154"/>
    </row>
    <row r="183" spans="1:26" ht="39" customHeight="1" x14ac:dyDescent="0.25">
      <c r="A183" s="5">
        <v>13</v>
      </c>
      <c r="B183" s="9" t="s">
        <v>2892</v>
      </c>
      <c r="C183" s="5" t="s">
        <v>46</v>
      </c>
      <c r="D183" s="5" t="s">
        <v>2893</v>
      </c>
      <c r="E183" s="11" t="s">
        <v>2486</v>
      </c>
      <c r="F183" s="150">
        <v>26430</v>
      </c>
      <c r="G183" s="151" t="s">
        <v>2894</v>
      </c>
      <c r="H183" s="68" t="s">
        <v>2895</v>
      </c>
      <c r="I183" s="10" t="s">
        <v>1469</v>
      </c>
      <c r="J183" s="150">
        <v>45566</v>
      </c>
      <c r="K183" s="5">
        <v>28</v>
      </c>
      <c r="L183" s="5">
        <v>10</v>
      </c>
      <c r="M183" s="12" t="s">
        <v>1501</v>
      </c>
      <c r="N183" s="150">
        <v>39600</v>
      </c>
      <c r="O183" s="10" t="s">
        <v>982</v>
      </c>
      <c r="P183" s="157" t="s">
        <v>2896</v>
      </c>
      <c r="Q183" s="157" t="s">
        <v>2897</v>
      </c>
      <c r="R183" s="9"/>
      <c r="S183" s="14" t="s">
        <v>2898</v>
      </c>
      <c r="T183" s="20">
        <v>2011057201</v>
      </c>
      <c r="U183" s="161">
        <v>50192</v>
      </c>
      <c r="V183" s="11" t="s">
        <v>2899</v>
      </c>
      <c r="W183" s="11" t="s">
        <v>2900</v>
      </c>
      <c r="X183" s="89"/>
      <c r="Y183" s="89"/>
      <c r="Z183" s="89"/>
    </row>
    <row r="184" spans="1:26" ht="39" customHeight="1" x14ac:dyDescent="0.25">
      <c r="A184" s="5">
        <v>14</v>
      </c>
      <c r="B184" s="9" t="s">
        <v>2901</v>
      </c>
      <c r="C184" s="5" t="s">
        <v>18</v>
      </c>
      <c r="D184" s="5" t="s">
        <v>2902</v>
      </c>
      <c r="E184" s="11" t="s">
        <v>2903</v>
      </c>
      <c r="F184" s="150">
        <v>26901</v>
      </c>
      <c r="G184" s="151" t="s">
        <v>2904</v>
      </c>
      <c r="H184" s="68" t="s">
        <v>2905</v>
      </c>
      <c r="I184" s="10" t="s">
        <v>1469</v>
      </c>
      <c r="J184" s="150">
        <v>42461</v>
      </c>
      <c r="K184" s="5">
        <v>17</v>
      </c>
      <c r="L184" s="5">
        <v>1</v>
      </c>
      <c r="M184" s="12" t="s">
        <v>1501</v>
      </c>
      <c r="N184" s="150">
        <v>39722</v>
      </c>
      <c r="O184" s="10" t="s">
        <v>982</v>
      </c>
      <c r="P184" s="157" t="s">
        <v>2906</v>
      </c>
      <c r="Q184" s="157" t="s">
        <v>2907</v>
      </c>
      <c r="R184" s="9"/>
      <c r="S184" s="14" t="s">
        <v>2908</v>
      </c>
      <c r="T184" s="20">
        <v>2025087301</v>
      </c>
      <c r="U184" s="161">
        <v>50649</v>
      </c>
      <c r="V184" s="11" t="s">
        <v>1076</v>
      </c>
      <c r="W184" s="11" t="s">
        <v>2825</v>
      </c>
      <c r="X184" s="11"/>
      <c r="Y184" s="10"/>
      <c r="Z184" s="154"/>
    </row>
    <row r="185" spans="1:26" ht="39" customHeight="1" x14ac:dyDescent="0.25">
      <c r="A185" s="5">
        <v>15</v>
      </c>
      <c r="B185" s="9" t="s">
        <v>2909</v>
      </c>
      <c r="C185" s="5" t="s">
        <v>46</v>
      </c>
      <c r="D185" s="5" t="s">
        <v>2910</v>
      </c>
      <c r="E185" s="11" t="s">
        <v>1489</v>
      </c>
      <c r="F185" s="150">
        <v>23783</v>
      </c>
      <c r="G185" s="151" t="s">
        <v>2911</v>
      </c>
      <c r="H185" s="68" t="s">
        <v>2912</v>
      </c>
      <c r="I185" s="5" t="s">
        <v>1558</v>
      </c>
      <c r="J185" s="150">
        <v>45383</v>
      </c>
      <c r="K185" s="5">
        <v>31</v>
      </c>
      <c r="L185" s="5">
        <v>1</v>
      </c>
      <c r="M185" s="12" t="s">
        <v>1501</v>
      </c>
      <c r="N185" s="150">
        <v>39722</v>
      </c>
      <c r="O185" s="5" t="s">
        <v>1028</v>
      </c>
      <c r="P185" s="157" t="s">
        <v>2913</v>
      </c>
      <c r="Q185" s="157" t="s">
        <v>2914</v>
      </c>
      <c r="R185" s="157" t="s">
        <v>2915</v>
      </c>
      <c r="S185" s="14" t="s">
        <v>2916</v>
      </c>
      <c r="T185" s="20">
        <v>2010026501</v>
      </c>
      <c r="U185" s="161">
        <v>47543</v>
      </c>
      <c r="V185" s="11" t="s">
        <v>1076</v>
      </c>
      <c r="W185" s="11" t="s">
        <v>1117</v>
      </c>
      <c r="X185" s="11"/>
      <c r="Y185" s="10"/>
      <c r="Z185" s="154"/>
    </row>
    <row r="186" spans="1:26" ht="39" customHeight="1" x14ac:dyDescent="0.25">
      <c r="A186" s="5">
        <v>16</v>
      </c>
      <c r="B186" s="9" t="s">
        <v>2917</v>
      </c>
      <c r="C186" s="5" t="s">
        <v>18</v>
      </c>
      <c r="D186" s="5" t="s">
        <v>2918</v>
      </c>
      <c r="E186" s="11" t="s">
        <v>1489</v>
      </c>
      <c r="F186" s="150">
        <v>24320</v>
      </c>
      <c r="G186" s="151" t="s">
        <v>2919</v>
      </c>
      <c r="H186" s="68" t="s">
        <v>2920</v>
      </c>
      <c r="I186" s="5" t="s">
        <v>1469</v>
      </c>
      <c r="J186" s="150">
        <v>45444</v>
      </c>
      <c r="K186" s="5">
        <v>31</v>
      </c>
      <c r="L186" s="5">
        <v>3</v>
      </c>
      <c r="M186" s="12" t="s">
        <v>1501</v>
      </c>
      <c r="N186" s="150">
        <v>39965</v>
      </c>
      <c r="O186" s="5" t="s">
        <v>1028</v>
      </c>
      <c r="P186" s="157" t="s">
        <v>2804</v>
      </c>
      <c r="Q186" s="157" t="s">
        <v>2921</v>
      </c>
      <c r="R186" s="9" t="s">
        <v>2922</v>
      </c>
      <c r="S186" s="14" t="s">
        <v>2923</v>
      </c>
      <c r="T186" s="20">
        <v>2001086601</v>
      </c>
      <c r="U186" s="161">
        <v>48092</v>
      </c>
      <c r="V186" s="11" t="s">
        <v>2899</v>
      </c>
      <c r="W186" s="11" t="s">
        <v>2924</v>
      </c>
      <c r="X186" s="89"/>
      <c r="Y186" s="89"/>
      <c r="Z186" s="89"/>
    </row>
    <row r="187" spans="1:26" ht="39" customHeight="1" x14ac:dyDescent="0.25">
      <c r="A187" s="5">
        <v>17</v>
      </c>
      <c r="B187" s="11" t="s">
        <v>2925</v>
      </c>
      <c r="C187" s="5" t="s">
        <v>18</v>
      </c>
      <c r="D187" s="5" t="s">
        <v>2926</v>
      </c>
      <c r="E187" s="11" t="s">
        <v>2927</v>
      </c>
      <c r="F187" s="150">
        <v>24084</v>
      </c>
      <c r="G187" s="151" t="s">
        <v>2928</v>
      </c>
      <c r="H187" s="68" t="s">
        <v>2929</v>
      </c>
      <c r="I187" s="5" t="s">
        <v>1558</v>
      </c>
      <c r="J187" s="150">
        <v>45383</v>
      </c>
      <c r="K187" s="5">
        <v>27</v>
      </c>
      <c r="L187" s="5">
        <v>1</v>
      </c>
      <c r="M187" s="12" t="s">
        <v>1501</v>
      </c>
      <c r="N187" s="150">
        <v>40087</v>
      </c>
      <c r="O187" s="10" t="s">
        <v>982</v>
      </c>
      <c r="P187" s="157" t="s">
        <v>2930</v>
      </c>
      <c r="Q187" s="157" t="s">
        <v>2931</v>
      </c>
      <c r="R187" s="9"/>
      <c r="S187" s="14" t="s">
        <v>2932</v>
      </c>
      <c r="T187" s="20">
        <v>2008126501</v>
      </c>
      <c r="U187" s="161">
        <v>47849</v>
      </c>
      <c r="V187" s="11" t="s">
        <v>2808</v>
      </c>
      <c r="W187" s="11" t="s">
        <v>2933</v>
      </c>
      <c r="X187" s="89"/>
      <c r="Y187" s="89"/>
      <c r="Z187" s="164"/>
    </row>
    <row r="188" spans="1:26" ht="39" customHeight="1" x14ac:dyDescent="0.25">
      <c r="A188" s="5">
        <v>18</v>
      </c>
      <c r="B188" s="9" t="s">
        <v>2934</v>
      </c>
      <c r="C188" s="5" t="s">
        <v>18</v>
      </c>
      <c r="D188" s="5" t="s">
        <v>2935</v>
      </c>
      <c r="E188" s="11" t="s">
        <v>1648</v>
      </c>
      <c r="F188" s="150">
        <v>24212</v>
      </c>
      <c r="G188" s="151" t="s">
        <v>2936</v>
      </c>
      <c r="H188" s="68" t="s">
        <v>2937</v>
      </c>
      <c r="I188" s="5" t="s">
        <v>1447</v>
      </c>
      <c r="J188" s="150">
        <v>45383</v>
      </c>
      <c r="K188" s="5">
        <v>31</v>
      </c>
      <c r="L188" s="5">
        <v>1</v>
      </c>
      <c r="M188" s="12" t="s">
        <v>1424</v>
      </c>
      <c r="N188" s="150">
        <v>45200</v>
      </c>
      <c r="O188" s="5" t="s">
        <v>1028</v>
      </c>
      <c r="P188" s="157" t="s">
        <v>2804</v>
      </c>
      <c r="Q188" s="157" t="s">
        <v>2822</v>
      </c>
      <c r="R188" s="157" t="s">
        <v>2915</v>
      </c>
      <c r="S188" s="14" t="s">
        <v>2938</v>
      </c>
      <c r="T188" s="20">
        <v>2015046601</v>
      </c>
      <c r="U188" s="161">
        <v>47969</v>
      </c>
      <c r="V188" s="11" t="s">
        <v>2786</v>
      </c>
      <c r="W188" s="11" t="s">
        <v>2891</v>
      </c>
      <c r="X188" s="89"/>
      <c r="Y188" s="89"/>
      <c r="Z188" s="89"/>
    </row>
    <row r="189" spans="1:26" ht="39" customHeight="1" x14ac:dyDescent="0.25">
      <c r="A189" s="5">
        <v>19</v>
      </c>
      <c r="B189" s="14" t="s">
        <v>2939</v>
      </c>
      <c r="C189" s="5" t="s">
        <v>18</v>
      </c>
      <c r="D189" s="10" t="s">
        <v>2940</v>
      </c>
      <c r="E189" s="14" t="s">
        <v>2941</v>
      </c>
      <c r="F189" s="150">
        <v>25823</v>
      </c>
      <c r="G189" s="151" t="s">
        <v>2942</v>
      </c>
      <c r="H189" s="68" t="s">
        <v>2943</v>
      </c>
      <c r="I189" s="5" t="s">
        <v>1447</v>
      </c>
      <c r="J189" s="150">
        <v>45383</v>
      </c>
      <c r="K189" s="5">
        <v>26</v>
      </c>
      <c r="L189" s="5">
        <v>1</v>
      </c>
      <c r="M189" s="12" t="s">
        <v>1424</v>
      </c>
      <c r="N189" s="150">
        <v>45139</v>
      </c>
      <c r="O189" s="5" t="s">
        <v>1028</v>
      </c>
      <c r="P189" s="157" t="s">
        <v>2944</v>
      </c>
      <c r="Q189" s="157" t="s">
        <v>2945</v>
      </c>
      <c r="R189" s="152" t="s">
        <v>2946</v>
      </c>
      <c r="S189" s="14" t="s">
        <v>2947</v>
      </c>
      <c r="T189" s="20">
        <v>2012097001</v>
      </c>
      <c r="U189" s="150">
        <v>49583</v>
      </c>
      <c r="V189" s="11" t="s">
        <v>2797</v>
      </c>
      <c r="W189" s="11" t="s">
        <v>2292</v>
      </c>
      <c r="X189" s="9" t="s">
        <v>2948</v>
      </c>
      <c r="Y189" s="51">
        <v>45553</v>
      </c>
      <c r="Z189" s="154"/>
    </row>
    <row r="190" spans="1:26" ht="39" customHeight="1" x14ac:dyDescent="0.25">
      <c r="A190" s="5">
        <v>20</v>
      </c>
      <c r="B190" s="9" t="s">
        <v>2949</v>
      </c>
      <c r="C190" s="5" t="s">
        <v>18</v>
      </c>
      <c r="D190" s="5" t="s">
        <v>2950</v>
      </c>
      <c r="E190" s="11" t="s">
        <v>1659</v>
      </c>
      <c r="F190" s="150">
        <v>27560</v>
      </c>
      <c r="G190" s="151" t="s">
        <v>2951</v>
      </c>
      <c r="H190" s="68" t="s">
        <v>2952</v>
      </c>
      <c r="I190" s="10" t="s">
        <v>1469</v>
      </c>
      <c r="J190" s="150">
        <v>45200</v>
      </c>
      <c r="K190" s="5">
        <v>23</v>
      </c>
      <c r="L190" s="5">
        <v>7</v>
      </c>
      <c r="M190" s="12" t="s">
        <v>1501</v>
      </c>
      <c r="N190" s="150">
        <v>40299</v>
      </c>
      <c r="O190" s="5" t="s">
        <v>1028</v>
      </c>
      <c r="P190" s="157" t="s">
        <v>2953</v>
      </c>
      <c r="Q190" s="157" t="s">
        <v>2954</v>
      </c>
      <c r="R190" s="9" t="s">
        <v>2955</v>
      </c>
      <c r="S190" s="14" t="s">
        <v>2956</v>
      </c>
      <c r="T190" s="20">
        <v>2015067501</v>
      </c>
      <c r="U190" s="161">
        <v>51318</v>
      </c>
      <c r="V190" s="11" t="s">
        <v>2786</v>
      </c>
      <c r="W190" s="11" t="s">
        <v>1077</v>
      </c>
      <c r="X190" s="11"/>
      <c r="Y190" s="51"/>
      <c r="Z190" s="40" t="s">
        <v>2957</v>
      </c>
    </row>
    <row r="191" spans="1:26" ht="39" customHeight="1" x14ac:dyDescent="0.25">
      <c r="A191" s="5">
        <v>21</v>
      </c>
      <c r="B191" s="9" t="s">
        <v>2958</v>
      </c>
      <c r="C191" s="5" t="s">
        <v>18</v>
      </c>
      <c r="D191" s="5" t="s">
        <v>2959</v>
      </c>
      <c r="E191" s="11" t="s">
        <v>1887</v>
      </c>
      <c r="F191" s="150">
        <v>22923</v>
      </c>
      <c r="G191" s="151" t="s">
        <v>2960</v>
      </c>
      <c r="H191" s="68" t="s">
        <v>2961</v>
      </c>
      <c r="I191" s="5" t="s">
        <v>1558</v>
      </c>
      <c r="J191" s="150">
        <v>45383</v>
      </c>
      <c r="K191" s="5">
        <v>34</v>
      </c>
      <c r="L191" s="5">
        <v>7</v>
      </c>
      <c r="M191" s="12" t="s">
        <v>1501</v>
      </c>
      <c r="N191" s="150">
        <v>40299</v>
      </c>
      <c r="O191" s="10" t="s">
        <v>982</v>
      </c>
      <c r="P191" s="157" t="s">
        <v>2962</v>
      </c>
      <c r="Q191" s="157" t="s">
        <v>2963</v>
      </c>
      <c r="R191" s="9"/>
      <c r="S191" s="14" t="s">
        <v>2964</v>
      </c>
      <c r="T191" s="20">
        <v>2004106201</v>
      </c>
      <c r="U191" s="161">
        <v>46692</v>
      </c>
      <c r="V191" s="11" t="s">
        <v>2965</v>
      </c>
      <c r="W191" s="11" t="s">
        <v>2966</v>
      </c>
      <c r="X191" s="11"/>
      <c r="Y191" s="10"/>
      <c r="Z191" s="154"/>
    </row>
    <row r="192" spans="1:26" ht="39" customHeight="1" x14ac:dyDescent="0.25">
      <c r="A192" s="5">
        <v>22</v>
      </c>
      <c r="B192" s="14" t="s">
        <v>2967</v>
      </c>
      <c r="C192" s="5" t="s">
        <v>46</v>
      </c>
      <c r="D192" s="5" t="s">
        <v>2968</v>
      </c>
      <c r="E192" s="14" t="s">
        <v>1489</v>
      </c>
      <c r="F192" s="150">
        <v>22013</v>
      </c>
      <c r="G192" s="8" t="s">
        <v>2969</v>
      </c>
      <c r="H192" s="68" t="s">
        <v>2970</v>
      </c>
      <c r="I192" s="10" t="s">
        <v>1469</v>
      </c>
      <c r="J192" s="161">
        <v>45383</v>
      </c>
      <c r="K192" s="5">
        <v>38</v>
      </c>
      <c r="L192" s="5">
        <v>3</v>
      </c>
      <c r="M192" s="12" t="s">
        <v>1501</v>
      </c>
      <c r="N192" s="150">
        <v>40330</v>
      </c>
      <c r="O192" s="5" t="s">
        <v>1028</v>
      </c>
      <c r="P192" s="157" t="s">
        <v>2971</v>
      </c>
      <c r="Q192" s="157" t="s">
        <v>2972</v>
      </c>
      <c r="R192" s="9" t="s">
        <v>2973</v>
      </c>
      <c r="S192" s="162">
        <v>102100504772</v>
      </c>
      <c r="T192" s="166">
        <v>2007046002</v>
      </c>
      <c r="U192" s="150">
        <v>45778</v>
      </c>
      <c r="V192" s="11" t="s">
        <v>2965</v>
      </c>
      <c r="W192" s="14" t="s">
        <v>2353</v>
      </c>
      <c r="X192" s="11"/>
      <c r="Y192" s="5"/>
      <c r="Z192" s="154"/>
    </row>
    <row r="193" spans="1:26" ht="39" customHeight="1" x14ac:dyDescent="0.25">
      <c r="A193" s="5">
        <v>23</v>
      </c>
      <c r="B193" s="9" t="s">
        <v>2974</v>
      </c>
      <c r="C193" s="5" t="s">
        <v>18</v>
      </c>
      <c r="D193" s="5" t="s">
        <v>2975</v>
      </c>
      <c r="E193" s="11" t="s">
        <v>1967</v>
      </c>
      <c r="F193" s="150">
        <v>24292</v>
      </c>
      <c r="G193" s="151" t="s">
        <v>2976</v>
      </c>
      <c r="H193" s="68" t="s">
        <v>2977</v>
      </c>
      <c r="I193" s="10" t="s">
        <v>1469</v>
      </c>
      <c r="J193" s="150">
        <v>45383</v>
      </c>
      <c r="K193" s="5">
        <v>30</v>
      </c>
      <c r="L193" s="5">
        <v>1</v>
      </c>
      <c r="M193" s="12" t="s">
        <v>1501</v>
      </c>
      <c r="N193" s="150">
        <v>40422</v>
      </c>
      <c r="O193" s="5" t="s">
        <v>1028</v>
      </c>
      <c r="P193" s="157" t="s">
        <v>2978</v>
      </c>
      <c r="Q193" s="157" t="s">
        <v>1512</v>
      </c>
      <c r="R193" s="9" t="s">
        <v>2979</v>
      </c>
      <c r="S193" s="14" t="s">
        <v>2980</v>
      </c>
      <c r="T193" s="20">
        <v>2004076602</v>
      </c>
      <c r="U193" s="161">
        <v>48061</v>
      </c>
      <c r="V193" s="11" t="s">
        <v>2965</v>
      </c>
      <c r="W193" s="11" t="s">
        <v>2981</v>
      </c>
      <c r="X193" s="11" t="s">
        <v>2982</v>
      </c>
      <c r="Y193" s="31">
        <v>45588</v>
      </c>
      <c r="Z193" s="154"/>
    </row>
    <row r="194" spans="1:26" ht="39" customHeight="1" x14ac:dyDescent="0.25">
      <c r="A194" s="5">
        <v>24</v>
      </c>
      <c r="B194" s="9" t="s">
        <v>2983</v>
      </c>
      <c r="C194" s="5" t="s">
        <v>18</v>
      </c>
      <c r="D194" s="5" t="s">
        <v>2984</v>
      </c>
      <c r="E194" s="11" t="s">
        <v>1902</v>
      </c>
      <c r="F194" s="150">
        <v>24944</v>
      </c>
      <c r="G194" s="151" t="s">
        <v>2985</v>
      </c>
      <c r="H194" s="68" t="s">
        <v>2986</v>
      </c>
      <c r="I194" s="10" t="s">
        <v>1469</v>
      </c>
      <c r="J194" s="150">
        <v>41913</v>
      </c>
      <c r="K194" s="5">
        <v>19</v>
      </c>
      <c r="L194" s="5">
        <v>7</v>
      </c>
      <c r="M194" s="12" t="s">
        <v>1501</v>
      </c>
      <c r="N194" s="150">
        <v>40422</v>
      </c>
      <c r="O194" s="5" t="s">
        <v>1028</v>
      </c>
      <c r="P194" s="157" t="s">
        <v>2987</v>
      </c>
      <c r="Q194" s="157" t="s">
        <v>1512</v>
      </c>
      <c r="R194" s="9" t="s">
        <v>2988</v>
      </c>
      <c r="S194" s="14" t="s">
        <v>2989</v>
      </c>
      <c r="T194" s="20">
        <v>2016046801</v>
      </c>
      <c r="U194" s="161">
        <v>48700</v>
      </c>
      <c r="V194" s="11" t="s">
        <v>2965</v>
      </c>
      <c r="W194" s="11" t="s">
        <v>2282</v>
      </c>
      <c r="X194" s="9" t="s">
        <v>2990</v>
      </c>
      <c r="Y194" s="51">
        <v>45553</v>
      </c>
      <c r="Z194" s="154"/>
    </row>
    <row r="195" spans="1:26" ht="39" customHeight="1" x14ac:dyDescent="0.25">
      <c r="A195" s="5">
        <v>25</v>
      </c>
      <c r="B195" s="9" t="s">
        <v>2991</v>
      </c>
      <c r="C195" s="5" t="s">
        <v>18</v>
      </c>
      <c r="D195" s="5" t="s">
        <v>2992</v>
      </c>
      <c r="E195" s="11" t="s">
        <v>2993</v>
      </c>
      <c r="F195" s="150">
        <v>23042</v>
      </c>
      <c r="G195" s="151" t="s">
        <v>2994</v>
      </c>
      <c r="H195" s="68" t="s">
        <v>2995</v>
      </c>
      <c r="I195" s="5" t="s">
        <v>1558</v>
      </c>
      <c r="J195" s="150">
        <v>45383</v>
      </c>
      <c r="K195" s="5">
        <v>32</v>
      </c>
      <c r="L195" s="5">
        <v>1</v>
      </c>
      <c r="M195" s="12" t="s">
        <v>1501</v>
      </c>
      <c r="N195" s="150">
        <v>40725</v>
      </c>
      <c r="O195" s="10" t="s">
        <v>982</v>
      </c>
      <c r="P195" s="157" t="s">
        <v>2996</v>
      </c>
      <c r="Q195" s="157" t="s">
        <v>1512</v>
      </c>
      <c r="R195" s="9"/>
      <c r="S195" s="162">
        <v>102100504682</v>
      </c>
      <c r="T195" s="166">
        <v>2031016301</v>
      </c>
      <c r="U195" s="161">
        <v>46784</v>
      </c>
      <c r="V195" s="11" t="s">
        <v>1116</v>
      </c>
      <c r="W195" s="11" t="s">
        <v>2997</v>
      </c>
      <c r="X195" s="89"/>
      <c r="Y195" s="89"/>
      <c r="Z195" s="89"/>
    </row>
    <row r="196" spans="1:26" ht="39" customHeight="1" x14ac:dyDescent="0.25">
      <c r="A196" s="5">
        <v>26</v>
      </c>
      <c r="B196" s="9" t="s">
        <v>2998</v>
      </c>
      <c r="C196" s="5" t="s">
        <v>18</v>
      </c>
      <c r="D196" s="5" t="s">
        <v>2999</v>
      </c>
      <c r="E196" s="11" t="s">
        <v>1519</v>
      </c>
      <c r="F196" s="150">
        <v>22372</v>
      </c>
      <c r="G196" s="151" t="s">
        <v>3000</v>
      </c>
      <c r="H196" s="68" t="s">
        <v>3001</v>
      </c>
      <c r="I196" s="10" t="s">
        <v>1469</v>
      </c>
      <c r="J196" s="150">
        <v>45383</v>
      </c>
      <c r="K196" s="5">
        <v>36</v>
      </c>
      <c r="L196" s="5">
        <v>7</v>
      </c>
      <c r="M196" s="12" t="s">
        <v>1501</v>
      </c>
      <c r="N196" s="150">
        <v>41061</v>
      </c>
      <c r="O196" s="5" t="s">
        <v>1028</v>
      </c>
      <c r="P196" s="157" t="s">
        <v>3002</v>
      </c>
      <c r="Q196" s="157" t="s">
        <v>3003</v>
      </c>
      <c r="R196" s="152" t="s">
        <v>3004</v>
      </c>
      <c r="S196" s="14" t="s">
        <v>3005</v>
      </c>
      <c r="T196" s="20">
        <v>2001046101</v>
      </c>
      <c r="U196" s="161">
        <v>46143</v>
      </c>
      <c r="V196" s="11" t="s">
        <v>2965</v>
      </c>
      <c r="W196" s="11" t="s">
        <v>1088</v>
      </c>
      <c r="X196" s="11"/>
      <c r="Y196" s="10"/>
      <c r="Z196" s="154"/>
    </row>
    <row r="197" spans="1:26" ht="39" customHeight="1" x14ac:dyDescent="0.25">
      <c r="A197" s="5">
        <v>27</v>
      </c>
      <c r="B197" s="12" t="s">
        <v>3006</v>
      </c>
      <c r="C197" s="5" t="s">
        <v>18</v>
      </c>
      <c r="D197" s="5" t="s">
        <v>3007</v>
      </c>
      <c r="E197" s="14" t="s">
        <v>3008</v>
      </c>
      <c r="F197" s="150">
        <v>27992</v>
      </c>
      <c r="G197" s="151" t="s">
        <v>3009</v>
      </c>
      <c r="H197" s="68" t="s">
        <v>3010</v>
      </c>
      <c r="I197" s="5" t="s">
        <v>1469</v>
      </c>
      <c r="J197" s="150">
        <v>44652</v>
      </c>
      <c r="K197" s="5">
        <v>17</v>
      </c>
      <c r="L197" s="5">
        <v>3</v>
      </c>
      <c r="M197" s="12" t="s">
        <v>1501</v>
      </c>
      <c r="N197" s="150">
        <v>41061</v>
      </c>
      <c r="O197" s="5" t="s">
        <v>1028</v>
      </c>
      <c r="P197" s="157" t="s">
        <v>3011</v>
      </c>
      <c r="Q197" s="157" t="s">
        <v>2897</v>
      </c>
      <c r="R197" s="9" t="s">
        <v>3012</v>
      </c>
      <c r="S197" s="162">
        <v>102100504660</v>
      </c>
      <c r="T197" s="166">
        <v>2020087601</v>
      </c>
      <c r="U197" s="150">
        <v>51745</v>
      </c>
      <c r="V197" s="11" t="s">
        <v>2786</v>
      </c>
      <c r="W197" s="14" t="s">
        <v>3013</v>
      </c>
      <c r="X197" s="11" t="s">
        <v>3014</v>
      </c>
      <c r="Y197" s="31">
        <v>45588</v>
      </c>
      <c r="Z197" s="89"/>
    </row>
    <row r="198" spans="1:26" ht="39" customHeight="1" x14ac:dyDescent="0.25">
      <c r="A198" s="5">
        <v>28</v>
      </c>
      <c r="B198" s="9" t="s">
        <v>3015</v>
      </c>
      <c r="C198" s="5" t="s">
        <v>18</v>
      </c>
      <c r="D198" s="5" t="s">
        <v>3016</v>
      </c>
      <c r="E198" s="11" t="s">
        <v>2144</v>
      </c>
      <c r="F198" s="150">
        <v>26973</v>
      </c>
      <c r="G198" s="151" t="s">
        <v>3017</v>
      </c>
      <c r="H198" s="68" t="s">
        <v>3018</v>
      </c>
      <c r="I198" s="10" t="s">
        <v>1558</v>
      </c>
      <c r="J198" s="150">
        <v>45383</v>
      </c>
      <c r="K198" s="5">
        <v>28</v>
      </c>
      <c r="L198" s="5">
        <v>1</v>
      </c>
      <c r="M198" s="12" t="s">
        <v>1501</v>
      </c>
      <c r="N198" s="150">
        <v>41456</v>
      </c>
      <c r="O198" s="5" t="s">
        <v>1028</v>
      </c>
      <c r="P198" s="157" t="s">
        <v>3019</v>
      </c>
      <c r="Q198" s="157" t="s">
        <v>3020</v>
      </c>
      <c r="R198" s="152" t="s">
        <v>3021</v>
      </c>
      <c r="S198" s="14" t="s">
        <v>3022</v>
      </c>
      <c r="T198" s="20">
        <v>2005117302</v>
      </c>
      <c r="U198" s="161">
        <v>50740</v>
      </c>
      <c r="V198" s="11" t="s">
        <v>1116</v>
      </c>
      <c r="W198" s="11" t="s">
        <v>2997</v>
      </c>
      <c r="X198" s="11"/>
      <c r="Y198" s="10"/>
      <c r="Z198" s="154"/>
    </row>
    <row r="199" spans="1:26" ht="39" customHeight="1" x14ac:dyDescent="0.25">
      <c r="A199" s="5">
        <v>29</v>
      </c>
      <c r="B199" s="14" t="s">
        <v>3023</v>
      </c>
      <c r="C199" s="5" t="s">
        <v>18</v>
      </c>
      <c r="D199" s="5" t="s">
        <v>3024</v>
      </c>
      <c r="E199" s="14" t="s">
        <v>1934</v>
      </c>
      <c r="F199" s="150">
        <v>24390</v>
      </c>
      <c r="G199" s="151" t="s">
        <v>3025</v>
      </c>
      <c r="H199" s="68" t="s">
        <v>3026</v>
      </c>
      <c r="I199" s="5" t="s">
        <v>1558</v>
      </c>
      <c r="J199" s="150">
        <v>45383</v>
      </c>
      <c r="K199" s="5">
        <v>32</v>
      </c>
      <c r="L199" s="5">
        <v>2</v>
      </c>
      <c r="M199" s="12" t="s">
        <v>1501</v>
      </c>
      <c r="N199" s="150">
        <v>41699</v>
      </c>
      <c r="O199" s="5" t="s">
        <v>982</v>
      </c>
      <c r="P199" s="157" t="s">
        <v>3027</v>
      </c>
      <c r="Q199" s="157" t="s">
        <v>3028</v>
      </c>
      <c r="R199" s="9"/>
      <c r="S199" s="162">
        <v>102100504671</v>
      </c>
      <c r="T199" s="166">
        <v>2010106602</v>
      </c>
      <c r="U199" s="150">
        <v>48153</v>
      </c>
      <c r="V199" s="11" t="s">
        <v>1076</v>
      </c>
      <c r="W199" s="14" t="s">
        <v>3029</v>
      </c>
      <c r="X199" s="11"/>
      <c r="Y199" s="5"/>
      <c r="Z199" s="154"/>
    </row>
    <row r="200" spans="1:26" ht="34.5" customHeight="1" x14ac:dyDescent="0.25">
      <c r="A200" s="5">
        <v>30</v>
      </c>
      <c r="B200" s="9" t="s">
        <v>3030</v>
      </c>
      <c r="C200" s="5" t="s">
        <v>18</v>
      </c>
      <c r="D200" s="5" t="s">
        <v>3031</v>
      </c>
      <c r="E200" s="11" t="s">
        <v>1420</v>
      </c>
      <c r="F200" s="150">
        <v>25629</v>
      </c>
      <c r="G200" s="151" t="s">
        <v>3032</v>
      </c>
      <c r="H200" s="68" t="s">
        <v>3033</v>
      </c>
      <c r="I200" s="10" t="s">
        <v>1558</v>
      </c>
      <c r="J200" s="150">
        <v>45383</v>
      </c>
      <c r="K200" s="5">
        <v>26</v>
      </c>
      <c r="L200" s="5">
        <v>1</v>
      </c>
      <c r="M200" s="12" t="s">
        <v>1501</v>
      </c>
      <c r="N200" s="150">
        <v>41730</v>
      </c>
      <c r="O200" s="10" t="s">
        <v>982</v>
      </c>
      <c r="P200" s="157" t="s">
        <v>3034</v>
      </c>
      <c r="Q200" s="157" t="s">
        <v>3035</v>
      </c>
      <c r="R200" s="9"/>
      <c r="S200" s="14" t="s">
        <v>3036</v>
      </c>
      <c r="T200" s="20">
        <v>2002037001</v>
      </c>
      <c r="U200" s="161">
        <v>49400</v>
      </c>
      <c r="V200" s="11" t="s">
        <v>2899</v>
      </c>
      <c r="W200" s="11" t="s">
        <v>3037</v>
      </c>
      <c r="X200" s="11" t="s">
        <v>3038</v>
      </c>
      <c r="Y200" s="31">
        <v>45588</v>
      </c>
      <c r="Z200" s="154"/>
    </row>
    <row r="201" spans="1:26" ht="39" customHeight="1" x14ac:dyDescent="0.25">
      <c r="A201" s="5">
        <v>31</v>
      </c>
      <c r="B201" s="14" t="s">
        <v>3039</v>
      </c>
      <c r="C201" s="5" t="s">
        <v>46</v>
      </c>
      <c r="D201" s="5" t="s">
        <v>3040</v>
      </c>
      <c r="E201" s="12" t="s">
        <v>2103</v>
      </c>
      <c r="F201" s="150">
        <v>28132</v>
      </c>
      <c r="G201" s="151" t="s">
        <v>3041</v>
      </c>
      <c r="H201" s="68" t="s">
        <v>3042</v>
      </c>
      <c r="I201" s="5" t="s">
        <v>1558</v>
      </c>
      <c r="J201" s="150">
        <v>45383</v>
      </c>
      <c r="K201" s="5">
        <v>18</v>
      </c>
      <c r="L201" s="5">
        <v>0</v>
      </c>
      <c r="M201" s="12" t="s">
        <v>1501</v>
      </c>
      <c r="N201" s="150" t="s">
        <v>3043</v>
      </c>
      <c r="O201" s="5" t="s">
        <v>1028</v>
      </c>
      <c r="P201" s="157" t="s">
        <v>3044</v>
      </c>
      <c r="Q201" s="157" t="s">
        <v>3045</v>
      </c>
      <c r="R201" s="9" t="s">
        <v>2915</v>
      </c>
      <c r="S201" s="162">
        <v>102100504755</v>
      </c>
      <c r="T201" s="166">
        <v>2007017701</v>
      </c>
      <c r="U201" s="150">
        <v>51898</v>
      </c>
      <c r="V201" s="11" t="s">
        <v>2786</v>
      </c>
      <c r="W201" s="14" t="s">
        <v>3046</v>
      </c>
      <c r="X201" s="11"/>
      <c r="Y201" s="51"/>
      <c r="Z201" s="154"/>
    </row>
    <row r="202" spans="1:26" ht="39" customHeight="1" x14ac:dyDescent="0.25">
      <c r="A202" s="5">
        <v>32</v>
      </c>
      <c r="B202" s="12" t="s">
        <v>3047</v>
      </c>
      <c r="C202" s="5" t="s">
        <v>46</v>
      </c>
      <c r="D202" s="5" t="s">
        <v>3048</v>
      </c>
      <c r="E202" s="14" t="s">
        <v>3049</v>
      </c>
      <c r="F202" s="150">
        <v>28860</v>
      </c>
      <c r="G202" s="151" t="s">
        <v>3050</v>
      </c>
      <c r="H202" s="68" t="s">
        <v>3051</v>
      </c>
      <c r="I202" s="5" t="s">
        <v>1469</v>
      </c>
      <c r="J202" s="150">
        <v>45566</v>
      </c>
      <c r="K202" s="5">
        <v>19</v>
      </c>
      <c r="L202" s="5">
        <v>9</v>
      </c>
      <c r="M202" s="12" t="s">
        <v>1501</v>
      </c>
      <c r="N202" s="150">
        <v>43952</v>
      </c>
      <c r="O202" s="5" t="s">
        <v>1028</v>
      </c>
      <c r="P202" s="157" t="s">
        <v>3052</v>
      </c>
      <c r="Q202" s="157" t="s">
        <v>3053</v>
      </c>
      <c r="R202" s="9" t="s">
        <v>3054</v>
      </c>
      <c r="S202" s="162">
        <v>112100514310029</v>
      </c>
      <c r="T202" s="166">
        <v>2005017901</v>
      </c>
      <c r="U202" s="150">
        <v>52628</v>
      </c>
      <c r="V202" s="11" t="s">
        <v>1076</v>
      </c>
      <c r="W202" s="14" t="s">
        <v>3055</v>
      </c>
      <c r="X202" s="11"/>
      <c r="Y202" s="31" t="s">
        <v>1084</v>
      </c>
      <c r="Z202" s="154"/>
    </row>
    <row r="203" spans="1:26" ht="39" customHeight="1" x14ac:dyDescent="0.25">
      <c r="A203" s="5">
        <v>33</v>
      </c>
      <c r="B203" s="14" t="s">
        <v>3056</v>
      </c>
      <c r="C203" s="5" t="s">
        <v>18</v>
      </c>
      <c r="D203" s="5" t="s">
        <v>3057</v>
      </c>
      <c r="E203" s="14" t="s">
        <v>3058</v>
      </c>
      <c r="F203" s="150">
        <v>25911</v>
      </c>
      <c r="G203" s="151" t="s">
        <v>3059</v>
      </c>
      <c r="H203" s="68" t="s">
        <v>3060</v>
      </c>
      <c r="I203" s="10" t="s">
        <v>1699</v>
      </c>
      <c r="J203" s="150">
        <v>45017</v>
      </c>
      <c r="K203" s="5">
        <v>19</v>
      </c>
      <c r="L203" s="5">
        <v>4</v>
      </c>
      <c r="M203" s="12" t="s">
        <v>1501</v>
      </c>
      <c r="N203" s="150">
        <v>44013</v>
      </c>
      <c r="O203" s="5" t="s">
        <v>1028</v>
      </c>
      <c r="P203" s="157" t="s">
        <v>3061</v>
      </c>
      <c r="Q203" s="157" t="s">
        <v>3062</v>
      </c>
      <c r="R203" s="9" t="s">
        <v>3012</v>
      </c>
      <c r="S203" s="162">
        <v>102100504629</v>
      </c>
      <c r="T203" s="166">
        <v>2012097002</v>
      </c>
      <c r="U203" s="161">
        <v>49583</v>
      </c>
      <c r="V203" s="11" t="s">
        <v>2965</v>
      </c>
      <c r="W203" s="11" t="s">
        <v>3063</v>
      </c>
      <c r="X203" s="11"/>
      <c r="Y203" s="31"/>
      <c r="Z203" s="154"/>
    </row>
    <row r="204" spans="1:26" ht="39" customHeight="1" x14ac:dyDescent="0.25">
      <c r="A204" s="5">
        <v>34</v>
      </c>
      <c r="B204" s="9" t="s">
        <v>3064</v>
      </c>
      <c r="C204" s="5" t="s">
        <v>18</v>
      </c>
      <c r="D204" s="5" t="s">
        <v>3065</v>
      </c>
      <c r="E204" s="11" t="s">
        <v>3066</v>
      </c>
      <c r="F204" s="188">
        <v>25131</v>
      </c>
      <c r="G204" s="151" t="s">
        <v>3067</v>
      </c>
      <c r="H204" s="68" t="s">
        <v>3068</v>
      </c>
      <c r="I204" s="10" t="s">
        <v>1558</v>
      </c>
      <c r="J204" s="150">
        <v>45383</v>
      </c>
      <c r="K204" s="5">
        <v>26</v>
      </c>
      <c r="L204" s="5">
        <v>1</v>
      </c>
      <c r="M204" s="12" t="s">
        <v>1501</v>
      </c>
      <c r="N204" s="150">
        <v>44013</v>
      </c>
      <c r="O204" s="5" t="s">
        <v>1028</v>
      </c>
      <c r="P204" s="157" t="s">
        <v>2978</v>
      </c>
      <c r="Q204" s="157" t="s">
        <v>1642</v>
      </c>
      <c r="R204" s="9" t="s">
        <v>1550</v>
      </c>
      <c r="S204" s="14" t="s">
        <v>3069</v>
      </c>
      <c r="T204" s="20">
        <v>2020106802</v>
      </c>
      <c r="U204" s="161">
        <v>48884</v>
      </c>
      <c r="V204" s="11" t="s">
        <v>1116</v>
      </c>
      <c r="W204" s="11" t="s">
        <v>3070</v>
      </c>
      <c r="X204" s="11" t="s">
        <v>3071</v>
      </c>
      <c r="Y204" s="51">
        <v>45579</v>
      </c>
      <c r="Z204" s="154"/>
    </row>
    <row r="205" spans="1:26" ht="39" customHeight="1" x14ac:dyDescent="0.25">
      <c r="A205" s="5">
        <v>35</v>
      </c>
      <c r="B205" s="9" t="s">
        <v>3072</v>
      </c>
      <c r="C205" s="5" t="s">
        <v>46</v>
      </c>
      <c r="D205" s="5" t="s">
        <v>3073</v>
      </c>
      <c r="E205" s="11" t="s">
        <v>1648</v>
      </c>
      <c r="F205" s="150">
        <v>25593</v>
      </c>
      <c r="G205" s="151" t="s">
        <v>3074</v>
      </c>
      <c r="H205" s="68" t="s">
        <v>3075</v>
      </c>
      <c r="I205" s="10" t="s">
        <v>1738</v>
      </c>
      <c r="J205" s="150">
        <v>45383</v>
      </c>
      <c r="K205" s="5">
        <v>27</v>
      </c>
      <c r="L205" s="5">
        <v>1</v>
      </c>
      <c r="M205" s="12" t="s">
        <v>1739</v>
      </c>
      <c r="N205" s="150">
        <v>38534</v>
      </c>
      <c r="O205" s="10" t="s">
        <v>982</v>
      </c>
      <c r="P205" s="157" t="s">
        <v>3076</v>
      </c>
      <c r="Q205" s="157" t="s">
        <v>3077</v>
      </c>
      <c r="R205" s="9"/>
      <c r="S205" s="162">
        <v>102100504740</v>
      </c>
      <c r="T205" s="166">
        <v>2025017002</v>
      </c>
      <c r="U205" s="161">
        <v>49341</v>
      </c>
      <c r="V205" s="11" t="s">
        <v>2899</v>
      </c>
      <c r="W205" s="11" t="s">
        <v>3078</v>
      </c>
      <c r="X205" s="11"/>
      <c r="Y205" s="10"/>
      <c r="Z205" s="40"/>
    </row>
    <row r="206" spans="1:26" ht="39" customHeight="1" x14ac:dyDescent="0.25">
      <c r="A206" s="5">
        <v>36</v>
      </c>
      <c r="B206" s="9" t="s">
        <v>3079</v>
      </c>
      <c r="C206" s="5" t="s">
        <v>18</v>
      </c>
      <c r="D206" s="5" t="s">
        <v>3080</v>
      </c>
      <c r="E206" s="11" t="s">
        <v>1942</v>
      </c>
      <c r="F206" s="150">
        <v>24278</v>
      </c>
      <c r="G206" s="151" t="s">
        <v>3081</v>
      </c>
      <c r="H206" s="68" t="s">
        <v>3082</v>
      </c>
      <c r="I206" s="10" t="s">
        <v>1738</v>
      </c>
      <c r="J206" s="150">
        <v>41548</v>
      </c>
      <c r="K206" s="5">
        <v>21</v>
      </c>
      <c r="L206" s="5">
        <v>7</v>
      </c>
      <c r="M206" s="9" t="s">
        <v>1739</v>
      </c>
      <c r="N206" s="150">
        <v>38657</v>
      </c>
      <c r="O206" s="10" t="s">
        <v>982</v>
      </c>
      <c r="P206" s="157" t="s">
        <v>3083</v>
      </c>
      <c r="Q206" s="157" t="s">
        <v>2850</v>
      </c>
      <c r="R206" s="9"/>
      <c r="S206" s="162">
        <v>102100504637</v>
      </c>
      <c r="T206" s="166">
        <v>2020066602</v>
      </c>
      <c r="U206" s="161">
        <v>48030</v>
      </c>
      <c r="V206" s="11" t="s">
        <v>1116</v>
      </c>
      <c r="W206" s="11" t="s">
        <v>3084</v>
      </c>
      <c r="X206" s="11"/>
      <c r="Y206" s="10"/>
      <c r="Z206" s="40" t="s">
        <v>1084</v>
      </c>
    </row>
    <row r="207" spans="1:26" ht="39" customHeight="1" x14ac:dyDescent="0.25">
      <c r="A207" s="5">
        <v>37</v>
      </c>
      <c r="B207" s="12" t="s">
        <v>3085</v>
      </c>
      <c r="C207" s="5" t="s">
        <v>46</v>
      </c>
      <c r="D207" s="5" t="s">
        <v>3086</v>
      </c>
      <c r="E207" s="11" t="s">
        <v>1489</v>
      </c>
      <c r="F207" s="150">
        <v>22897</v>
      </c>
      <c r="G207" s="151" t="s">
        <v>3087</v>
      </c>
      <c r="H207" s="68" t="s">
        <v>3088</v>
      </c>
      <c r="I207" s="5" t="s">
        <v>1738</v>
      </c>
      <c r="J207" s="150">
        <v>40817</v>
      </c>
      <c r="K207" s="5">
        <v>22</v>
      </c>
      <c r="L207" s="5">
        <v>7</v>
      </c>
      <c r="M207" s="12" t="s">
        <v>1739</v>
      </c>
      <c r="N207" s="150">
        <v>38808</v>
      </c>
      <c r="O207" s="10" t="s">
        <v>982</v>
      </c>
      <c r="P207" s="157" t="s">
        <v>3089</v>
      </c>
      <c r="Q207" s="157" t="s">
        <v>3090</v>
      </c>
      <c r="R207" s="9"/>
      <c r="S207" s="162">
        <v>102100504655</v>
      </c>
      <c r="T207" s="166">
        <v>2009096203</v>
      </c>
      <c r="U207" s="161">
        <v>46661</v>
      </c>
      <c r="V207" s="11" t="s">
        <v>2899</v>
      </c>
      <c r="W207" s="11" t="s">
        <v>2798</v>
      </c>
      <c r="X207" s="11"/>
      <c r="Y207" s="10"/>
      <c r="Z207" s="153"/>
    </row>
    <row r="208" spans="1:26" ht="39" customHeight="1" x14ac:dyDescent="0.25">
      <c r="A208" s="5">
        <v>38</v>
      </c>
      <c r="B208" s="9" t="s">
        <v>3091</v>
      </c>
      <c r="C208" s="5" t="s">
        <v>18</v>
      </c>
      <c r="D208" s="5" t="s">
        <v>3092</v>
      </c>
      <c r="E208" s="11" t="s">
        <v>3093</v>
      </c>
      <c r="F208" s="150">
        <v>26523</v>
      </c>
      <c r="G208" s="151" t="s">
        <v>3094</v>
      </c>
      <c r="H208" s="68" t="s">
        <v>3095</v>
      </c>
      <c r="I208" s="10" t="s">
        <v>1738</v>
      </c>
      <c r="J208" s="150">
        <v>40452</v>
      </c>
      <c r="K208" s="5">
        <v>13</v>
      </c>
      <c r="L208" s="5">
        <v>7</v>
      </c>
      <c r="M208" s="12" t="s">
        <v>1739</v>
      </c>
      <c r="N208" s="150">
        <v>38930</v>
      </c>
      <c r="O208" s="5" t="s">
        <v>1028</v>
      </c>
      <c r="P208" s="157" t="s">
        <v>3096</v>
      </c>
      <c r="Q208" s="157" t="s">
        <v>3097</v>
      </c>
      <c r="R208" s="9" t="s">
        <v>1532</v>
      </c>
      <c r="S208" s="162">
        <v>102100504662</v>
      </c>
      <c r="T208" s="166">
        <v>2012087202</v>
      </c>
      <c r="U208" s="161">
        <v>50284</v>
      </c>
      <c r="V208" s="11" t="s">
        <v>2808</v>
      </c>
      <c r="W208" s="11" t="s">
        <v>3098</v>
      </c>
      <c r="X208" s="89"/>
      <c r="Y208" s="89"/>
      <c r="Z208" s="89"/>
    </row>
    <row r="209" spans="1:26" ht="39" customHeight="1" x14ac:dyDescent="0.25">
      <c r="A209" s="5">
        <v>39</v>
      </c>
      <c r="B209" s="9" t="s">
        <v>3099</v>
      </c>
      <c r="C209" s="5" t="s">
        <v>18</v>
      </c>
      <c r="D209" s="5" t="s">
        <v>3100</v>
      </c>
      <c r="E209" s="11" t="s">
        <v>1456</v>
      </c>
      <c r="F209" s="150">
        <v>26883</v>
      </c>
      <c r="G209" s="8" t="s">
        <v>3101</v>
      </c>
      <c r="H209" s="68" t="s">
        <v>3102</v>
      </c>
      <c r="I209" s="5" t="s">
        <v>1699</v>
      </c>
      <c r="J209" s="150">
        <v>45383</v>
      </c>
      <c r="K209" s="5">
        <v>24</v>
      </c>
      <c r="L209" s="5">
        <v>1</v>
      </c>
      <c r="M209" s="12" t="s">
        <v>1501</v>
      </c>
      <c r="N209" s="150">
        <v>44986</v>
      </c>
      <c r="O209" s="5" t="s">
        <v>1028</v>
      </c>
      <c r="P209" s="157" t="s">
        <v>3103</v>
      </c>
      <c r="Q209" s="157" t="s">
        <v>3104</v>
      </c>
      <c r="R209" s="9" t="s">
        <v>3105</v>
      </c>
      <c r="S209" s="162">
        <v>102100504735</v>
      </c>
      <c r="T209" s="166">
        <v>2007087301</v>
      </c>
      <c r="U209" s="161">
        <v>50649</v>
      </c>
      <c r="V209" s="11" t="s">
        <v>2899</v>
      </c>
      <c r="W209" s="11" t="s">
        <v>3106</v>
      </c>
      <c r="X209" s="11"/>
      <c r="Y209" s="51"/>
      <c r="Z209" s="154"/>
    </row>
    <row r="210" spans="1:26" ht="39" customHeight="1" x14ac:dyDescent="0.25">
      <c r="A210" s="5">
        <v>40</v>
      </c>
      <c r="B210" s="9" t="s">
        <v>3107</v>
      </c>
      <c r="C210" s="5" t="s">
        <v>18</v>
      </c>
      <c r="D210" s="5" t="s">
        <v>3108</v>
      </c>
      <c r="E210" s="11" t="s">
        <v>2428</v>
      </c>
      <c r="F210" s="150">
        <v>26067</v>
      </c>
      <c r="G210" s="151" t="s">
        <v>3109</v>
      </c>
      <c r="H210" s="68" t="s">
        <v>3110</v>
      </c>
      <c r="I210" s="10" t="s">
        <v>1738</v>
      </c>
      <c r="J210" s="150">
        <v>41000</v>
      </c>
      <c r="K210" s="5">
        <v>14</v>
      </c>
      <c r="L210" s="5">
        <v>1</v>
      </c>
      <c r="M210" s="12" t="s">
        <v>1739</v>
      </c>
      <c r="N210" s="150">
        <v>39692</v>
      </c>
      <c r="O210" s="5" t="s">
        <v>1028</v>
      </c>
      <c r="P210" s="157" t="s">
        <v>3111</v>
      </c>
      <c r="Q210" s="157" t="s">
        <v>3112</v>
      </c>
      <c r="R210" s="9" t="s">
        <v>3113</v>
      </c>
      <c r="S210" s="162">
        <v>142100512842</v>
      </c>
      <c r="T210" s="20">
        <v>2014057101</v>
      </c>
      <c r="U210" s="161">
        <v>49827</v>
      </c>
      <c r="V210" s="11" t="s">
        <v>2797</v>
      </c>
      <c r="W210" s="11" t="s">
        <v>3114</v>
      </c>
      <c r="X210" s="89"/>
      <c r="Y210" s="89"/>
      <c r="Z210" s="89"/>
    </row>
    <row r="211" spans="1:26" ht="39" customHeight="1" x14ac:dyDescent="0.25">
      <c r="A211" s="5">
        <v>41</v>
      </c>
      <c r="B211" s="12" t="s">
        <v>3115</v>
      </c>
      <c r="C211" s="5" t="s">
        <v>18</v>
      </c>
      <c r="D211" s="5" t="s">
        <v>3116</v>
      </c>
      <c r="E211" s="14" t="s">
        <v>1638</v>
      </c>
      <c r="F211" s="150">
        <v>28023</v>
      </c>
      <c r="G211" s="151" t="s">
        <v>3117</v>
      </c>
      <c r="H211" s="68" t="s">
        <v>3118</v>
      </c>
      <c r="I211" s="5" t="s">
        <v>1738</v>
      </c>
      <c r="J211" s="150">
        <v>45383</v>
      </c>
      <c r="K211" s="5">
        <v>19</v>
      </c>
      <c r="L211" s="5">
        <v>3</v>
      </c>
      <c r="M211" s="12" t="s">
        <v>1739</v>
      </c>
      <c r="N211" s="150">
        <v>39965</v>
      </c>
      <c r="O211" s="5" t="s">
        <v>1028</v>
      </c>
      <c r="P211" s="157" t="s">
        <v>3119</v>
      </c>
      <c r="Q211" s="157" t="s">
        <v>3120</v>
      </c>
      <c r="R211" s="9" t="s">
        <v>3121</v>
      </c>
      <c r="S211" s="162">
        <v>102100504628</v>
      </c>
      <c r="T211" s="166">
        <v>2020097601</v>
      </c>
      <c r="U211" s="150">
        <v>51775</v>
      </c>
      <c r="V211" s="11" t="s">
        <v>2965</v>
      </c>
      <c r="W211" s="14" t="s">
        <v>2900</v>
      </c>
      <c r="X211" s="89"/>
      <c r="Y211" s="89"/>
      <c r="Z211" s="89"/>
    </row>
    <row r="212" spans="1:26" ht="39" customHeight="1" x14ac:dyDescent="0.25">
      <c r="A212" s="5">
        <v>42</v>
      </c>
      <c r="B212" s="12" t="s">
        <v>3122</v>
      </c>
      <c r="C212" s="5" t="s">
        <v>46</v>
      </c>
      <c r="D212" s="5" t="s">
        <v>3123</v>
      </c>
      <c r="E212" s="14" t="s">
        <v>3124</v>
      </c>
      <c r="F212" s="150">
        <v>27677</v>
      </c>
      <c r="G212" s="151" t="s">
        <v>3125</v>
      </c>
      <c r="H212" s="68" t="s">
        <v>3126</v>
      </c>
      <c r="I212" s="5" t="s">
        <v>1738</v>
      </c>
      <c r="J212" s="150">
        <v>41183</v>
      </c>
      <c r="K212" s="5">
        <v>7</v>
      </c>
      <c r="L212" s="5">
        <v>9</v>
      </c>
      <c r="M212" s="12" t="s">
        <v>1739</v>
      </c>
      <c r="N212" s="150">
        <v>39965</v>
      </c>
      <c r="O212" s="5" t="s">
        <v>982</v>
      </c>
      <c r="P212" s="157" t="s">
        <v>2822</v>
      </c>
      <c r="Q212" s="157" t="s">
        <v>3127</v>
      </c>
      <c r="R212" s="9"/>
      <c r="S212" s="162">
        <v>102100504722</v>
      </c>
      <c r="T212" s="166">
        <v>2010107502</v>
      </c>
      <c r="U212" s="150">
        <v>51441</v>
      </c>
      <c r="V212" s="11" t="s">
        <v>1076</v>
      </c>
      <c r="W212" s="14" t="s">
        <v>1117</v>
      </c>
      <c r="X212" s="11" t="s">
        <v>3128</v>
      </c>
      <c r="Y212" s="31">
        <v>45588</v>
      </c>
      <c r="Z212" s="67"/>
    </row>
    <row r="213" spans="1:26" ht="39" customHeight="1" x14ac:dyDescent="0.25">
      <c r="A213" s="5">
        <v>43</v>
      </c>
      <c r="B213" s="12" t="s">
        <v>3129</v>
      </c>
      <c r="C213" s="5" t="s">
        <v>18</v>
      </c>
      <c r="D213" s="5" t="s">
        <v>3130</v>
      </c>
      <c r="E213" s="11" t="s">
        <v>1456</v>
      </c>
      <c r="F213" s="150">
        <v>27479</v>
      </c>
      <c r="G213" s="151" t="s">
        <v>3131</v>
      </c>
      <c r="H213" s="68" t="s">
        <v>3132</v>
      </c>
      <c r="I213" s="5" t="s">
        <v>1738</v>
      </c>
      <c r="J213" s="150">
        <v>41000</v>
      </c>
      <c r="K213" s="5">
        <v>14</v>
      </c>
      <c r="L213" s="5">
        <v>1</v>
      </c>
      <c r="M213" s="12" t="s">
        <v>1501</v>
      </c>
      <c r="N213" s="150">
        <v>45139</v>
      </c>
      <c r="O213" s="5" t="s">
        <v>1028</v>
      </c>
      <c r="P213" s="157" t="s">
        <v>3133</v>
      </c>
      <c r="Q213" s="157" t="s">
        <v>3134</v>
      </c>
      <c r="R213" s="9" t="s">
        <v>3135</v>
      </c>
      <c r="S213" s="162">
        <v>102100504639</v>
      </c>
      <c r="T213" s="166">
        <v>2026037501</v>
      </c>
      <c r="U213" s="161">
        <v>51227</v>
      </c>
      <c r="V213" s="11" t="s">
        <v>2899</v>
      </c>
      <c r="W213" s="11" t="s">
        <v>1097</v>
      </c>
      <c r="X213" s="11"/>
      <c r="Y213" s="10"/>
      <c r="Z213" s="154"/>
    </row>
    <row r="214" spans="1:26" ht="39" customHeight="1" x14ac:dyDescent="0.25">
      <c r="A214" s="5">
        <v>44</v>
      </c>
      <c r="B214" s="14" t="s">
        <v>3136</v>
      </c>
      <c r="C214" s="5" t="s">
        <v>18</v>
      </c>
      <c r="D214" s="5" t="s">
        <v>3137</v>
      </c>
      <c r="E214" s="12" t="s">
        <v>1536</v>
      </c>
      <c r="F214" s="150" t="s">
        <v>3138</v>
      </c>
      <c r="G214" s="151" t="s">
        <v>3139</v>
      </c>
      <c r="H214" s="68" t="s">
        <v>3140</v>
      </c>
      <c r="I214" s="5" t="s">
        <v>1738</v>
      </c>
      <c r="J214" s="150">
        <v>42644</v>
      </c>
      <c r="K214" s="5">
        <v>10</v>
      </c>
      <c r="L214" s="5">
        <v>6</v>
      </c>
      <c r="M214" s="12" t="s">
        <v>1739</v>
      </c>
      <c r="N214" s="150" t="s">
        <v>2404</v>
      </c>
      <c r="O214" s="5" t="s">
        <v>1028</v>
      </c>
      <c r="P214" s="157" t="s">
        <v>3141</v>
      </c>
      <c r="Q214" s="11" t="s">
        <v>3142</v>
      </c>
      <c r="R214" s="9" t="s">
        <v>3143</v>
      </c>
      <c r="S214" s="162">
        <v>112100511110004</v>
      </c>
      <c r="T214" s="166">
        <v>2030067502</v>
      </c>
      <c r="U214" s="150">
        <v>51318</v>
      </c>
      <c r="V214" s="11" t="s">
        <v>2899</v>
      </c>
      <c r="W214" s="14" t="s">
        <v>3144</v>
      </c>
      <c r="X214" s="89"/>
      <c r="Y214" s="89"/>
      <c r="Z214" s="89"/>
    </row>
    <row r="215" spans="1:26" ht="39" customHeight="1" x14ac:dyDescent="0.25">
      <c r="A215" s="5">
        <v>45</v>
      </c>
      <c r="B215" s="14" t="s">
        <v>3145</v>
      </c>
      <c r="C215" s="5" t="s">
        <v>18</v>
      </c>
      <c r="D215" s="10" t="s">
        <v>3146</v>
      </c>
      <c r="E215" s="14" t="s">
        <v>3147</v>
      </c>
      <c r="F215" s="150">
        <v>28686</v>
      </c>
      <c r="G215" s="8" t="s">
        <v>3148</v>
      </c>
      <c r="H215" s="68" t="s">
        <v>3149</v>
      </c>
      <c r="I215" s="5" t="s">
        <v>1738</v>
      </c>
      <c r="J215" s="150">
        <v>42278</v>
      </c>
      <c r="K215" s="5">
        <v>5</v>
      </c>
      <c r="L215" s="5">
        <v>10</v>
      </c>
      <c r="M215" s="12" t="s">
        <v>1739</v>
      </c>
      <c r="N215" s="150">
        <v>40909</v>
      </c>
      <c r="O215" s="5" t="s">
        <v>1028</v>
      </c>
      <c r="P215" s="167" t="s">
        <v>3150</v>
      </c>
      <c r="Q215" s="11" t="s">
        <v>3151</v>
      </c>
      <c r="R215" s="9" t="s">
        <v>3152</v>
      </c>
      <c r="S215" s="162">
        <v>122100509791</v>
      </c>
      <c r="T215" s="20">
        <v>2015077805</v>
      </c>
      <c r="U215" s="150">
        <v>52444</v>
      </c>
      <c r="V215" s="11" t="s">
        <v>2965</v>
      </c>
      <c r="W215" s="14" t="s">
        <v>3153</v>
      </c>
      <c r="X215" s="11" t="s">
        <v>3154</v>
      </c>
      <c r="Y215" s="51">
        <v>45579</v>
      </c>
      <c r="Z215" s="154"/>
    </row>
    <row r="216" spans="1:26" ht="39" customHeight="1" x14ac:dyDescent="0.25">
      <c r="A216" s="5">
        <v>46</v>
      </c>
      <c r="B216" s="14" t="s">
        <v>3155</v>
      </c>
      <c r="C216" s="5" t="s">
        <v>18</v>
      </c>
      <c r="D216" s="10" t="s">
        <v>3156</v>
      </c>
      <c r="E216" s="14" t="s">
        <v>2486</v>
      </c>
      <c r="F216" s="150">
        <v>29897</v>
      </c>
      <c r="G216" s="8" t="s">
        <v>3157</v>
      </c>
      <c r="H216" s="68" t="s">
        <v>3158</v>
      </c>
      <c r="I216" s="5" t="s">
        <v>1717</v>
      </c>
      <c r="J216" s="150">
        <v>41365</v>
      </c>
      <c r="K216" s="5">
        <v>3</v>
      </c>
      <c r="L216" s="5">
        <v>4</v>
      </c>
      <c r="M216" s="12" t="s">
        <v>1739</v>
      </c>
      <c r="N216" s="150">
        <v>41275</v>
      </c>
      <c r="O216" s="5" t="s">
        <v>982</v>
      </c>
      <c r="P216" s="167" t="s">
        <v>3150</v>
      </c>
      <c r="Q216" s="11" t="s">
        <v>3159</v>
      </c>
      <c r="R216" s="168" t="s">
        <v>1084</v>
      </c>
      <c r="S216" s="162">
        <v>122100509811</v>
      </c>
      <c r="T216" s="20">
        <v>2007118102</v>
      </c>
      <c r="U216" s="150">
        <v>53662</v>
      </c>
      <c r="V216" s="11" t="s">
        <v>1116</v>
      </c>
      <c r="W216" s="14" t="s">
        <v>3160</v>
      </c>
      <c r="X216" s="11"/>
      <c r="Y216" s="5"/>
      <c r="Z216" s="40" t="s">
        <v>1965</v>
      </c>
    </row>
    <row r="217" spans="1:26" ht="39" customHeight="1" x14ac:dyDescent="0.25">
      <c r="A217" s="5">
        <v>47</v>
      </c>
      <c r="B217" s="14" t="s">
        <v>3161</v>
      </c>
      <c r="C217" s="5" t="s">
        <v>18</v>
      </c>
      <c r="D217" s="10" t="s">
        <v>3162</v>
      </c>
      <c r="E217" s="14" t="s">
        <v>1776</v>
      </c>
      <c r="F217" s="150">
        <v>29398</v>
      </c>
      <c r="G217" s="8" t="s">
        <v>3163</v>
      </c>
      <c r="H217" s="68" t="s">
        <v>3164</v>
      </c>
      <c r="I217" s="5" t="s">
        <v>1738</v>
      </c>
      <c r="J217" s="150">
        <v>42095</v>
      </c>
      <c r="K217" s="5">
        <v>5</v>
      </c>
      <c r="L217" s="5">
        <v>4</v>
      </c>
      <c r="M217" s="12" t="s">
        <v>1739</v>
      </c>
      <c r="N217" s="150">
        <v>41334</v>
      </c>
      <c r="O217" s="5" t="s">
        <v>982</v>
      </c>
      <c r="P217" s="167" t="s">
        <v>3165</v>
      </c>
      <c r="Q217" s="11" t="s">
        <v>3166</v>
      </c>
      <c r="R217" s="168" t="s">
        <v>1084</v>
      </c>
      <c r="S217" s="162">
        <v>122100509812</v>
      </c>
      <c r="T217" s="20">
        <v>2026068001</v>
      </c>
      <c r="U217" s="150">
        <v>53144</v>
      </c>
      <c r="V217" s="11" t="s">
        <v>1076</v>
      </c>
      <c r="W217" s="14" t="s">
        <v>3167</v>
      </c>
      <c r="X217" s="11" t="s">
        <v>3168</v>
      </c>
      <c r="Y217" s="51">
        <v>45579</v>
      </c>
      <c r="Z217" s="154"/>
    </row>
    <row r="218" spans="1:26" ht="39" customHeight="1" x14ac:dyDescent="0.25">
      <c r="A218" s="5">
        <v>48</v>
      </c>
      <c r="B218" s="14" t="s">
        <v>3169</v>
      </c>
      <c r="C218" s="5" t="s">
        <v>46</v>
      </c>
      <c r="D218" s="10" t="s">
        <v>3170</v>
      </c>
      <c r="E218" s="14" t="s">
        <v>2856</v>
      </c>
      <c r="F218" s="150">
        <v>30055</v>
      </c>
      <c r="G218" s="8" t="s">
        <v>3171</v>
      </c>
      <c r="H218" s="68" t="s">
        <v>3172</v>
      </c>
      <c r="I218" s="5" t="s">
        <v>1738</v>
      </c>
      <c r="J218" s="150">
        <v>42461</v>
      </c>
      <c r="K218" s="5">
        <v>6</v>
      </c>
      <c r="L218" s="5">
        <v>4</v>
      </c>
      <c r="M218" s="12" t="s">
        <v>1739</v>
      </c>
      <c r="N218" s="150">
        <v>41334</v>
      </c>
      <c r="O218" s="5" t="s">
        <v>1028</v>
      </c>
      <c r="P218" s="167" t="s">
        <v>3150</v>
      </c>
      <c r="Q218" s="11" t="s">
        <v>3173</v>
      </c>
      <c r="R218" s="168" t="s">
        <v>3174</v>
      </c>
      <c r="S218" s="14">
        <v>12210059792</v>
      </c>
      <c r="T218" s="20" t="s">
        <v>3175</v>
      </c>
      <c r="U218" s="150">
        <v>53783</v>
      </c>
      <c r="V218" s="11" t="s">
        <v>2965</v>
      </c>
      <c r="W218" s="14" t="s">
        <v>3153</v>
      </c>
      <c r="X218" s="11"/>
      <c r="Y218" s="31"/>
      <c r="Z218" s="154" t="s">
        <v>1084</v>
      </c>
    </row>
    <row r="219" spans="1:26" ht="39" customHeight="1" x14ac:dyDescent="0.25">
      <c r="A219" s="5">
        <v>49</v>
      </c>
      <c r="B219" s="14" t="s">
        <v>3176</v>
      </c>
      <c r="C219" s="5" t="s">
        <v>46</v>
      </c>
      <c r="D219" s="5" t="s">
        <v>3177</v>
      </c>
      <c r="E219" s="12" t="s">
        <v>3178</v>
      </c>
      <c r="F219" s="150">
        <v>26147</v>
      </c>
      <c r="G219" s="151" t="s">
        <v>3179</v>
      </c>
      <c r="H219" s="68" t="s">
        <v>3180</v>
      </c>
      <c r="I219" s="5" t="s">
        <v>1738</v>
      </c>
      <c r="J219" s="150">
        <v>45200</v>
      </c>
      <c r="K219" s="5">
        <v>17</v>
      </c>
      <c r="L219" s="5">
        <v>6</v>
      </c>
      <c r="M219" s="12" t="s">
        <v>1739</v>
      </c>
      <c r="N219" s="150">
        <v>41365</v>
      </c>
      <c r="O219" s="5" t="s">
        <v>982</v>
      </c>
      <c r="P219" s="157" t="s">
        <v>3181</v>
      </c>
      <c r="Q219" s="157" t="s">
        <v>3182</v>
      </c>
      <c r="R219" s="9"/>
      <c r="S219" s="162">
        <v>102100504770</v>
      </c>
      <c r="T219" s="166">
        <v>2002087101</v>
      </c>
      <c r="U219" s="150">
        <v>49919</v>
      </c>
      <c r="V219" s="11" t="s">
        <v>2808</v>
      </c>
      <c r="W219" s="14" t="s">
        <v>3183</v>
      </c>
      <c r="X219" s="11" t="s">
        <v>3184</v>
      </c>
      <c r="Y219" s="31">
        <v>45588</v>
      </c>
      <c r="Z219" s="67"/>
    </row>
    <row r="220" spans="1:26" ht="39" customHeight="1" x14ac:dyDescent="0.25">
      <c r="A220" s="5">
        <v>50</v>
      </c>
      <c r="B220" s="12" t="s">
        <v>3185</v>
      </c>
      <c r="C220" s="5" t="s">
        <v>18</v>
      </c>
      <c r="D220" s="5" t="s">
        <v>3186</v>
      </c>
      <c r="E220" s="14" t="s">
        <v>1489</v>
      </c>
      <c r="F220" s="150" t="s">
        <v>3187</v>
      </c>
      <c r="G220" s="8" t="s">
        <v>3188</v>
      </c>
      <c r="H220" s="68" t="s">
        <v>3189</v>
      </c>
      <c r="I220" s="5" t="s">
        <v>1738</v>
      </c>
      <c r="J220" s="150" t="s">
        <v>3190</v>
      </c>
      <c r="K220" s="5">
        <v>13</v>
      </c>
      <c r="L220" s="5">
        <v>3</v>
      </c>
      <c r="M220" s="12" t="s">
        <v>1739</v>
      </c>
      <c r="N220" s="150">
        <v>41730</v>
      </c>
      <c r="O220" s="5" t="s">
        <v>982</v>
      </c>
      <c r="P220" s="157" t="s">
        <v>3191</v>
      </c>
      <c r="Q220" s="157" t="s">
        <v>3192</v>
      </c>
      <c r="R220" s="9"/>
      <c r="S220" s="162">
        <v>132100511956</v>
      </c>
      <c r="T220" s="20">
        <v>2019077901</v>
      </c>
      <c r="U220" s="150" t="s">
        <v>3193</v>
      </c>
      <c r="V220" s="11" t="s">
        <v>1076</v>
      </c>
      <c r="W220" s="14" t="s">
        <v>3194</v>
      </c>
      <c r="X220" s="11"/>
      <c r="Y220" s="31"/>
      <c r="Z220" s="154"/>
    </row>
    <row r="221" spans="1:26" ht="39" customHeight="1" x14ac:dyDescent="0.25">
      <c r="A221" s="5">
        <v>51</v>
      </c>
      <c r="B221" s="14" t="s">
        <v>3195</v>
      </c>
      <c r="C221" s="5" t="s">
        <v>46</v>
      </c>
      <c r="D221" s="10" t="s">
        <v>3196</v>
      </c>
      <c r="E221" s="14" t="s">
        <v>1536</v>
      </c>
      <c r="F221" s="150">
        <v>28963</v>
      </c>
      <c r="G221" s="8" t="s">
        <v>3197</v>
      </c>
      <c r="H221" s="68" t="s">
        <v>3198</v>
      </c>
      <c r="I221" s="5" t="s">
        <v>1738</v>
      </c>
      <c r="J221" s="150">
        <v>45383</v>
      </c>
      <c r="K221" s="5">
        <v>14</v>
      </c>
      <c r="L221" s="5">
        <v>4</v>
      </c>
      <c r="M221" s="12" t="s">
        <v>1739</v>
      </c>
      <c r="N221" s="150">
        <v>41880</v>
      </c>
      <c r="O221" s="5" t="s">
        <v>982</v>
      </c>
      <c r="P221" s="167" t="s">
        <v>3199</v>
      </c>
      <c r="Q221" s="157" t="s">
        <v>3200</v>
      </c>
      <c r="R221" s="168" t="s">
        <v>1084</v>
      </c>
      <c r="S221" s="162">
        <v>132100511993</v>
      </c>
      <c r="T221" s="21">
        <v>2018047901</v>
      </c>
      <c r="U221" s="150">
        <v>52718</v>
      </c>
      <c r="V221" s="11" t="s">
        <v>1116</v>
      </c>
      <c r="W221" s="14" t="s">
        <v>3201</v>
      </c>
      <c r="X221" s="11" t="s">
        <v>3202</v>
      </c>
      <c r="Y221" s="31">
        <v>45588</v>
      </c>
      <c r="Z221" s="154"/>
    </row>
    <row r="222" spans="1:26" ht="39" customHeight="1" x14ac:dyDescent="0.25">
      <c r="A222" s="5">
        <v>52</v>
      </c>
      <c r="B222" s="11" t="s">
        <v>3203</v>
      </c>
      <c r="C222" s="5" t="s">
        <v>18</v>
      </c>
      <c r="D222" s="10" t="s">
        <v>3204</v>
      </c>
      <c r="E222" s="14" t="s">
        <v>1917</v>
      </c>
      <c r="F222" s="150">
        <v>26545</v>
      </c>
      <c r="G222" s="8" t="s">
        <v>3205</v>
      </c>
      <c r="H222" s="68" t="s">
        <v>3206</v>
      </c>
      <c r="I222" s="5" t="s">
        <v>1717</v>
      </c>
      <c r="J222" s="150">
        <v>45017</v>
      </c>
      <c r="K222" s="5">
        <v>25</v>
      </c>
      <c r="L222" s="5">
        <v>1</v>
      </c>
      <c r="M222" s="12" t="s">
        <v>1739</v>
      </c>
      <c r="N222" s="150">
        <v>41913</v>
      </c>
      <c r="O222" s="5" t="s">
        <v>1028</v>
      </c>
      <c r="P222" s="11" t="s">
        <v>3207</v>
      </c>
      <c r="Q222" s="11" t="s">
        <v>3208</v>
      </c>
      <c r="R222" s="168" t="s">
        <v>1427</v>
      </c>
      <c r="S222" s="14" t="s">
        <v>3209</v>
      </c>
      <c r="T222" s="10" t="s">
        <v>3210</v>
      </c>
      <c r="U222" s="150">
        <v>50100</v>
      </c>
      <c r="V222" s="11" t="s">
        <v>1116</v>
      </c>
      <c r="W222" s="14" t="s">
        <v>2798</v>
      </c>
      <c r="X222" s="11"/>
      <c r="Y222" s="31"/>
      <c r="Z222" s="154"/>
    </row>
    <row r="223" spans="1:26" ht="39" customHeight="1" x14ac:dyDescent="0.25">
      <c r="A223" s="5">
        <v>53</v>
      </c>
      <c r="B223" s="14" t="s">
        <v>3211</v>
      </c>
      <c r="C223" s="5" t="s">
        <v>18</v>
      </c>
      <c r="D223" s="10" t="s">
        <v>3212</v>
      </c>
      <c r="E223" s="14" t="s">
        <v>1942</v>
      </c>
      <c r="F223" s="150">
        <v>28533</v>
      </c>
      <c r="G223" s="8" t="s">
        <v>3213</v>
      </c>
      <c r="H223" s="68" t="s">
        <v>3060</v>
      </c>
      <c r="I223" s="5" t="s">
        <v>1738</v>
      </c>
      <c r="J223" s="150">
        <v>45383</v>
      </c>
      <c r="K223" s="5">
        <v>13</v>
      </c>
      <c r="L223" s="5">
        <v>3</v>
      </c>
      <c r="M223" s="12" t="s">
        <v>1739</v>
      </c>
      <c r="N223" s="150">
        <v>42401</v>
      </c>
      <c r="O223" s="5" t="s">
        <v>982</v>
      </c>
      <c r="P223" s="11" t="s">
        <v>3214</v>
      </c>
      <c r="Q223" s="11" t="s">
        <v>3215</v>
      </c>
      <c r="R223" s="168" t="s">
        <v>1084</v>
      </c>
      <c r="S223" s="162">
        <v>132100511971</v>
      </c>
      <c r="T223" s="20">
        <v>2012027801</v>
      </c>
      <c r="U223" s="150">
        <v>52291</v>
      </c>
      <c r="V223" s="11" t="s">
        <v>1076</v>
      </c>
      <c r="W223" s="14" t="s">
        <v>3167</v>
      </c>
      <c r="X223" s="11"/>
      <c r="Y223" s="5"/>
      <c r="Z223" s="154" t="s">
        <v>1084</v>
      </c>
    </row>
    <row r="224" spans="1:26" ht="39" customHeight="1" x14ac:dyDescent="0.25">
      <c r="A224" s="5">
        <v>54</v>
      </c>
      <c r="B224" s="14" t="s">
        <v>3216</v>
      </c>
      <c r="C224" s="5" t="s">
        <v>18</v>
      </c>
      <c r="D224" s="10"/>
      <c r="E224" s="14" t="s">
        <v>2486</v>
      </c>
      <c r="F224" s="150">
        <v>32235</v>
      </c>
      <c r="G224" s="8" t="s">
        <v>3217</v>
      </c>
      <c r="H224" s="169" t="s">
        <v>3218</v>
      </c>
      <c r="I224" s="5" t="s">
        <v>1738</v>
      </c>
      <c r="J224" s="150">
        <v>45200</v>
      </c>
      <c r="K224" s="5">
        <v>5</v>
      </c>
      <c r="L224" s="5">
        <v>9</v>
      </c>
      <c r="M224" s="12" t="s">
        <v>1739</v>
      </c>
      <c r="N224" s="150">
        <v>44348</v>
      </c>
      <c r="O224" s="5" t="s">
        <v>1028</v>
      </c>
      <c r="P224" s="11" t="s">
        <v>1084</v>
      </c>
      <c r="Q224" s="11" t="s">
        <v>3219</v>
      </c>
      <c r="R224" s="168" t="s">
        <v>3220</v>
      </c>
      <c r="S224" s="162" t="s">
        <v>3221</v>
      </c>
      <c r="T224" s="20" t="s">
        <v>3222</v>
      </c>
      <c r="U224" s="150">
        <v>56005</v>
      </c>
      <c r="V224" s="11" t="s">
        <v>1076</v>
      </c>
      <c r="W224" s="14" t="s">
        <v>3223</v>
      </c>
      <c r="X224" s="89"/>
      <c r="Y224" s="89"/>
      <c r="Z224" s="89"/>
    </row>
    <row r="225" spans="1:26" ht="39" customHeight="1" x14ac:dyDescent="0.25">
      <c r="A225" s="5">
        <v>55</v>
      </c>
      <c r="B225" s="14" t="s">
        <v>3224</v>
      </c>
      <c r="C225" s="5" t="s">
        <v>18</v>
      </c>
      <c r="D225" s="10"/>
      <c r="E225" s="14" t="s">
        <v>3178</v>
      </c>
      <c r="F225" s="150">
        <v>33556</v>
      </c>
      <c r="G225" s="8" t="s">
        <v>3225</v>
      </c>
      <c r="H225" s="169" t="s">
        <v>3226</v>
      </c>
      <c r="I225" s="5" t="s">
        <v>1738</v>
      </c>
      <c r="J225" s="161">
        <v>45566</v>
      </c>
      <c r="K225" s="5">
        <v>6</v>
      </c>
      <c r="L225" s="5">
        <v>9</v>
      </c>
      <c r="M225" s="12" t="s">
        <v>1739</v>
      </c>
      <c r="N225" s="150">
        <v>44713</v>
      </c>
      <c r="O225" s="5" t="s">
        <v>982</v>
      </c>
      <c r="P225" s="11" t="s">
        <v>1084</v>
      </c>
      <c r="Q225" s="11" t="s">
        <v>3227</v>
      </c>
      <c r="R225" s="168"/>
      <c r="S225" s="162" t="s">
        <v>3228</v>
      </c>
      <c r="T225" s="20" t="s">
        <v>3229</v>
      </c>
      <c r="U225" s="150">
        <v>57315</v>
      </c>
      <c r="V225" s="11" t="s">
        <v>2965</v>
      </c>
      <c r="W225" s="14" t="s">
        <v>3230</v>
      </c>
      <c r="X225" s="11" t="s">
        <v>3231</v>
      </c>
      <c r="Y225" s="31">
        <v>45588</v>
      </c>
      <c r="Z225" s="154"/>
    </row>
    <row r="226" spans="1:26" ht="39" customHeight="1" x14ac:dyDescent="0.25">
      <c r="A226" s="5">
        <v>56</v>
      </c>
      <c r="B226" s="14" t="s">
        <v>3232</v>
      </c>
      <c r="C226" s="5" t="s">
        <v>18</v>
      </c>
      <c r="D226" s="10"/>
      <c r="E226" s="14" t="s">
        <v>3233</v>
      </c>
      <c r="F226" s="150">
        <v>32585</v>
      </c>
      <c r="G226" s="8" t="s">
        <v>3234</v>
      </c>
      <c r="H226" s="169" t="s">
        <v>3235</v>
      </c>
      <c r="I226" s="5" t="s">
        <v>1717</v>
      </c>
      <c r="J226" s="161">
        <v>45200</v>
      </c>
      <c r="K226" s="5">
        <v>5</v>
      </c>
      <c r="L226" s="5">
        <v>9</v>
      </c>
      <c r="M226" s="12" t="s">
        <v>1739</v>
      </c>
      <c r="N226" s="150">
        <v>44927</v>
      </c>
      <c r="O226" s="5" t="s">
        <v>982</v>
      </c>
      <c r="P226" s="11" t="s">
        <v>1084</v>
      </c>
      <c r="Q226" s="11" t="s">
        <v>3236</v>
      </c>
      <c r="R226" s="168"/>
      <c r="S226" s="162" t="s">
        <v>3237</v>
      </c>
      <c r="T226" s="20" t="s">
        <v>3238</v>
      </c>
      <c r="U226" s="150">
        <v>56340</v>
      </c>
      <c r="V226" s="11" t="s">
        <v>2808</v>
      </c>
      <c r="W226" s="14" t="s">
        <v>1077</v>
      </c>
      <c r="X226" s="11"/>
      <c r="Y226" s="5"/>
      <c r="Z226" s="172"/>
    </row>
    <row r="227" spans="1:26" ht="39" customHeight="1" x14ac:dyDescent="0.25">
      <c r="A227" s="5">
        <v>57</v>
      </c>
      <c r="B227" s="14" t="s">
        <v>3239</v>
      </c>
      <c r="C227" s="5" t="s">
        <v>18</v>
      </c>
      <c r="D227" s="10"/>
      <c r="E227" s="14" t="s">
        <v>2184</v>
      </c>
      <c r="F227" s="150">
        <v>31107</v>
      </c>
      <c r="G227" s="8" t="s">
        <v>3240</v>
      </c>
      <c r="H227" s="169" t="s">
        <v>3241</v>
      </c>
      <c r="I227" s="5" t="s">
        <v>1738</v>
      </c>
      <c r="J227" s="161">
        <v>45566</v>
      </c>
      <c r="K227" s="5">
        <v>6</v>
      </c>
      <c r="L227" s="5">
        <v>6</v>
      </c>
      <c r="M227" s="12" t="s">
        <v>1739</v>
      </c>
      <c r="N227" s="150">
        <v>44713</v>
      </c>
      <c r="O227" s="5" t="s">
        <v>982</v>
      </c>
      <c r="P227" s="11" t="s">
        <v>3242</v>
      </c>
      <c r="Q227" s="11" t="s">
        <v>3243</v>
      </c>
      <c r="R227" s="168"/>
      <c r="S227" s="162" t="s">
        <v>3244</v>
      </c>
      <c r="T227" s="171" t="s">
        <v>3245</v>
      </c>
      <c r="U227" s="150">
        <v>54879</v>
      </c>
      <c r="V227" s="11" t="s">
        <v>1116</v>
      </c>
      <c r="W227" s="14" t="s">
        <v>3246</v>
      </c>
      <c r="X227" s="11" t="s">
        <v>3247</v>
      </c>
      <c r="Y227" s="31">
        <v>45588</v>
      </c>
      <c r="Z227" s="154"/>
    </row>
    <row r="228" spans="1:26" ht="39" customHeight="1" x14ac:dyDescent="0.25">
      <c r="A228" s="5">
        <v>58</v>
      </c>
      <c r="B228" s="40" t="s">
        <v>3248</v>
      </c>
      <c r="C228" s="5" t="s">
        <v>46</v>
      </c>
      <c r="D228" s="10"/>
      <c r="E228" s="40" t="s">
        <v>2941</v>
      </c>
      <c r="F228" s="170">
        <v>33004</v>
      </c>
      <c r="G228" s="156" t="s">
        <v>3249</v>
      </c>
      <c r="H228" s="68" t="s">
        <v>3250</v>
      </c>
      <c r="I228" s="5" t="s">
        <v>1717</v>
      </c>
      <c r="J228" s="161">
        <v>45200</v>
      </c>
      <c r="K228" s="5">
        <v>4</v>
      </c>
      <c r="L228" s="5">
        <v>7</v>
      </c>
      <c r="M228" s="12" t="s">
        <v>1739</v>
      </c>
      <c r="N228" s="161">
        <v>44927</v>
      </c>
      <c r="O228" s="5" t="s">
        <v>982</v>
      </c>
      <c r="P228" s="11" t="s">
        <v>2031</v>
      </c>
      <c r="Q228" s="160" t="s">
        <v>3251</v>
      </c>
      <c r="R228" s="168"/>
      <c r="S228" s="162"/>
      <c r="T228" s="171" t="s">
        <v>3252</v>
      </c>
      <c r="U228" s="150">
        <v>56766</v>
      </c>
      <c r="V228" s="11" t="s">
        <v>2965</v>
      </c>
      <c r="W228" s="160" t="s">
        <v>3253</v>
      </c>
      <c r="X228" s="11" t="s">
        <v>1084</v>
      </c>
      <c r="Y228" s="51" t="s">
        <v>1084</v>
      </c>
      <c r="Z228" s="154"/>
    </row>
    <row r="229" spans="1:26" ht="39" customHeight="1" x14ac:dyDescent="0.25">
      <c r="A229" s="5">
        <v>59</v>
      </c>
      <c r="B229" s="154" t="s">
        <v>3254</v>
      </c>
      <c r="C229" s="67" t="s">
        <v>46</v>
      </c>
      <c r="D229" s="10"/>
      <c r="E229" s="154" t="s">
        <v>2042</v>
      </c>
      <c r="F229" s="155">
        <v>34042</v>
      </c>
      <c r="G229" s="106" t="s">
        <v>3255</v>
      </c>
      <c r="H229" s="68" t="s">
        <v>3256</v>
      </c>
      <c r="I229" s="5" t="s">
        <v>1717</v>
      </c>
      <c r="J229" s="161">
        <v>45200</v>
      </c>
      <c r="K229" s="5">
        <v>4</v>
      </c>
      <c r="L229" s="5">
        <v>7</v>
      </c>
      <c r="M229" s="12" t="s">
        <v>1739</v>
      </c>
      <c r="N229" s="161">
        <v>45017</v>
      </c>
      <c r="O229" s="5" t="s">
        <v>982</v>
      </c>
      <c r="P229" s="11" t="s">
        <v>2584</v>
      </c>
      <c r="Q229" s="160" t="s">
        <v>3257</v>
      </c>
      <c r="R229" s="168"/>
      <c r="S229" s="162"/>
      <c r="T229" s="171" t="s">
        <v>3258</v>
      </c>
      <c r="U229" s="150">
        <v>57801</v>
      </c>
      <c r="V229" s="11" t="s">
        <v>1116</v>
      </c>
      <c r="W229" s="160" t="s">
        <v>1117</v>
      </c>
      <c r="X229" s="11" t="s">
        <v>3259</v>
      </c>
      <c r="Y229" s="31">
        <v>45588</v>
      </c>
      <c r="Z229" s="154"/>
    </row>
    <row r="230" spans="1:26" ht="39" customHeight="1" x14ac:dyDescent="0.25">
      <c r="A230" s="5">
        <v>60</v>
      </c>
      <c r="B230" s="154" t="s">
        <v>3260</v>
      </c>
      <c r="C230" s="67" t="s">
        <v>18</v>
      </c>
      <c r="D230" s="10"/>
      <c r="E230" s="154" t="s">
        <v>3261</v>
      </c>
      <c r="F230" s="155">
        <v>33053</v>
      </c>
      <c r="G230" s="106" t="s">
        <v>3262</v>
      </c>
      <c r="H230" s="68" t="s">
        <v>3263</v>
      </c>
      <c r="I230" s="5" t="s">
        <v>1717</v>
      </c>
      <c r="J230" s="161">
        <v>45200</v>
      </c>
      <c r="K230" s="5">
        <v>4</v>
      </c>
      <c r="L230" s="5">
        <v>7</v>
      </c>
      <c r="M230" s="12" t="s">
        <v>1739</v>
      </c>
      <c r="N230" s="161">
        <v>44927</v>
      </c>
      <c r="O230" s="5" t="s">
        <v>982</v>
      </c>
      <c r="P230" s="11" t="s">
        <v>3264</v>
      </c>
      <c r="Q230" s="160" t="s">
        <v>3265</v>
      </c>
      <c r="R230" s="168"/>
      <c r="S230" s="162"/>
      <c r="T230" s="171" t="s">
        <v>3266</v>
      </c>
      <c r="U230" s="150">
        <v>56796</v>
      </c>
      <c r="V230" s="11" t="s">
        <v>2808</v>
      </c>
      <c r="W230" s="160" t="s">
        <v>2292</v>
      </c>
      <c r="X230" s="11" t="s">
        <v>3267</v>
      </c>
      <c r="Y230" s="31">
        <v>45588</v>
      </c>
      <c r="Z230" s="154"/>
    </row>
    <row r="231" spans="1:26" ht="39" customHeight="1" x14ac:dyDescent="0.25">
      <c r="A231" s="5">
        <v>61</v>
      </c>
      <c r="B231" s="14" t="s">
        <v>3268</v>
      </c>
      <c r="C231" s="5" t="s">
        <v>18</v>
      </c>
      <c r="D231" s="10" t="s">
        <v>3269</v>
      </c>
      <c r="E231" s="14" t="s">
        <v>1566</v>
      </c>
      <c r="F231" s="150">
        <v>28377</v>
      </c>
      <c r="G231" s="8" t="s">
        <v>3270</v>
      </c>
      <c r="H231" s="68" t="s">
        <v>3271</v>
      </c>
      <c r="I231" s="5" t="s">
        <v>1717</v>
      </c>
      <c r="J231" s="150">
        <v>45200</v>
      </c>
      <c r="K231" s="5">
        <v>13</v>
      </c>
      <c r="L231" s="5">
        <v>10</v>
      </c>
      <c r="M231" s="12" t="s">
        <v>1739</v>
      </c>
      <c r="N231" s="150">
        <v>44927</v>
      </c>
      <c r="O231" s="5" t="s">
        <v>982</v>
      </c>
      <c r="P231" s="167" t="s">
        <v>3011</v>
      </c>
      <c r="Q231" s="11" t="s">
        <v>3272</v>
      </c>
      <c r="R231" s="168" t="s">
        <v>1084</v>
      </c>
      <c r="S231" s="186" t="s">
        <v>3273</v>
      </c>
      <c r="T231" s="20">
        <v>2009097701</v>
      </c>
      <c r="U231" s="150">
        <v>51957</v>
      </c>
      <c r="V231" s="11" t="s">
        <v>2808</v>
      </c>
      <c r="W231" s="14" t="s">
        <v>2798</v>
      </c>
      <c r="X231" s="11"/>
      <c r="Y231" s="5"/>
      <c r="Z231" s="172"/>
    </row>
    <row r="232" spans="1:26" ht="39" customHeight="1" x14ac:dyDescent="0.25">
      <c r="A232" s="5">
        <v>62</v>
      </c>
      <c r="B232" s="12" t="s">
        <v>3274</v>
      </c>
      <c r="C232" s="5" t="s">
        <v>46</v>
      </c>
      <c r="D232" s="5" t="s">
        <v>3275</v>
      </c>
      <c r="E232" s="14" t="s">
        <v>2428</v>
      </c>
      <c r="F232" s="150" t="s">
        <v>3276</v>
      </c>
      <c r="G232" s="8" t="s">
        <v>3277</v>
      </c>
      <c r="H232" s="68" t="s">
        <v>3278</v>
      </c>
      <c r="I232" s="5" t="s">
        <v>1717</v>
      </c>
      <c r="J232" s="150" t="s">
        <v>1728</v>
      </c>
      <c r="K232" s="5">
        <v>16</v>
      </c>
      <c r="L232" s="5">
        <v>3</v>
      </c>
      <c r="M232" s="12" t="s">
        <v>1739</v>
      </c>
      <c r="N232" s="150">
        <v>44927</v>
      </c>
      <c r="O232" s="5" t="s">
        <v>982</v>
      </c>
      <c r="P232" s="157" t="s">
        <v>3279</v>
      </c>
      <c r="Q232" s="157" t="s">
        <v>3191</v>
      </c>
      <c r="R232" s="9"/>
      <c r="S232" s="14" t="s">
        <v>3280</v>
      </c>
      <c r="T232" s="20">
        <v>2018107601</v>
      </c>
      <c r="U232" s="150" t="s">
        <v>3281</v>
      </c>
      <c r="V232" s="11" t="s">
        <v>2965</v>
      </c>
      <c r="W232" s="14" t="s">
        <v>3282</v>
      </c>
      <c r="X232" s="11"/>
      <c r="Y232" s="51"/>
      <c r="Z232" s="154"/>
    </row>
    <row r="233" spans="1:26" ht="39" customHeight="1" x14ac:dyDescent="0.25">
      <c r="A233" s="5">
        <v>63</v>
      </c>
      <c r="B233" s="14" t="s">
        <v>3283</v>
      </c>
      <c r="C233" s="5" t="s">
        <v>18</v>
      </c>
      <c r="D233" s="10" t="s">
        <v>3284</v>
      </c>
      <c r="E233" s="14" t="s">
        <v>1648</v>
      </c>
      <c r="F233" s="150">
        <v>29470</v>
      </c>
      <c r="G233" s="8" t="s">
        <v>3285</v>
      </c>
      <c r="H233" s="68" t="s">
        <v>3286</v>
      </c>
      <c r="I233" s="5" t="s">
        <v>1717</v>
      </c>
      <c r="J233" s="150">
        <v>45200</v>
      </c>
      <c r="K233" s="5">
        <v>12</v>
      </c>
      <c r="L233" s="5">
        <v>9</v>
      </c>
      <c r="M233" s="12" t="s">
        <v>1739</v>
      </c>
      <c r="N233" s="150">
        <v>44927</v>
      </c>
      <c r="O233" s="5" t="s">
        <v>982</v>
      </c>
      <c r="P233" s="167" t="s">
        <v>3150</v>
      </c>
      <c r="Q233" s="157" t="s">
        <v>3287</v>
      </c>
      <c r="R233" s="168" t="s">
        <v>1084</v>
      </c>
      <c r="S233" s="162">
        <v>132100511983</v>
      </c>
      <c r="T233" s="20">
        <v>2008098001</v>
      </c>
      <c r="U233" s="150">
        <v>53236</v>
      </c>
      <c r="V233" s="11" t="s">
        <v>2808</v>
      </c>
      <c r="W233" s="14" t="s">
        <v>3046</v>
      </c>
      <c r="X233" s="11"/>
      <c r="Y233" s="51"/>
      <c r="Z233" s="172"/>
    </row>
    <row r="234" spans="1:26" ht="39" customHeight="1" x14ac:dyDescent="0.25">
      <c r="A234" s="5">
        <v>64</v>
      </c>
      <c r="B234" s="14" t="s">
        <v>3288</v>
      </c>
      <c r="C234" s="5" t="s">
        <v>46</v>
      </c>
      <c r="D234" s="10"/>
      <c r="E234" s="14" t="s">
        <v>3289</v>
      </c>
      <c r="F234" s="150">
        <v>33105</v>
      </c>
      <c r="G234" s="8" t="s">
        <v>3290</v>
      </c>
      <c r="H234" s="169" t="s">
        <v>3291</v>
      </c>
      <c r="I234" s="5" t="s">
        <v>1717</v>
      </c>
      <c r="J234" s="161">
        <v>45200</v>
      </c>
      <c r="K234" s="5">
        <v>5</v>
      </c>
      <c r="L234" s="5">
        <v>9</v>
      </c>
      <c r="M234" s="12" t="s">
        <v>1739</v>
      </c>
      <c r="N234" s="150">
        <v>44927</v>
      </c>
      <c r="O234" s="5" t="s">
        <v>1028</v>
      </c>
      <c r="P234" s="11" t="s">
        <v>3292</v>
      </c>
      <c r="Q234" s="11" t="s">
        <v>3293</v>
      </c>
      <c r="R234" s="168" t="s">
        <v>3294</v>
      </c>
      <c r="S234" s="162" t="s">
        <v>3295</v>
      </c>
      <c r="T234" s="20" t="s">
        <v>3296</v>
      </c>
      <c r="U234" s="150">
        <v>56858</v>
      </c>
      <c r="V234" s="11" t="s">
        <v>2899</v>
      </c>
      <c r="W234" s="14" t="s">
        <v>3297</v>
      </c>
      <c r="X234" s="11" t="s">
        <v>3298</v>
      </c>
      <c r="Y234" s="51">
        <v>45579</v>
      </c>
      <c r="Z234" s="154"/>
    </row>
    <row r="235" spans="1:26" ht="39" customHeight="1" x14ac:dyDescent="0.25">
      <c r="A235" s="5">
        <v>65</v>
      </c>
      <c r="B235" s="154" t="s">
        <v>3299</v>
      </c>
      <c r="C235" s="67" t="s">
        <v>18</v>
      </c>
      <c r="D235" s="10"/>
      <c r="E235" s="154" t="s">
        <v>3300</v>
      </c>
      <c r="F235" s="155">
        <v>32849</v>
      </c>
      <c r="G235" s="106" t="s">
        <v>3301</v>
      </c>
      <c r="H235" s="68" t="s">
        <v>3302</v>
      </c>
      <c r="I235" s="5" t="s">
        <v>1717</v>
      </c>
      <c r="J235" s="150">
        <v>45383</v>
      </c>
      <c r="K235" s="5">
        <v>5</v>
      </c>
      <c r="L235" s="5">
        <v>1</v>
      </c>
      <c r="M235" s="12" t="s">
        <v>1739</v>
      </c>
      <c r="N235" s="161">
        <v>45078</v>
      </c>
      <c r="O235" s="5" t="s">
        <v>982</v>
      </c>
      <c r="P235" s="11" t="s">
        <v>3303</v>
      </c>
      <c r="Q235" s="160" t="s">
        <v>3304</v>
      </c>
      <c r="R235" s="168"/>
      <c r="S235" s="162"/>
      <c r="T235" s="171" t="s">
        <v>3305</v>
      </c>
      <c r="U235" s="150">
        <v>56615</v>
      </c>
      <c r="V235" s="11" t="s">
        <v>2899</v>
      </c>
      <c r="W235" s="160" t="s">
        <v>3306</v>
      </c>
      <c r="X235" s="9" t="s">
        <v>2540</v>
      </c>
      <c r="Y235" s="31">
        <v>45637</v>
      </c>
      <c r="Z235" s="40"/>
    </row>
    <row r="236" spans="1:26" ht="39" customHeight="1" x14ac:dyDescent="0.25">
      <c r="A236" s="5">
        <v>66</v>
      </c>
      <c r="B236" s="154" t="s">
        <v>3307</v>
      </c>
      <c r="C236" s="67" t="s">
        <v>18</v>
      </c>
      <c r="D236" s="10"/>
      <c r="E236" s="154" t="s">
        <v>3308</v>
      </c>
      <c r="F236" s="155">
        <v>33075</v>
      </c>
      <c r="G236" s="106" t="s">
        <v>3309</v>
      </c>
      <c r="H236" s="68" t="s">
        <v>3310</v>
      </c>
      <c r="I236" s="5" t="s">
        <v>1717</v>
      </c>
      <c r="J236" s="161">
        <v>45383</v>
      </c>
      <c r="K236" s="5">
        <v>5</v>
      </c>
      <c r="L236" s="5">
        <v>1</v>
      </c>
      <c r="M236" s="12" t="s">
        <v>1739</v>
      </c>
      <c r="N236" s="161">
        <v>44348</v>
      </c>
      <c r="O236" s="5" t="s">
        <v>982</v>
      </c>
      <c r="P236" s="11" t="s">
        <v>3303</v>
      </c>
      <c r="Q236" s="160" t="s">
        <v>3311</v>
      </c>
      <c r="R236" s="168"/>
      <c r="S236" s="162"/>
      <c r="T236" s="171" t="s">
        <v>3312</v>
      </c>
      <c r="U236" s="150">
        <v>56827</v>
      </c>
      <c r="V236" s="11" t="s">
        <v>2899</v>
      </c>
      <c r="W236" s="160" t="s">
        <v>3313</v>
      </c>
      <c r="X236" s="11" t="s">
        <v>3314</v>
      </c>
      <c r="Y236" s="31">
        <v>45588</v>
      </c>
      <c r="Z236" s="67"/>
    </row>
    <row r="237" spans="1:26" ht="39" customHeight="1" x14ac:dyDescent="0.25">
      <c r="A237" s="5">
        <v>67</v>
      </c>
      <c r="B237" s="40" t="s">
        <v>3315</v>
      </c>
      <c r="C237" s="39" t="s">
        <v>46</v>
      </c>
      <c r="D237" s="10"/>
      <c r="E237" s="40" t="s">
        <v>1456</v>
      </c>
      <c r="F237" s="170">
        <v>33511</v>
      </c>
      <c r="G237" s="156" t="s">
        <v>3316</v>
      </c>
      <c r="H237" s="68" t="s">
        <v>3317</v>
      </c>
      <c r="I237" s="5" t="s">
        <v>1717</v>
      </c>
      <c r="J237" s="161">
        <v>45200</v>
      </c>
      <c r="K237" s="5">
        <v>4</v>
      </c>
      <c r="L237" s="5">
        <v>7</v>
      </c>
      <c r="M237" s="12" t="s">
        <v>1739</v>
      </c>
      <c r="N237" s="161">
        <v>44927</v>
      </c>
      <c r="O237" s="5" t="s">
        <v>982</v>
      </c>
      <c r="P237" s="11" t="s">
        <v>2593</v>
      </c>
      <c r="Q237" s="160" t="s">
        <v>3318</v>
      </c>
      <c r="R237" s="168"/>
      <c r="S237" s="162"/>
      <c r="T237" s="171">
        <v>2030099102</v>
      </c>
      <c r="U237" s="150">
        <v>57254</v>
      </c>
      <c r="V237" s="11" t="s">
        <v>1076</v>
      </c>
      <c r="W237" s="160" t="s">
        <v>3319</v>
      </c>
      <c r="X237" s="11"/>
      <c r="Y237" s="5"/>
      <c r="Z237" s="172"/>
    </row>
    <row r="238" spans="1:26" ht="39" customHeight="1" x14ac:dyDescent="0.25">
      <c r="A238" s="5">
        <v>68</v>
      </c>
      <c r="B238" s="154" t="s">
        <v>3320</v>
      </c>
      <c r="C238" s="67" t="s">
        <v>18</v>
      </c>
      <c r="D238" s="10"/>
      <c r="E238" s="154" t="s">
        <v>2608</v>
      </c>
      <c r="F238" s="155">
        <v>33109</v>
      </c>
      <c r="G238" s="106" t="s">
        <v>3321</v>
      </c>
      <c r="H238" s="68" t="s">
        <v>3322</v>
      </c>
      <c r="I238" s="5" t="s">
        <v>1717</v>
      </c>
      <c r="J238" s="161">
        <v>45200</v>
      </c>
      <c r="K238" s="5">
        <v>4</v>
      </c>
      <c r="L238" s="5">
        <v>7</v>
      </c>
      <c r="M238" s="12" t="s">
        <v>1739</v>
      </c>
      <c r="N238" s="161">
        <v>44927</v>
      </c>
      <c r="O238" s="5" t="s">
        <v>982</v>
      </c>
      <c r="P238" s="11" t="s">
        <v>2584</v>
      </c>
      <c r="Q238" s="160" t="s">
        <v>3304</v>
      </c>
      <c r="R238" s="168"/>
      <c r="S238" s="162"/>
      <c r="T238" s="171" t="s">
        <v>3323</v>
      </c>
      <c r="U238" s="150">
        <v>56858</v>
      </c>
      <c r="V238" s="11" t="s">
        <v>1076</v>
      </c>
      <c r="W238" s="160" t="s">
        <v>1117</v>
      </c>
      <c r="X238" s="11" t="s">
        <v>3324</v>
      </c>
      <c r="Y238" s="31">
        <v>45639</v>
      </c>
      <c r="Z238" s="154"/>
    </row>
    <row r="239" spans="1:26" ht="39" customHeight="1" x14ac:dyDescent="0.25">
      <c r="A239" s="5">
        <v>69</v>
      </c>
      <c r="B239" s="14" t="s">
        <v>3325</v>
      </c>
      <c r="C239" s="5" t="s">
        <v>18</v>
      </c>
      <c r="D239" s="10" t="s">
        <v>1084</v>
      </c>
      <c r="E239" s="14" t="s">
        <v>1648</v>
      </c>
      <c r="F239" s="150">
        <v>26930</v>
      </c>
      <c r="G239" s="8" t="s">
        <v>3326</v>
      </c>
      <c r="H239" s="169" t="s">
        <v>3327</v>
      </c>
      <c r="I239" s="5" t="s">
        <v>1991</v>
      </c>
      <c r="J239" s="150">
        <v>40148</v>
      </c>
      <c r="K239" s="5">
        <v>1</v>
      </c>
      <c r="L239" s="5">
        <v>5</v>
      </c>
      <c r="M239" s="12" t="s">
        <v>1121</v>
      </c>
      <c r="N239" s="150">
        <v>40330</v>
      </c>
      <c r="O239" s="5" t="s">
        <v>982</v>
      </c>
      <c r="P239" s="167" t="s">
        <v>1084</v>
      </c>
      <c r="Q239" s="11" t="s">
        <v>1084</v>
      </c>
      <c r="R239" s="168" t="s">
        <v>1084</v>
      </c>
      <c r="S239" s="186" t="s">
        <v>1084</v>
      </c>
      <c r="T239" s="20">
        <v>2023097304</v>
      </c>
      <c r="U239" s="150">
        <v>50679</v>
      </c>
      <c r="V239" s="11" t="s">
        <v>2965</v>
      </c>
      <c r="W239" s="14" t="s">
        <v>2292</v>
      </c>
      <c r="X239" s="11"/>
      <c r="Y239" s="5"/>
      <c r="Z239" s="172"/>
    </row>
    <row r="240" spans="1:26" ht="39" customHeight="1" x14ac:dyDescent="0.25">
      <c r="A240" s="5">
        <v>70</v>
      </c>
      <c r="B240" s="154" t="s">
        <v>3328</v>
      </c>
      <c r="C240" s="67" t="s">
        <v>18</v>
      </c>
      <c r="D240" s="10"/>
      <c r="E240" s="154" t="s">
        <v>1934</v>
      </c>
      <c r="F240" s="155">
        <v>29608</v>
      </c>
      <c r="G240" s="106" t="s">
        <v>3329</v>
      </c>
      <c r="H240" s="68" t="s">
        <v>3330</v>
      </c>
      <c r="I240" s="5" t="s">
        <v>1991</v>
      </c>
      <c r="J240" s="161">
        <v>43556</v>
      </c>
      <c r="K240" s="5">
        <v>0</v>
      </c>
      <c r="L240" s="5">
        <v>0</v>
      </c>
      <c r="M240" s="12" t="s">
        <v>1121</v>
      </c>
      <c r="N240" s="161">
        <v>44075</v>
      </c>
      <c r="O240" s="5" t="s">
        <v>1028</v>
      </c>
      <c r="P240" s="11" t="s">
        <v>3331</v>
      </c>
      <c r="Q240" s="160" t="s">
        <v>1084</v>
      </c>
      <c r="R240" s="168" t="s">
        <v>3332</v>
      </c>
      <c r="S240" s="162"/>
      <c r="T240" s="171" t="s">
        <v>3333</v>
      </c>
      <c r="U240" s="150">
        <v>53359</v>
      </c>
      <c r="V240" s="11" t="s">
        <v>2808</v>
      </c>
      <c r="W240" s="160" t="s">
        <v>2292</v>
      </c>
      <c r="X240" s="11"/>
      <c r="Y240" s="5"/>
      <c r="Z240" s="172"/>
    </row>
    <row r="241" spans="1:26" ht="39" customHeight="1" x14ac:dyDescent="0.25">
      <c r="A241" s="5">
        <v>71</v>
      </c>
      <c r="B241" s="40" t="s">
        <v>3334</v>
      </c>
      <c r="C241" s="39" t="s">
        <v>46</v>
      </c>
      <c r="D241" s="10"/>
      <c r="E241" s="40" t="s">
        <v>2486</v>
      </c>
      <c r="F241" s="170">
        <v>32168</v>
      </c>
      <c r="G241" s="156" t="s">
        <v>3335</v>
      </c>
      <c r="H241" s="68" t="s">
        <v>3336</v>
      </c>
      <c r="I241" s="5" t="s">
        <v>1991</v>
      </c>
      <c r="J241" s="161">
        <v>43525</v>
      </c>
      <c r="K241" s="5">
        <v>0</v>
      </c>
      <c r="L241" s="5">
        <v>0</v>
      </c>
      <c r="M241" s="12" t="s">
        <v>1121</v>
      </c>
      <c r="N241" s="161">
        <v>44287</v>
      </c>
      <c r="O241" s="5" t="s">
        <v>982</v>
      </c>
      <c r="P241" s="11" t="s">
        <v>3337</v>
      </c>
      <c r="Q241" s="160" t="s">
        <v>3338</v>
      </c>
      <c r="R241" s="168"/>
      <c r="S241" s="162"/>
      <c r="T241" s="171" t="s">
        <v>3339</v>
      </c>
      <c r="U241" s="150">
        <v>55916</v>
      </c>
      <c r="V241" s="11" t="s">
        <v>2808</v>
      </c>
      <c r="W241" s="160" t="s">
        <v>3282</v>
      </c>
      <c r="X241" s="11" t="s">
        <v>3340</v>
      </c>
      <c r="Y241" s="31">
        <v>45588</v>
      </c>
      <c r="Z241" s="172"/>
    </row>
    <row r="242" spans="1:26" ht="39" customHeight="1" x14ac:dyDescent="0.25">
      <c r="A242" s="5">
        <v>72</v>
      </c>
      <c r="B242" s="154" t="s">
        <v>3341</v>
      </c>
      <c r="C242" s="67" t="s">
        <v>18</v>
      </c>
      <c r="D242" s="10"/>
      <c r="E242" s="154" t="s">
        <v>3342</v>
      </c>
      <c r="F242" s="155">
        <v>32898</v>
      </c>
      <c r="G242" s="106" t="s">
        <v>3343</v>
      </c>
      <c r="H242" s="68" t="s">
        <v>3344</v>
      </c>
      <c r="I242" s="5" t="s">
        <v>1991</v>
      </c>
      <c r="J242" s="161">
        <v>43525</v>
      </c>
      <c r="K242" s="5">
        <v>0</v>
      </c>
      <c r="L242" s="5">
        <v>0</v>
      </c>
      <c r="M242" s="12" t="s">
        <v>1121</v>
      </c>
      <c r="N242" s="161">
        <v>44287</v>
      </c>
      <c r="O242" s="5" t="s">
        <v>982</v>
      </c>
      <c r="P242" s="11" t="s">
        <v>3345</v>
      </c>
      <c r="Q242" s="160" t="s">
        <v>3346</v>
      </c>
      <c r="R242" s="168"/>
      <c r="S242" s="162"/>
      <c r="T242" s="171" t="s">
        <v>3347</v>
      </c>
      <c r="U242" s="150">
        <v>56646</v>
      </c>
      <c r="V242" s="11" t="s">
        <v>1116</v>
      </c>
      <c r="W242" s="160" t="s">
        <v>1117</v>
      </c>
      <c r="X242" s="11"/>
      <c r="Y242" s="5"/>
      <c r="Z242" s="172"/>
    </row>
    <row r="243" spans="1:26" ht="39" customHeight="1" x14ac:dyDescent="0.25">
      <c r="A243" s="5">
        <v>73</v>
      </c>
      <c r="B243" s="154" t="s">
        <v>3348</v>
      </c>
      <c r="C243" s="67" t="s">
        <v>46</v>
      </c>
      <c r="D243" s="10"/>
      <c r="E243" s="154" t="s">
        <v>1456</v>
      </c>
      <c r="F243" s="155">
        <v>31729</v>
      </c>
      <c r="G243" s="106" t="s">
        <v>3349</v>
      </c>
      <c r="H243" s="68" t="s">
        <v>3350</v>
      </c>
      <c r="I243" s="5" t="s">
        <v>1991</v>
      </c>
      <c r="J243" s="161">
        <v>43525</v>
      </c>
      <c r="K243" s="5">
        <v>0</v>
      </c>
      <c r="L243" s="5">
        <v>0</v>
      </c>
      <c r="M243" s="12" t="s">
        <v>1121</v>
      </c>
      <c r="N243" s="161">
        <v>44197</v>
      </c>
      <c r="O243" s="5" t="s">
        <v>982</v>
      </c>
      <c r="P243" s="11" t="s">
        <v>3351</v>
      </c>
      <c r="Q243" s="160" t="s">
        <v>3352</v>
      </c>
      <c r="R243" s="168"/>
      <c r="S243" s="162"/>
      <c r="T243" s="183" t="s">
        <v>3353</v>
      </c>
      <c r="U243" s="150">
        <v>55488</v>
      </c>
      <c r="V243" s="11" t="s">
        <v>1076</v>
      </c>
      <c r="W243" s="160" t="s">
        <v>3354</v>
      </c>
      <c r="X243" s="11" t="s">
        <v>3355</v>
      </c>
      <c r="Y243" s="31">
        <v>45588</v>
      </c>
      <c r="Z243" s="67"/>
    </row>
    <row r="244" spans="1:26" ht="39" customHeight="1" x14ac:dyDescent="0.25">
      <c r="A244" s="5">
        <v>74</v>
      </c>
      <c r="B244" s="154" t="s">
        <v>3356</v>
      </c>
      <c r="C244" s="67" t="s">
        <v>18</v>
      </c>
      <c r="D244" s="10"/>
      <c r="E244" s="154" t="s">
        <v>3357</v>
      </c>
      <c r="F244" s="155">
        <v>33966</v>
      </c>
      <c r="G244" s="106" t="s">
        <v>3358</v>
      </c>
      <c r="H244" s="68" t="s">
        <v>3359</v>
      </c>
      <c r="I244" s="5" t="s">
        <v>1991</v>
      </c>
      <c r="J244" s="161">
        <v>44166</v>
      </c>
      <c r="K244" s="5">
        <v>0</v>
      </c>
      <c r="L244" s="5">
        <v>0</v>
      </c>
      <c r="M244" s="12" t="s">
        <v>1121</v>
      </c>
      <c r="N244" s="161">
        <v>44866</v>
      </c>
      <c r="O244" s="5" t="s">
        <v>982</v>
      </c>
      <c r="P244" s="11"/>
      <c r="Q244" s="160" t="s">
        <v>3360</v>
      </c>
      <c r="R244" s="168"/>
      <c r="S244" s="162"/>
      <c r="T244" s="189" t="s">
        <v>3361</v>
      </c>
      <c r="U244" s="150">
        <v>57711</v>
      </c>
      <c r="V244" s="11" t="s">
        <v>2808</v>
      </c>
      <c r="W244" s="160" t="s">
        <v>3362</v>
      </c>
      <c r="X244" s="11"/>
      <c r="Y244" s="5"/>
      <c r="Z244" s="172"/>
    </row>
    <row r="245" spans="1:26" ht="39" customHeight="1" x14ac:dyDescent="0.25">
      <c r="A245" s="5">
        <v>75</v>
      </c>
      <c r="B245" s="154" t="s">
        <v>3363</v>
      </c>
      <c r="C245" s="67" t="s">
        <v>18</v>
      </c>
      <c r="D245" s="10"/>
      <c r="E245" s="154" t="s">
        <v>1638</v>
      </c>
      <c r="F245" s="155">
        <v>33178</v>
      </c>
      <c r="G245" s="106" t="s">
        <v>3364</v>
      </c>
      <c r="H245" s="68" t="s">
        <v>3365</v>
      </c>
      <c r="I245" s="5" t="s">
        <v>1991</v>
      </c>
      <c r="J245" s="161">
        <v>44166</v>
      </c>
      <c r="K245" s="5">
        <v>0</v>
      </c>
      <c r="L245" s="5">
        <v>0</v>
      </c>
      <c r="M245" s="12" t="s">
        <v>1121</v>
      </c>
      <c r="N245" s="161">
        <v>44866</v>
      </c>
      <c r="O245" s="5" t="s">
        <v>982</v>
      </c>
      <c r="P245" s="11"/>
      <c r="Q245" s="160" t="s">
        <v>3366</v>
      </c>
      <c r="R245" s="168"/>
      <c r="S245" s="162"/>
      <c r="T245" s="189" t="s">
        <v>3367</v>
      </c>
      <c r="U245" s="150">
        <v>56949</v>
      </c>
      <c r="V245" s="11" t="s">
        <v>2965</v>
      </c>
      <c r="W245" s="160" t="s">
        <v>2798</v>
      </c>
      <c r="X245" s="11"/>
      <c r="Y245" s="5"/>
      <c r="Z245" s="172"/>
    </row>
    <row r="246" spans="1:26" ht="39" customHeight="1" x14ac:dyDescent="0.25">
      <c r="A246" s="5">
        <v>76</v>
      </c>
      <c r="B246" s="154" t="s">
        <v>3368</v>
      </c>
      <c r="C246" s="67" t="s">
        <v>18</v>
      </c>
      <c r="D246" s="10"/>
      <c r="E246" s="154" t="s">
        <v>1479</v>
      </c>
      <c r="F246" s="155">
        <v>33695</v>
      </c>
      <c r="G246" s="106" t="s">
        <v>3369</v>
      </c>
      <c r="H246" s="68" t="s">
        <v>3370</v>
      </c>
      <c r="I246" s="5" t="s">
        <v>1991</v>
      </c>
      <c r="J246" s="161">
        <v>44166</v>
      </c>
      <c r="K246" s="5">
        <v>0</v>
      </c>
      <c r="L246" s="5">
        <v>0</v>
      </c>
      <c r="M246" s="12" t="s">
        <v>1121</v>
      </c>
      <c r="N246" s="161">
        <v>44866</v>
      </c>
      <c r="O246" s="5" t="s">
        <v>982</v>
      </c>
      <c r="P246" s="11"/>
      <c r="Q246" s="160" t="s">
        <v>3371</v>
      </c>
      <c r="R246" s="168"/>
      <c r="S246" s="162"/>
      <c r="T246" s="189" t="s">
        <v>3372</v>
      </c>
      <c r="U246" s="150">
        <v>57466</v>
      </c>
      <c r="V246" s="11" t="s">
        <v>2899</v>
      </c>
      <c r="W246" s="160" t="s">
        <v>3373</v>
      </c>
      <c r="X246" s="11" t="s">
        <v>2099</v>
      </c>
      <c r="Y246" s="51">
        <v>45632</v>
      </c>
      <c r="Z246" s="172"/>
    </row>
    <row r="247" spans="1:26" ht="39" customHeight="1" x14ac:dyDescent="0.25">
      <c r="A247" s="5">
        <v>77</v>
      </c>
      <c r="B247" s="154" t="s">
        <v>3374</v>
      </c>
      <c r="C247" s="67" t="s">
        <v>18</v>
      </c>
      <c r="D247" s="10"/>
      <c r="E247" s="154" t="s">
        <v>1934</v>
      </c>
      <c r="F247" s="155">
        <v>32697</v>
      </c>
      <c r="G247" s="106" t="s">
        <v>3375</v>
      </c>
      <c r="H247" s="68" t="s">
        <v>3376</v>
      </c>
      <c r="I247" s="5" t="s">
        <v>1991</v>
      </c>
      <c r="J247" s="161">
        <v>44166</v>
      </c>
      <c r="K247" s="5">
        <v>0</v>
      </c>
      <c r="L247" s="5">
        <v>0</v>
      </c>
      <c r="M247" s="12" t="s">
        <v>1121</v>
      </c>
      <c r="N247" s="161">
        <v>44896</v>
      </c>
      <c r="O247" s="5" t="s">
        <v>982</v>
      </c>
      <c r="P247" s="11"/>
      <c r="Q247" s="160" t="s">
        <v>3377</v>
      </c>
      <c r="R247" s="168"/>
      <c r="S247" s="162"/>
      <c r="T247" s="189" t="s">
        <v>3378</v>
      </c>
      <c r="U247" s="150">
        <v>56462</v>
      </c>
      <c r="V247" s="11" t="s">
        <v>1076</v>
      </c>
      <c r="W247" s="160" t="s">
        <v>3379</v>
      </c>
      <c r="X247" s="11"/>
      <c r="Y247" s="5"/>
      <c r="Z247" s="172"/>
    </row>
    <row r="248" spans="1:26" ht="39" customHeight="1" x14ac:dyDescent="0.25">
      <c r="A248" s="5">
        <v>78</v>
      </c>
      <c r="B248" s="154" t="s">
        <v>3380</v>
      </c>
      <c r="C248" s="67" t="s">
        <v>18</v>
      </c>
      <c r="D248" s="10"/>
      <c r="E248" s="154" t="s">
        <v>1776</v>
      </c>
      <c r="F248" s="155">
        <v>31268</v>
      </c>
      <c r="G248" s="106" t="s">
        <v>3381</v>
      </c>
      <c r="H248" s="68" t="s">
        <v>3382</v>
      </c>
      <c r="I248" s="5" t="s">
        <v>1991</v>
      </c>
      <c r="J248" s="161">
        <v>44166</v>
      </c>
      <c r="K248" s="5">
        <v>0</v>
      </c>
      <c r="L248" s="5">
        <v>0</v>
      </c>
      <c r="M248" s="12" t="s">
        <v>1121</v>
      </c>
      <c r="N248" s="161">
        <v>44805</v>
      </c>
      <c r="O248" s="5" t="s">
        <v>982</v>
      </c>
      <c r="P248" s="11"/>
      <c r="Q248" s="160" t="s">
        <v>3371</v>
      </c>
      <c r="R248" s="168"/>
      <c r="S248" s="162"/>
      <c r="T248" s="189" t="s">
        <v>3383</v>
      </c>
      <c r="U248" s="150">
        <v>55032</v>
      </c>
      <c r="V248" s="11" t="s">
        <v>1116</v>
      </c>
      <c r="W248" s="160" t="s">
        <v>3384</v>
      </c>
      <c r="X248" s="11"/>
      <c r="Y248" s="5"/>
      <c r="Z248" s="172"/>
    </row>
    <row r="249" spans="1:26" ht="39" customHeight="1" x14ac:dyDescent="0.25">
      <c r="A249" s="173" t="s">
        <v>3385</v>
      </c>
      <c r="B249" s="173"/>
      <c r="C249" s="174"/>
      <c r="D249" s="174"/>
      <c r="E249" s="174"/>
      <c r="F249" s="174"/>
      <c r="G249" s="175"/>
      <c r="H249" s="12"/>
      <c r="I249" s="174"/>
      <c r="J249" s="177"/>
      <c r="K249" s="174"/>
      <c r="L249" s="174"/>
      <c r="M249" s="174"/>
      <c r="N249" s="177"/>
      <c r="O249" s="174"/>
      <c r="P249" s="63"/>
      <c r="Q249" s="63"/>
      <c r="R249" s="178"/>
      <c r="S249" s="179"/>
      <c r="T249" s="174"/>
      <c r="U249" s="174"/>
      <c r="V249" s="33"/>
      <c r="W249" s="179"/>
      <c r="X249" s="12"/>
      <c r="Y249" s="12"/>
      <c r="Z249" s="154"/>
    </row>
    <row r="250" spans="1:26" ht="39" customHeight="1" x14ac:dyDescent="0.25">
      <c r="A250" s="5">
        <v>1</v>
      </c>
      <c r="B250" s="12" t="s">
        <v>3386</v>
      </c>
      <c r="C250" s="5" t="s">
        <v>18</v>
      </c>
      <c r="D250" s="5" t="s">
        <v>3387</v>
      </c>
      <c r="E250" s="14" t="s">
        <v>3388</v>
      </c>
      <c r="F250" s="150" t="s">
        <v>3389</v>
      </c>
      <c r="G250" s="151" t="s">
        <v>3390</v>
      </c>
      <c r="H250" s="68" t="s">
        <v>3391</v>
      </c>
      <c r="I250" s="5" t="s">
        <v>1423</v>
      </c>
      <c r="J250" s="150">
        <v>44287</v>
      </c>
      <c r="K250" s="5">
        <v>32</v>
      </c>
      <c r="L250" s="5">
        <v>1</v>
      </c>
      <c r="M250" s="12" t="s">
        <v>1424</v>
      </c>
      <c r="N250" s="150" t="s">
        <v>3392</v>
      </c>
      <c r="O250" s="5" t="s">
        <v>1028</v>
      </c>
      <c r="P250" s="47" t="s">
        <v>3393</v>
      </c>
      <c r="Q250" s="47" t="s">
        <v>3394</v>
      </c>
      <c r="R250" s="190" t="s">
        <v>3395</v>
      </c>
      <c r="S250" s="14" t="s">
        <v>3396</v>
      </c>
      <c r="T250" s="20">
        <v>2007116301</v>
      </c>
      <c r="U250" s="150">
        <v>48914</v>
      </c>
      <c r="V250" s="11" t="s">
        <v>3397</v>
      </c>
      <c r="W250" s="14" t="s">
        <v>3398</v>
      </c>
      <c r="X250" s="12"/>
      <c r="Y250" s="12"/>
      <c r="Z250" s="154"/>
    </row>
    <row r="251" spans="1:26" ht="39" customHeight="1" x14ac:dyDescent="0.25">
      <c r="A251" s="5">
        <v>2</v>
      </c>
      <c r="B251" s="12" t="s">
        <v>3399</v>
      </c>
      <c r="C251" s="5" t="s">
        <v>18</v>
      </c>
      <c r="D251" s="5" t="s">
        <v>3400</v>
      </c>
      <c r="E251" s="14" t="s">
        <v>3401</v>
      </c>
      <c r="F251" s="150" t="s">
        <v>3402</v>
      </c>
      <c r="G251" s="151" t="s">
        <v>3403</v>
      </c>
      <c r="H251" s="68" t="s">
        <v>3404</v>
      </c>
      <c r="I251" s="5" t="s">
        <v>1423</v>
      </c>
      <c r="J251" s="150" t="s">
        <v>3405</v>
      </c>
      <c r="K251" s="5">
        <v>24</v>
      </c>
      <c r="L251" s="5">
        <v>1</v>
      </c>
      <c r="M251" s="12" t="s">
        <v>1424</v>
      </c>
      <c r="N251" s="150" t="s">
        <v>3406</v>
      </c>
      <c r="O251" s="5" t="s">
        <v>1028</v>
      </c>
      <c r="P251" s="47" t="s">
        <v>3407</v>
      </c>
      <c r="Q251" s="47" t="s">
        <v>3408</v>
      </c>
      <c r="R251" s="190" t="s">
        <v>3409</v>
      </c>
      <c r="S251" s="14"/>
      <c r="T251" s="20">
        <v>2001105902</v>
      </c>
      <c r="U251" s="150">
        <v>47423</v>
      </c>
      <c r="V251" s="11" t="s">
        <v>3397</v>
      </c>
      <c r="W251" s="14" t="s">
        <v>3410</v>
      </c>
      <c r="X251" s="12"/>
      <c r="Y251" s="12"/>
      <c r="Z251" s="154"/>
    </row>
    <row r="252" spans="1:26" ht="39" customHeight="1" x14ac:dyDescent="0.25">
      <c r="A252" s="5">
        <v>3</v>
      </c>
      <c r="B252" s="12" t="s">
        <v>3411</v>
      </c>
      <c r="C252" s="5" t="s">
        <v>18</v>
      </c>
      <c r="D252" s="5" t="s">
        <v>3412</v>
      </c>
      <c r="E252" s="14" t="s">
        <v>3413</v>
      </c>
      <c r="F252" s="150">
        <v>21915</v>
      </c>
      <c r="G252" s="151" t="s">
        <v>3414</v>
      </c>
      <c r="H252" s="68" t="s">
        <v>3415</v>
      </c>
      <c r="I252" s="5" t="s">
        <v>1423</v>
      </c>
      <c r="J252" s="150">
        <v>44470</v>
      </c>
      <c r="K252" s="5">
        <v>29</v>
      </c>
      <c r="L252" s="5">
        <v>7</v>
      </c>
      <c r="M252" s="12" t="s">
        <v>1424</v>
      </c>
      <c r="N252" s="150">
        <v>43497</v>
      </c>
      <c r="O252" s="5" t="s">
        <v>1028</v>
      </c>
      <c r="P252" s="47" t="s">
        <v>3416</v>
      </c>
      <c r="Q252" s="47" t="s">
        <v>3417</v>
      </c>
      <c r="R252" s="190" t="s">
        <v>3418</v>
      </c>
      <c r="S252" s="14" t="s">
        <v>3419</v>
      </c>
      <c r="T252" s="20">
        <v>2001015902</v>
      </c>
      <c r="U252" s="150">
        <v>47315</v>
      </c>
      <c r="V252" s="11" t="s">
        <v>3397</v>
      </c>
      <c r="W252" s="14" t="s">
        <v>3420</v>
      </c>
      <c r="X252" s="12"/>
      <c r="Y252" s="12"/>
      <c r="Z252" s="154"/>
    </row>
    <row r="253" spans="1:26" ht="39" customHeight="1" x14ac:dyDescent="0.25">
      <c r="A253" s="5">
        <v>4</v>
      </c>
      <c r="B253" s="12" t="s">
        <v>3421</v>
      </c>
      <c r="C253" s="5" t="s">
        <v>46</v>
      </c>
      <c r="D253" s="5" t="s">
        <v>3422</v>
      </c>
      <c r="E253" s="14" t="s">
        <v>2276</v>
      </c>
      <c r="F253" s="150" t="s">
        <v>3423</v>
      </c>
      <c r="G253" s="151" t="s">
        <v>3424</v>
      </c>
      <c r="H253" s="68" t="s">
        <v>3425</v>
      </c>
      <c r="I253" s="5" t="s">
        <v>1423</v>
      </c>
      <c r="J253" s="150">
        <v>45383</v>
      </c>
      <c r="K253" s="5">
        <v>34</v>
      </c>
      <c r="L253" s="5">
        <v>3</v>
      </c>
      <c r="M253" s="12" t="s">
        <v>1424</v>
      </c>
      <c r="N253" s="150">
        <v>43586</v>
      </c>
      <c r="O253" s="5" t="s">
        <v>1028</v>
      </c>
      <c r="P253" s="47" t="s">
        <v>3426</v>
      </c>
      <c r="Q253" s="47" t="s">
        <v>3427</v>
      </c>
      <c r="R253" s="190" t="s">
        <v>1427</v>
      </c>
      <c r="S253" s="14" t="s">
        <v>3428</v>
      </c>
      <c r="T253" s="20">
        <v>2012036201</v>
      </c>
      <c r="U253" s="150">
        <v>48305</v>
      </c>
      <c r="V253" s="11" t="s">
        <v>3397</v>
      </c>
      <c r="W253" s="14" t="s">
        <v>2335</v>
      </c>
      <c r="X253" s="89"/>
      <c r="Y253" s="89"/>
      <c r="Z253" s="89"/>
    </row>
    <row r="254" spans="1:26" ht="39" customHeight="1" x14ac:dyDescent="0.25">
      <c r="A254" s="5">
        <v>5</v>
      </c>
      <c r="B254" s="12" t="s">
        <v>3429</v>
      </c>
      <c r="C254" s="5" t="s">
        <v>18</v>
      </c>
      <c r="D254" s="5" t="s">
        <v>3430</v>
      </c>
      <c r="E254" s="14" t="s">
        <v>3342</v>
      </c>
      <c r="F254" s="150" t="s">
        <v>3431</v>
      </c>
      <c r="G254" s="151" t="s">
        <v>3432</v>
      </c>
      <c r="H254" s="68" t="s">
        <v>3433</v>
      </c>
      <c r="I254" s="5" t="s">
        <v>1469</v>
      </c>
      <c r="J254" s="150">
        <v>44835</v>
      </c>
      <c r="K254" s="5">
        <v>25</v>
      </c>
      <c r="L254" s="5">
        <v>7</v>
      </c>
      <c r="M254" s="12" t="s">
        <v>1424</v>
      </c>
      <c r="N254" s="150">
        <v>43952</v>
      </c>
      <c r="O254" s="5" t="s">
        <v>1028</v>
      </c>
      <c r="P254" s="47" t="s">
        <v>3434</v>
      </c>
      <c r="Q254" s="47" t="s">
        <v>3435</v>
      </c>
      <c r="R254" s="190" t="s">
        <v>3436</v>
      </c>
      <c r="S254" s="14" t="s">
        <v>3437</v>
      </c>
      <c r="T254" s="20">
        <v>2006087301</v>
      </c>
      <c r="U254" s="150">
        <v>52475</v>
      </c>
      <c r="V254" s="11" t="s">
        <v>1044</v>
      </c>
      <c r="W254" s="11" t="s">
        <v>3438</v>
      </c>
      <c r="X254" s="89"/>
      <c r="Y254" s="89"/>
      <c r="Z254" s="89"/>
    </row>
    <row r="255" spans="1:26" ht="39" customHeight="1" x14ac:dyDescent="0.25">
      <c r="A255" s="5">
        <v>6</v>
      </c>
      <c r="B255" s="12" t="s">
        <v>3439</v>
      </c>
      <c r="C255" s="5" t="s">
        <v>18</v>
      </c>
      <c r="D255" s="5" t="s">
        <v>3440</v>
      </c>
      <c r="E255" s="14" t="s">
        <v>1575</v>
      </c>
      <c r="F255" s="150" t="s">
        <v>3441</v>
      </c>
      <c r="G255" s="151" t="s">
        <v>3442</v>
      </c>
      <c r="H255" s="68" t="s">
        <v>3443</v>
      </c>
      <c r="I255" s="5" t="s">
        <v>1423</v>
      </c>
      <c r="J255" s="150">
        <v>45383</v>
      </c>
      <c r="K255" s="5">
        <v>38</v>
      </c>
      <c r="L255" s="5">
        <v>1</v>
      </c>
      <c r="M255" s="12" t="s">
        <v>1424</v>
      </c>
      <c r="N255" s="150">
        <v>44531</v>
      </c>
      <c r="O255" s="5" t="s">
        <v>1028</v>
      </c>
      <c r="P255" s="47" t="s">
        <v>3444</v>
      </c>
      <c r="Q255" s="47" t="s">
        <v>3445</v>
      </c>
      <c r="R255" s="190" t="s">
        <v>3446</v>
      </c>
      <c r="S255" s="14" t="s">
        <v>3447</v>
      </c>
      <c r="T255" s="20">
        <v>2002116101</v>
      </c>
      <c r="U255" s="150">
        <v>48183</v>
      </c>
      <c r="V255" s="11" t="s">
        <v>3448</v>
      </c>
      <c r="W255" s="14" t="s">
        <v>3449</v>
      </c>
      <c r="X255" s="11"/>
      <c r="Y255" s="5"/>
      <c r="Z255" s="154"/>
    </row>
    <row r="256" spans="1:26" ht="39" customHeight="1" x14ac:dyDescent="0.25">
      <c r="A256" s="5">
        <v>7</v>
      </c>
      <c r="B256" s="12" t="s">
        <v>3450</v>
      </c>
      <c r="C256" s="5" t="s">
        <v>18</v>
      </c>
      <c r="D256" s="5" t="s">
        <v>3451</v>
      </c>
      <c r="E256" s="14" t="s">
        <v>1967</v>
      </c>
      <c r="F256" s="150" t="s">
        <v>3452</v>
      </c>
      <c r="G256" s="151" t="s">
        <v>3453</v>
      </c>
      <c r="H256" s="68" t="s">
        <v>3454</v>
      </c>
      <c r="I256" s="5" t="s">
        <v>1423</v>
      </c>
      <c r="J256" s="150">
        <v>45505</v>
      </c>
      <c r="K256" s="5">
        <v>27</v>
      </c>
      <c r="L256" s="5">
        <v>5</v>
      </c>
      <c r="M256" s="12" t="s">
        <v>1424</v>
      </c>
      <c r="N256" s="150">
        <v>44470</v>
      </c>
      <c r="O256" s="5" t="s">
        <v>1028</v>
      </c>
      <c r="P256" s="47" t="s">
        <v>3455</v>
      </c>
      <c r="Q256" s="47" t="s">
        <v>3456</v>
      </c>
      <c r="R256" s="190" t="s">
        <v>3409</v>
      </c>
      <c r="S256" s="14" t="s">
        <v>3457</v>
      </c>
      <c r="T256" s="20">
        <v>2019047203</v>
      </c>
      <c r="U256" s="150">
        <v>51987</v>
      </c>
      <c r="V256" s="11" t="s">
        <v>3448</v>
      </c>
      <c r="W256" s="14" t="s">
        <v>3458</v>
      </c>
      <c r="X256" s="11"/>
      <c r="Y256" s="51"/>
      <c r="Z256" s="154"/>
    </row>
    <row r="257" spans="1:26" ht="39" customHeight="1" x14ac:dyDescent="0.25">
      <c r="A257" s="5">
        <v>8</v>
      </c>
      <c r="B257" s="12" t="s">
        <v>3459</v>
      </c>
      <c r="C257" s="5" t="s">
        <v>18</v>
      </c>
      <c r="D257" s="5" t="s">
        <v>3460</v>
      </c>
      <c r="E257" s="14" t="s">
        <v>2062</v>
      </c>
      <c r="F257" s="150" t="s">
        <v>3461</v>
      </c>
      <c r="G257" s="151" t="s">
        <v>3462</v>
      </c>
      <c r="H257" s="68" t="s">
        <v>3463</v>
      </c>
      <c r="I257" s="5" t="s">
        <v>1447</v>
      </c>
      <c r="J257" s="150">
        <v>44835</v>
      </c>
      <c r="K257" s="5">
        <v>25</v>
      </c>
      <c r="L257" s="5">
        <v>7</v>
      </c>
      <c r="M257" s="12" t="s">
        <v>1424</v>
      </c>
      <c r="N257" s="150">
        <v>44713</v>
      </c>
      <c r="O257" s="5" t="s">
        <v>1028</v>
      </c>
      <c r="P257" s="47" t="s">
        <v>3455</v>
      </c>
      <c r="Q257" s="47" t="s">
        <v>3464</v>
      </c>
      <c r="R257" s="190" t="s">
        <v>3465</v>
      </c>
      <c r="S257" s="14" t="s">
        <v>3466</v>
      </c>
      <c r="T257" s="20">
        <v>2015037201</v>
      </c>
      <c r="U257" s="150">
        <v>51957</v>
      </c>
      <c r="V257" s="11" t="s">
        <v>3397</v>
      </c>
      <c r="W257" s="14" t="s">
        <v>3467</v>
      </c>
      <c r="X257" s="11" t="s">
        <v>3468</v>
      </c>
      <c r="Y257" s="51">
        <v>45586</v>
      </c>
      <c r="Z257" s="154"/>
    </row>
    <row r="258" spans="1:26" ht="39" customHeight="1" x14ac:dyDescent="0.25">
      <c r="A258" s="5">
        <v>9</v>
      </c>
      <c r="B258" s="12" t="s">
        <v>3469</v>
      </c>
      <c r="C258" s="5" t="s">
        <v>18</v>
      </c>
      <c r="D258" s="5" t="s">
        <v>3470</v>
      </c>
      <c r="E258" s="14" t="s">
        <v>1456</v>
      </c>
      <c r="F258" s="150" t="s">
        <v>3471</v>
      </c>
      <c r="G258" s="151" t="s">
        <v>3472</v>
      </c>
      <c r="H258" s="68" t="s">
        <v>3473</v>
      </c>
      <c r="I258" s="5" t="s">
        <v>1699</v>
      </c>
      <c r="J258" s="150" t="s">
        <v>3474</v>
      </c>
      <c r="K258" s="5">
        <v>14</v>
      </c>
      <c r="L258" s="5">
        <v>7</v>
      </c>
      <c r="M258" s="12" t="s">
        <v>1424</v>
      </c>
      <c r="N258" s="150">
        <v>44927</v>
      </c>
      <c r="O258" s="5" t="s">
        <v>1028</v>
      </c>
      <c r="P258" s="47" t="s">
        <v>3475</v>
      </c>
      <c r="Q258" s="47" t="s">
        <v>3476</v>
      </c>
      <c r="R258" s="190" t="s">
        <v>3477</v>
      </c>
      <c r="S258" s="14" t="s">
        <v>3478</v>
      </c>
      <c r="T258" s="20">
        <v>2007035901</v>
      </c>
      <c r="U258" s="150">
        <v>47209</v>
      </c>
      <c r="V258" s="11" t="s">
        <v>1044</v>
      </c>
      <c r="W258" s="14" t="s">
        <v>1045</v>
      </c>
      <c r="X258" s="11"/>
      <c r="Y258" s="5"/>
      <c r="Z258" s="154"/>
    </row>
    <row r="259" spans="1:26" ht="39" customHeight="1" x14ac:dyDescent="0.25">
      <c r="A259" s="5">
        <v>10</v>
      </c>
      <c r="B259" s="12" t="s">
        <v>3479</v>
      </c>
      <c r="C259" s="5" t="s">
        <v>46</v>
      </c>
      <c r="D259" s="5" t="s">
        <v>3480</v>
      </c>
      <c r="E259" s="14" t="s">
        <v>1519</v>
      </c>
      <c r="F259" s="150" t="s">
        <v>3481</v>
      </c>
      <c r="G259" s="151" t="s">
        <v>3482</v>
      </c>
      <c r="H259" s="68" t="s">
        <v>3483</v>
      </c>
      <c r="I259" s="5" t="s">
        <v>1447</v>
      </c>
      <c r="J259" s="150">
        <v>45200</v>
      </c>
      <c r="K259" s="5">
        <v>30</v>
      </c>
      <c r="L259" s="5">
        <v>7</v>
      </c>
      <c r="M259" s="12" t="s">
        <v>1424</v>
      </c>
      <c r="N259" s="150">
        <v>44197</v>
      </c>
      <c r="O259" s="5" t="s">
        <v>1028</v>
      </c>
      <c r="P259" s="47" t="s">
        <v>3484</v>
      </c>
      <c r="Q259" s="47" t="s">
        <v>3485</v>
      </c>
      <c r="R259" s="9" t="s">
        <v>3486</v>
      </c>
      <c r="S259" s="14" t="s">
        <v>3487</v>
      </c>
      <c r="T259" s="20">
        <v>2005076301</v>
      </c>
      <c r="U259" s="150">
        <v>48792</v>
      </c>
      <c r="V259" s="11" t="s">
        <v>3488</v>
      </c>
      <c r="W259" s="14" t="s">
        <v>3489</v>
      </c>
      <c r="X259" s="89"/>
      <c r="Y259" s="89"/>
      <c r="Z259" s="89"/>
    </row>
    <row r="260" spans="1:26" ht="39" customHeight="1" x14ac:dyDescent="0.25">
      <c r="A260" s="5">
        <v>11</v>
      </c>
      <c r="B260" s="12" t="s">
        <v>3490</v>
      </c>
      <c r="C260" s="5" t="s">
        <v>46</v>
      </c>
      <c r="D260" s="5" t="s">
        <v>3491</v>
      </c>
      <c r="E260" s="14" t="s">
        <v>1648</v>
      </c>
      <c r="F260" s="150" t="s">
        <v>3492</v>
      </c>
      <c r="G260" s="151" t="s">
        <v>3493</v>
      </c>
      <c r="H260" s="68" t="s">
        <v>3494</v>
      </c>
      <c r="I260" s="5" t="s">
        <v>1469</v>
      </c>
      <c r="J260" s="150">
        <v>45017</v>
      </c>
      <c r="K260" s="5">
        <v>32</v>
      </c>
      <c r="L260" s="5">
        <v>8</v>
      </c>
      <c r="M260" s="12" t="s">
        <v>1424</v>
      </c>
      <c r="N260" s="150">
        <v>44896</v>
      </c>
      <c r="O260" s="5" t="s">
        <v>1028</v>
      </c>
      <c r="P260" s="191" t="s">
        <v>3495</v>
      </c>
      <c r="Q260" s="191" t="s">
        <v>3496</v>
      </c>
      <c r="R260" s="192" t="s">
        <v>3497</v>
      </c>
      <c r="S260" s="162">
        <v>102100504669</v>
      </c>
      <c r="T260" s="166">
        <v>2030016601</v>
      </c>
      <c r="U260" s="150">
        <v>49706</v>
      </c>
      <c r="V260" s="11" t="s">
        <v>3488</v>
      </c>
      <c r="W260" s="11" t="s">
        <v>3498</v>
      </c>
      <c r="X260" s="9" t="s">
        <v>3499</v>
      </c>
      <c r="Y260" s="51">
        <v>45553</v>
      </c>
      <c r="Z260" s="172"/>
    </row>
    <row r="261" spans="1:26" ht="39" customHeight="1" x14ac:dyDescent="0.25">
      <c r="A261" s="5">
        <v>12</v>
      </c>
      <c r="B261" s="12" t="s">
        <v>3500</v>
      </c>
      <c r="C261" s="5" t="s">
        <v>18</v>
      </c>
      <c r="D261" s="5" t="s">
        <v>3501</v>
      </c>
      <c r="E261" s="14" t="s">
        <v>2088</v>
      </c>
      <c r="F261" s="150">
        <v>29251</v>
      </c>
      <c r="G261" s="8" t="s">
        <v>3502</v>
      </c>
      <c r="H261" s="68" t="s">
        <v>3503</v>
      </c>
      <c r="I261" s="193" t="s">
        <v>1558</v>
      </c>
      <c r="J261" s="194" t="s">
        <v>3504</v>
      </c>
      <c r="K261" s="193">
        <v>14</v>
      </c>
      <c r="L261" s="193">
        <v>9</v>
      </c>
      <c r="M261" s="12" t="s">
        <v>1424</v>
      </c>
      <c r="N261" s="150">
        <v>44896</v>
      </c>
      <c r="O261" s="5" t="s">
        <v>1028</v>
      </c>
      <c r="P261" s="9" t="s">
        <v>3505</v>
      </c>
      <c r="Q261" s="9" t="s">
        <v>3506</v>
      </c>
      <c r="R261" s="9" t="s">
        <v>3507</v>
      </c>
      <c r="S261" s="162">
        <v>112100513240023</v>
      </c>
      <c r="T261" s="166">
        <v>2031018001</v>
      </c>
      <c r="U261" s="5" t="s">
        <v>3508</v>
      </c>
      <c r="V261" s="11" t="s">
        <v>3509</v>
      </c>
      <c r="W261" s="14" t="s">
        <v>3498</v>
      </c>
      <c r="X261" s="9" t="s">
        <v>3510</v>
      </c>
      <c r="Y261" s="51">
        <v>45553</v>
      </c>
      <c r="Z261" s="154"/>
    </row>
    <row r="262" spans="1:26" ht="39" customHeight="1" x14ac:dyDescent="0.25">
      <c r="A262" s="5">
        <v>13</v>
      </c>
      <c r="B262" s="12" t="s">
        <v>3511</v>
      </c>
      <c r="C262" s="5" t="s">
        <v>46</v>
      </c>
      <c r="D262" s="5" t="s">
        <v>3512</v>
      </c>
      <c r="E262" s="14" t="s">
        <v>2144</v>
      </c>
      <c r="F262" s="150">
        <v>21081</v>
      </c>
      <c r="G262" s="151" t="s">
        <v>3513</v>
      </c>
      <c r="H262" s="68" t="s">
        <v>3514</v>
      </c>
      <c r="I262" s="5" t="s">
        <v>1447</v>
      </c>
      <c r="J262" s="150">
        <v>45566</v>
      </c>
      <c r="K262" s="5">
        <v>31</v>
      </c>
      <c r="L262" s="5">
        <v>7</v>
      </c>
      <c r="M262" s="12" t="s">
        <v>1424</v>
      </c>
      <c r="N262" s="150">
        <v>44652</v>
      </c>
      <c r="O262" s="5" t="s">
        <v>1028</v>
      </c>
      <c r="P262" s="47" t="s">
        <v>3515</v>
      </c>
      <c r="Q262" s="47" t="s">
        <v>3516</v>
      </c>
      <c r="R262" s="9" t="s">
        <v>3517</v>
      </c>
      <c r="S262" s="162">
        <v>142100512837</v>
      </c>
      <c r="T262" s="166">
        <v>2018095701</v>
      </c>
      <c r="U262" s="150">
        <v>46661</v>
      </c>
      <c r="V262" s="11" t="s">
        <v>3488</v>
      </c>
      <c r="W262" s="14" t="s">
        <v>3518</v>
      </c>
      <c r="X262" s="12"/>
      <c r="Y262" s="12"/>
      <c r="Z262" s="154"/>
    </row>
    <row r="263" spans="1:26" ht="39" customHeight="1" x14ac:dyDescent="0.25">
      <c r="A263" s="5">
        <v>14</v>
      </c>
      <c r="B263" s="14" t="s">
        <v>3519</v>
      </c>
      <c r="C263" s="5" t="s">
        <v>46</v>
      </c>
      <c r="D263" s="5" t="s">
        <v>3520</v>
      </c>
      <c r="E263" s="14" t="s">
        <v>1687</v>
      </c>
      <c r="F263" s="150">
        <v>28649</v>
      </c>
      <c r="G263" s="8" t="s">
        <v>3521</v>
      </c>
      <c r="H263" s="68" t="s">
        <v>3522</v>
      </c>
      <c r="I263" s="10" t="s">
        <v>1558</v>
      </c>
      <c r="J263" s="150">
        <v>45017</v>
      </c>
      <c r="K263" s="5">
        <v>19</v>
      </c>
      <c r="L263" s="5">
        <v>7</v>
      </c>
      <c r="M263" s="12" t="s">
        <v>1424</v>
      </c>
      <c r="N263" s="150">
        <v>44835</v>
      </c>
      <c r="O263" s="5" t="s">
        <v>1028</v>
      </c>
      <c r="P263" s="47" t="s">
        <v>3523</v>
      </c>
      <c r="Q263" s="47" t="s">
        <v>3524</v>
      </c>
      <c r="R263" s="9" t="s">
        <v>3525</v>
      </c>
      <c r="S263" s="162">
        <v>102100504657</v>
      </c>
      <c r="T263" s="166">
        <v>2008067801</v>
      </c>
      <c r="U263" s="150">
        <v>54240</v>
      </c>
      <c r="V263" s="11" t="s">
        <v>3448</v>
      </c>
      <c r="W263" s="14" t="s">
        <v>2390</v>
      </c>
      <c r="X263" s="9" t="s">
        <v>3526</v>
      </c>
      <c r="Y263" s="31">
        <v>45553</v>
      </c>
      <c r="Z263" s="154"/>
    </row>
    <row r="264" spans="1:26" ht="39" customHeight="1" x14ac:dyDescent="0.25">
      <c r="A264" s="5">
        <v>15</v>
      </c>
      <c r="B264" s="14" t="s">
        <v>3527</v>
      </c>
      <c r="C264" s="5" t="s">
        <v>18</v>
      </c>
      <c r="D264" s="10"/>
      <c r="E264" s="14" t="s">
        <v>1934</v>
      </c>
      <c r="F264" s="150">
        <v>28401</v>
      </c>
      <c r="G264" s="8" t="s">
        <v>3528</v>
      </c>
      <c r="H264" s="68" t="s">
        <v>3529</v>
      </c>
      <c r="I264" s="5" t="s">
        <v>1558</v>
      </c>
      <c r="J264" s="150">
        <v>45017</v>
      </c>
      <c r="K264" s="5">
        <v>13</v>
      </c>
      <c r="L264" s="5">
        <v>4</v>
      </c>
      <c r="M264" s="12" t="s">
        <v>1424</v>
      </c>
      <c r="N264" s="150">
        <v>44958</v>
      </c>
      <c r="O264" s="5" t="s">
        <v>1028</v>
      </c>
      <c r="P264" s="11" t="s">
        <v>3530</v>
      </c>
      <c r="Q264" s="11" t="s">
        <v>3531</v>
      </c>
      <c r="R264" s="168" t="s">
        <v>3532</v>
      </c>
      <c r="S264" s="14" t="s">
        <v>3533</v>
      </c>
      <c r="T264" s="20">
        <v>2003107701</v>
      </c>
      <c r="U264" s="150">
        <v>53997</v>
      </c>
      <c r="V264" s="11" t="s">
        <v>3534</v>
      </c>
      <c r="W264" s="14" t="s">
        <v>3535</v>
      </c>
      <c r="X264" s="11"/>
      <c r="Y264" s="51"/>
      <c r="Z264" s="154"/>
    </row>
    <row r="265" spans="1:26" ht="39" customHeight="1" x14ac:dyDescent="0.25">
      <c r="A265" s="5">
        <v>16</v>
      </c>
      <c r="B265" s="12" t="s">
        <v>3536</v>
      </c>
      <c r="C265" s="5" t="s">
        <v>46</v>
      </c>
      <c r="D265" s="5" t="s">
        <v>3537</v>
      </c>
      <c r="E265" s="14" t="s">
        <v>1967</v>
      </c>
      <c r="F265" s="150">
        <v>26732</v>
      </c>
      <c r="G265" s="151" t="s">
        <v>3538</v>
      </c>
      <c r="H265" s="68" t="s">
        <v>3539</v>
      </c>
      <c r="I265" s="5" t="s">
        <v>1469</v>
      </c>
      <c r="J265" s="150">
        <v>45200</v>
      </c>
      <c r="K265" s="5">
        <v>20</v>
      </c>
      <c r="L265" s="5">
        <v>10</v>
      </c>
      <c r="M265" s="12" t="s">
        <v>1424</v>
      </c>
      <c r="N265" s="150">
        <v>45078</v>
      </c>
      <c r="O265" s="5" t="s">
        <v>1028</v>
      </c>
      <c r="P265" s="9" t="s">
        <v>3540</v>
      </c>
      <c r="Q265" s="9" t="s">
        <v>3541</v>
      </c>
      <c r="R265" s="9" t="s">
        <v>1550</v>
      </c>
      <c r="S265" s="162">
        <v>102104006818</v>
      </c>
      <c r="T265" s="20" t="s">
        <v>3542</v>
      </c>
      <c r="U265" s="150">
        <v>52322</v>
      </c>
      <c r="V265" s="11" t="s">
        <v>999</v>
      </c>
      <c r="W265" s="14" t="s">
        <v>3398</v>
      </c>
      <c r="X265" s="11" t="s">
        <v>3543</v>
      </c>
      <c r="Y265" s="51">
        <v>45586</v>
      </c>
      <c r="Z265" s="154"/>
    </row>
    <row r="266" spans="1:26" ht="39" customHeight="1" x14ac:dyDescent="0.25">
      <c r="A266" s="5">
        <v>17</v>
      </c>
      <c r="B266" s="14" t="s">
        <v>3544</v>
      </c>
      <c r="C266" s="5" t="s">
        <v>18</v>
      </c>
      <c r="D266" s="5" t="s">
        <v>3545</v>
      </c>
      <c r="E266" s="14" t="s">
        <v>3546</v>
      </c>
      <c r="F266" s="150">
        <v>21650</v>
      </c>
      <c r="G266" s="8" t="s">
        <v>3547</v>
      </c>
      <c r="H266" s="68" t="s">
        <v>3548</v>
      </c>
      <c r="I266" s="5" t="s">
        <v>1699</v>
      </c>
      <c r="J266" s="150" t="s">
        <v>3549</v>
      </c>
      <c r="K266" s="5">
        <v>13</v>
      </c>
      <c r="L266" s="5">
        <v>1</v>
      </c>
      <c r="M266" s="12" t="s">
        <v>1424</v>
      </c>
      <c r="N266" s="150">
        <v>45017</v>
      </c>
      <c r="O266" s="5" t="s">
        <v>1028</v>
      </c>
      <c r="P266" s="9" t="s">
        <v>3550</v>
      </c>
      <c r="Q266" s="47" t="s">
        <v>3551</v>
      </c>
      <c r="R266" s="9" t="s">
        <v>3552</v>
      </c>
      <c r="S266" s="162">
        <v>132100511995</v>
      </c>
      <c r="T266" s="20">
        <v>2010045901</v>
      </c>
      <c r="U266" s="150">
        <v>47239</v>
      </c>
      <c r="V266" s="11" t="s">
        <v>3553</v>
      </c>
      <c r="W266" s="14" t="s">
        <v>3489</v>
      </c>
      <c r="X266" s="11"/>
      <c r="Y266" s="5"/>
      <c r="Z266" s="154"/>
    </row>
    <row r="267" spans="1:26" ht="34.5" customHeight="1" x14ac:dyDescent="0.25">
      <c r="A267" s="5">
        <v>18</v>
      </c>
      <c r="B267" s="12" t="s">
        <v>3554</v>
      </c>
      <c r="C267" s="5" t="s">
        <v>46</v>
      </c>
      <c r="D267" s="5" t="s">
        <v>3555</v>
      </c>
      <c r="E267" s="14" t="s">
        <v>3556</v>
      </c>
      <c r="F267" s="150">
        <v>22395</v>
      </c>
      <c r="G267" s="151" t="s">
        <v>3557</v>
      </c>
      <c r="H267" s="68" t="s">
        <v>3558</v>
      </c>
      <c r="I267" s="5" t="s">
        <v>1558</v>
      </c>
      <c r="J267" s="150">
        <v>45566</v>
      </c>
      <c r="K267" s="5">
        <v>34</v>
      </c>
      <c r="L267" s="5">
        <v>7</v>
      </c>
      <c r="M267" s="12" t="s">
        <v>1424</v>
      </c>
      <c r="N267" s="150">
        <v>45139</v>
      </c>
      <c r="O267" s="5" t="s">
        <v>1028</v>
      </c>
      <c r="P267" s="47" t="s">
        <v>3559</v>
      </c>
      <c r="Q267" s="9" t="s">
        <v>3560</v>
      </c>
      <c r="R267" s="9" t="s">
        <v>3561</v>
      </c>
      <c r="S267" s="162">
        <v>112100512260018</v>
      </c>
      <c r="T267" s="166">
        <v>2024046101</v>
      </c>
      <c r="U267" s="150">
        <v>47969</v>
      </c>
      <c r="V267" s="11" t="s">
        <v>3488</v>
      </c>
      <c r="W267" s="14" t="s">
        <v>1907</v>
      </c>
      <c r="X267" s="11"/>
      <c r="Y267" s="51"/>
      <c r="Z267" s="154"/>
    </row>
    <row r="268" spans="1:26" ht="34.5" customHeight="1" x14ac:dyDescent="0.25">
      <c r="A268" s="5">
        <v>19</v>
      </c>
      <c r="B268" s="12" t="s">
        <v>3562</v>
      </c>
      <c r="C268" s="5" t="s">
        <v>18</v>
      </c>
      <c r="D268" s="5" t="s">
        <v>3563</v>
      </c>
      <c r="E268" s="14" t="s">
        <v>1967</v>
      </c>
      <c r="F268" s="150" t="s">
        <v>3564</v>
      </c>
      <c r="G268" s="151" t="s">
        <v>3565</v>
      </c>
      <c r="H268" s="68" t="s">
        <v>3566</v>
      </c>
      <c r="I268" s="5" t="s">
        <v>1469</v>
      </c>
      <c r="J268" s="150">
        <v>45505</v>
      </c>
      <c r="K268" s="5">
        <v>32</v>
      </c>
      <c r="L268" s="5">
        <v>5</v>
      </c>
      <c r="M268" s="12" t="s">
        <v>1501</v>
      </c>
      <c r="N268" s="150" t="s">
        <v>3567</v>
      </c>
      <c r="O268" s="5" t="s">
        <v>1028</v>
      </c>
      <c r="P268" s="47" t="s">
        <v>3568</v>
      </c>
      <c r="Q268" s="47" t="s">
        <v>3569</v>
      </c>
      <c r="R268" s="190" t="s">
        <v>3570</v>
      </c>
      <c r="S268" s="14" t="s">
        <v>3571</v>
      </c>
      <c r="T268" s="20">
        <v>2021116602</v>
      </c>
      <c r="U268" s="150">
        <v>48183</v>
      </c>
      <c r="V268" s="11" t="s">
        <v>3448</v>
      </c>
      <c r="W268" s="14" t="s">
        <v>3572</v>
      </c>
      <c r="X268" s="12"/>
      <c r="Y268" s="12"/>
      <c r="Z268" s="154"/>
    </row>
    <row r="269" spans="1:26" ht="34.5" customHeight="1" x14ac:dyDescent="0.25">
      <c r="A269" s="5">
        <v>20</v>
      </c>
      <c r="B269" s="12" t="s">
        <v>3573</v>
      </c>
      <c r="C269" s="5" t="s">
        <v>18</v>
      </c>
      <c r="D269" s="5" t="s">
        <v>3574</v>
      </c>
      <c r="E269" s="14" t="s">
        <v>1456</v>
      </c>
      <c r="F269" s="150" t="s">
        <v>3575</v>
      </c>
      <c r="G269" s="151" t="s">
        <v>3576</v>
      </c>
      <c r="H269" s="68" t="s">
        <v>3577</v>
      </c>
      <c r="I269" s="5" t="s">
        <v>1469</v>
      </c>
      <c r="J269" s="150">
        <v>45505</v>
      </c>
      <c r="K269" s="5">
        <v>33</v>
      </c>
      <c r="L269" s="5">
        <v>5</v>
      </c>
      <c r="M269" s="12" t="s">
        <v>1424</v>
      </c>
      <c r="N269" s="150">
        <v>45200</v>
      </c>
      <c r="O269" s="5" t="s">
        <v>1028</v>
      </c>
      <c r="P269" s="47" t="s">
        <v>3578</v>
      </c>
      <c r="Q269" s="47" t="s">
        <v>3579</v>
      </c>
      <c r="R269" s="9" t="s">
        <v>3580</v>
      </c>
      <c r="S269" s="14" t="s">
        <v>3581</v>
      </c>
      <c r="T269" s="20">
        <v>2016076001</v>
      </c>
      <c r="U269" s="150">
        <v>45870</v>
      </c>
      <c r="V269" s="11" t="s">
        <v>3582</v>
      </c>
      <c r="W269" s="14" t="s">
        <v>3583</v>
      </c>
      <c r="X269" s="12"/>
      <c r="Y269" s="12"/>
      <c r="Z269" s="154"/>
    </row>
    <row r="270" spans="1:26" ht="34.5" customHeight="1" x14ac:dyDescent="0.25">
      <c r="A270" s="5">
        <v>21</v>
      </c>
      <c r="B270" s="12" t="s">
        <v>3584</v>
      </c>
      <c r="C270" s="5" t="s">
        <v>18</v>
      </c>
      <c r="D270" s="5" t="s">
        <v>3585</v>
      </c>
      <c r="E270" s="14" t="s">
        <v>2694</v>
      </c>
      <c r="F270" s="150" t="s">
        <v>3586</v>
      </c>
      <c r="G270" s="151" t="s">
        <v>3587</v>
      </c>
      <c r="H270" s="68" t="s">
        <v>3588</v>
      </c>
      <c r="I270" s="5" t="s">
        <v>1469</v>
      </c>
      <c r="J270" s="150">
        <v>42278</v>
      </c>
      <c r="K270" s="5">
        <v>20</v>
      </c>
      <c r="L270" s="5">
        <v>1</v>
      </c>
      <c r="M270" s="12" t="s">
        <v>1501</v>
      </c>
      <c r="N270" s="150" t="s">
        <v>3589</v>
      </c>
      <c r="O270" s="5" t="s">
        <v>1028</v>
      </c>
      <c r="P270" s="47" t="s">
        <v>3590</v>
      </c>
      <c r="Q270" s="47" t="s">
        <v>3591</v>
      </c>
      <c r="R270" s="9" t="s">
        <v>1550</v>
      </c>
      <c r="S270" s="14" t="s">
        <v>3592</v>
      </c>
      <c r="T270" s="20">
        <v>2005046801</v>
      </c>
      <c r="U270" s="150">
        <v>48700</v>
      </c>
      <c r="V270" s="11" t="s">
        <v>3448</v>
      </c>
      <c r="W270" s="14" t="s">
        <v>3593</v>
      </c>
      <c r="X270" s="12"/>
      <c r="Y270" s="12"/>
      <c r="Z270" s="154"/>
    </row>
    <row r="271" spans="1:26" ht="34.5" customHeight="1" x14ac:dyDescent="0.25">
      <c r="A271" s="5">
        <v>22</v>
      </c>
      <c r="B271" s="12" t="s">
        <v>3594</v>
      </c>
      <c r="C271" s="5" t="s">
        <v>18</v>
      </c>
      <c r="D271" s="5" t="s">
        <v>3595</v>
      </c>
      <c r="E271" s="14" t="s">
        <v>1811</v>
      </c>
      <c r="F271" s="150" t="s">
        <v>3596</v>
      </c>
      <c r="G271" s="151" t="s">
        <v>3597</v>
      </c>
      <c r="H271" s="68" t="s">
        <v>3598</v>
      </c>
      <c r="I271" s="5" t="s">
        <v>1469</v>
      </c>
      <c r="J271" s="150">
        <v>42095</v>
      </c>
      <c r="K271" s="5">
        <v>23</v>
      </c>
      <c r="L271" s="5">
        <v>1</v>
      </c>
      <c r="M271" s="12" t="s">
        <v>1501</v>
      </c>
      <c r="N271" s="150" t="s">
        <v>3392</v>
      </c>
      <c r="O271" s="5" t="s">
        <v>1028</v>
      </c>
      <c r="P271" s="47" t="s">
        <v>3599</v>
      </c>
      <c r="Q271" s="47" t="s">
        <v>3600</v>
      </c>
      <c r="R271" s="9" t="s">
        <v>3601</v>
      </c>
      <c r="S271" s="14" t="s">
        <v>3602</v>
      </c>
      <c r="T271" s="20">
        <v>2004036102</v>
      </c>
      <c r="U271" s="150">
        <v>46113</v>
      </c>
      <c r="V271" s="11" t="s">
        <v>3397</v>
      </c>
      <c r="W271" s="14" t="s">
        <v>3410</v>
      </c>
      <c r="X271" s="11"/>
      <c r="Y271" s="5"/>
      <c r="Z271" s="154"/>
    </row>
    <row r="272" spans="1:26" ht="34.5" customHeight="1" x14ac:dyDescent="0.25">
      <c r="A272" s="5">
        <v>23</v>
      </c>
      <c r="B272" s="12" t="s">
        <v>3603</v>
      </c>
      <c r="C272" s="5" t="s">
        <v>18</v>
      </c>
      <c r="D272" s="5" t="s">
        <v>3604</v>
      </c>
      <c r="E272" s="14" t="s">
        <v>1555</v>
      </c>
      <c r="F272" s="150" t="s">
        <v>3605</v>
      </c>
      <c r="G272" s="151" t="s">
        <v>3606</v>
      </c>
      <c r="H272" s="68" t="s">
        <v>3607</v>
      </c>
      <c r="I272" s="5" t="s">
        <v>1558</v>
      </c>
      <c r="J272" s="150">
        <v>45505</v>
      </c>
      <c r="K272" s="5">
        <v>30</v>
      </c>
      <c r="L272" s="5">
        <v>5</v>
      </c>
      <c r="M272" s="12" t="s">
        <v>1501</v>
      </c>
      <c r="N272" s="150" t="s">
        <v>2878</v>
      </c>
      <c r="O272" s="5" t="s">
        <v>982</v>
      </c>
      <c r="P272" s="47" t="s">
        <v>3608</v>
      </c>
      <c r="Q272" s="47" t="s">
        <v>3579</v>
      </c>
      <c r="R272" s="9"/>
      <c r="S272" s="14" t="s">
        <v>3609</v>
      </c>
      <c r="T272" s="20">
        <v>2014046701</v>
      </c>
      <c r="U272" s="150">
        <v>48335</v>
      </c>
      <c r="V272" s="11" t="s">
        <v>3610</v>
      </c>
      <c r="W272" s="14" t="s">
        <v>3611</v>
      </c>
      <c r="X272" s="11"/>
      <c r="Y272" s="51"/>
      <c r="Z272" s="154"/>
    </row>
    <row r="273" spans="1:26" ht="34.5" customHeight="1" x14ac:dyDescent="0.25">
      <c r="A273" s="5">
        <v>24</v>
      </c>
      <c r="B273" s="12" t="s">
        <v>3612</v>
      </c>
      <c r="C273" s="5" t="s">
        <v>18</v>
      </c>
      <c r="D273" s="5" t="s">
        <v>3613</v>
      </c>
      <c r="E273" s="14" t="s">
        <v>3614</v>
      </c>
      <c r="F273" s="150" t="s">
        <v>3615</v>
      </c>
      <c r="G273" s="151" t="s">
        <v>3616</v>
      </c>
      <c r="H273" s="68" t="s">
        <v>3617</v>
      </c>
      <c r="I273" s="5" t="s">
        <v>1699</v>
      </c>
      <c r="J273" s="150" t="s">
        <v>3618</v>
      </c>
      <c r="K273" s="5">
        <v>15</v>
      </c>
      <c r="L273" s="5">
        <v>7</v>
      </c>
      <c r="M273" s="12" t="s">
        <v>1501</v>
      </c>
      <c r="N273" s="150" t="s">
        <v>3619</v>
      </c>
      <c r="O273" s="5" t="s">
        <v>982</v>
      </c>
      <c r="P273" s="47" t="s">
        <v>3620</v>
      </c>
      <c r="Q273" s="47" t="s">
        <v>3621</v>
      </c>
      <c r="R273" s="9"/>
      <c r="S273" s="14" t="s">
        <v>3622</v>
      </c>
      <c r="T273" s="20">
        <v>2005046501</v>
      </c>
      <c r="U273" s="150">
        <v>47604</v>
      </c>
      <c r="V273" s="9" t="s">
        <v>3623</v>
      </c>
      <c r="W273" s="14" t="s">
        <v>3624</v>
      </c>
      <c r="X273" s="11"/>
      <c r="Y273" s="51"/>
      <c r="Z273" s="154"/>
    </row>
    <row r="274" spans="1:26" ht="34.5" customHeight="1" x14ac:dyDescent="0.25">
      <c r="A274" s="5">
        <v>25</v>
      </c>
      <c r="B274" s="12" t="s">
        <v>3625</v>
      </c>
      <c r="C274" s="5" t="s">
        <v>18</v>
      </c>
      <c r="D274" s="5" t="s">
        <v>3626</v>
      </c>
      <c r="E274" s="14" t="s">
        <v>3627</v>
      </c>
      <c r="F274" s="150" t="s">
        <v>3628</v>
      </c>
      <c r="G274" s="151" t="s">
        <v>3629</v>
      </c>
      <c r="H274" s="68" t="s">
        <v>3630</v>
      </c>
      <c r="I274" s="10" t="s">
        <v>1469</v>
      </c>
      <c r="J274" s="161">
        <v>45383</v>
      </c>
      <c r="K274" s="5">
        <v>33</v>
      </c>
      <c r="L274" s="5">
        <v>1</v>
      </c>
      <c r="M274" s="12" t="s">
        <v>1501</v>
      </c>
      <c r="N274" s="150" t="s">
        <v>3631</v>
      </c>
      <c r="O274" s="5" t="s">
        <v>1028</v>
      </c>
      <c r="P274" s="47" t="s">
        <v>3632</v>
      </c>
      <c r="Q274" s="47" t="s">
        <v>3633</v>
      </c>
      <c r="R274" s="9" t="s">
        <v>3634</v>
      </c>
      <c r="S274" s="14" t="s">
        <v>3635</v>
      </c>
      <c r="T274" s="20">
        <v>2028076301</v>
      </c>
      <c r="U274" s="150">
        <v>46966</v>
      </c>
      <c r="V274" s="11" t="s">
        <v>3553</v>
      </c>
      <c r="W274" s="14" t="s">
        <v>3636</v>
      </c>
      <c r="X274" s="11"/>
      <c r="Y274" s="5"/>
      <c r="Z274" s="154"/>
    </row>
    <row r="275" spans="1:26" ht="34.5" customHeight="1" x14ac:dyDescent="0.25">
      <c r="A275" s="5">
        <v>26</v>
      </c>
      <c r="B275" s="12" t="s">
        <v>3637</v>
      </c>
      <c r="C275" s="5" t="s">
        <v>18</v>
      </c>
      <c r="D275" s="5" t="s">
        <v>3638</v>
      </c>
      <c r="E275" s="14" t="s">
        <v>3639</v>
      </c>
      <c r="F275" s="150" t="s">
        <v>3640</v>
      </c>
      <c r="G275" s="151" t="s">
        <v>3641</v>
      </c>
      <c r="H275" s="68" t="s">
        <v>3642</v>
      </c>
      <c r="I275" s="5" t="s">
        <v>1469</v>
      </c>
      <c r="J275" s="150">
        <v>45566</v>
      </c>
      <c r="K275" s="5">
        <v>28</v>
      </c>
      <c r="L275" s="5">
        <v>7</v>
      </c>
      <c r="M275" s="12" t="s">
        <v>1501</v>
      </c>
      <c r="N275" s="150" t="s">
        <v>3643</v>
      </c>
      <c r="O275" s="5" t="s">
        <v>1028</v>
      </c>
      <c r="P275" s="47" t="s">
        <v>3644</v>
      </c>
      <c r="Q275" s="195" t="s">
        <v>3645</v>
      </c>
      <c r="R275" s="9" t="s">
        <v>3646</v>
      </c>
      <c r="S275" s="14" t="s">
        <v>3647</v>
      </c>
      <c r="T275" s="20">
        <v>2015107002</v>
      </c>
      <c r="U275" s="150">
        <v>49614</v>
      </c>
      <c r="V275" s="196" t="s">
        <v>3553</v>
      </c>
      <c r="W275" s="14" t="s">
        <v>3648</v>
      </c>
      <c r="X275" s="11"/>
      <c r="Y275" s="51"/>
      <c r="Z275" s="154"/>
    </row>
    <row r="276" spans="1:26" ht="34.5" customHeight="1" x14ac:dyDescent="0.25">
      <c r="A276" s="5">
        <v>27</v>
      </c>
      <c r="B276" s="12" t="s">
        <v>3649</v>
      </c>
      <c r="C276" s="5" t="s">
        <v>18</v>
      </c>
      <c r="D276" s="10" t="s">
        <v>3650</v>
      </c>
      <c r="E276" s="14" t="s">
        <v>1555</v>
      </c>
      <c r="F276" s="150" t="s">
        <v>3651</v>
      </c>
      <c r="G276" s="8" t="s">
        <v>3652</v>
      </c>
      <c r="H276" s="68" t="s">
        <v>3653</v>
      </c>
      <c r="I276" s="5" t="s">
        <v>1558</v>
      </c>
      <c r="J276" s="150">
        <v>45505</v>
      </c>
      <c r="K276" s="5">
        <v>24</v>
      </c>
      <c r="L276" s="5">
        <v>5</v>
      </c>
      <c r="M276" s="12" t="s">
        <v>1501</v>
      </c>
      <c r="N276" s="150" t="s">
        <v>3654</v>
      </c>
      <c r="O276" s="5" t="s">
        <v>1028</v>
      </c>
      <c r="P276" s="47" t="s">
        <v>3655</v>
      </c>
      <c r="Q276" s="47" t="s">
        <v>3656</v>
      </c>
      <c r="R276" s="9" t="s">
        <v>3657</v>
      </c>
      <c r="S276" s="162">
        <v>102100504710</v>
      </c>
      <c r="T276" s="20" t="s">
        <v>3658</v>
      </c>
      <c r="U276" s="150">
        <v>49310</v>
      </c>
      <c r="V276" s="11" t="s">
        <v>3659</v>
      </c>
      <c r="W276" s="14" t="s">
        <v>3660</v>
      </c>
      <c r="X276" s="12"/>
      <c r="Y276" s="12"/>
      <c r="Z276" s="154"/>
    </row>
    <row r="277" spans="1:26" ht="34.5" customHeight="1" x14ac:dyDescent="0.25">
      <c r="A277" s="5">
        <v>28</v>
      </c>
      <c r="B277" s="12" t="s">
        <v>3661</v>
      </c>
      <c r="C277" s="5" t="s">
        <v>18</v>
      </c>
      <c r="D277" s="5" t="s">
        <v>3662</v>
      </c>
      <c r="E277" s="14" t="s">
        <v>1555</v>
      </c>
      <c r="F277" s="150" t="s">
        <v>3663</v>
      </c>
      <c r="G277" s="151" t="s">
        <v>3664</v>
      </c>
      <c r="H277" s="68" t="s">
        <v>3665</v>
      </c>
      <c r="I277" s="5" t="s">
        <v>1558</v>
      </c>
      <c r="J277" s="150">
        <v>45444</v>
      </c>
      <c r="K277" s="5">
        <v>32</v>
      </c>
      <c r="L277" s="5">
        <v>3</v>
      </c>
      <c r="M277" s="12" t="s">
        <v>1501</v>
      </c>
      <c r="N277" s="150" t="s">
        <v>3666</v>
      </c>
      <c r="O277" s="5" t="s">
        <v>1028</v>
      </c>
      <c r="P277" s="47" t="s">
        <v>3599</v>
      </c>
      <c r="Q277" s="47" t="s">
        <v>3667</v>
      </c>
      <c r="R277" s="9" t="s">
        <v>3668</v>
      </c>
      <c r="S277" s="14" t="s">
        <v>3669</v>
      </c>
      <c r="T277" s="20">
        <v>2026026301</v>
      </c>
      <c r="U277" s="150">
        <v>46813</v>
      </c>
      <c r="V277" s="9" t="s">
        <v>3623</v>
      </c>
      <c r="W277" s="14" t="s">
        <v>3535</v>
      </c>
      <c r="X277" s="11"/>
      <c r="Y277" s="5"/>
      <c r="Z277" s="154"/>
    </row>
    <row r="278" spans="1:26" ht="34.5" customHeight="1" x14ac:dyDescent="0.25">
      <c r="A278" s="5">
        <v>29</v>
      </c>
      <c r="B278" s="12" t="s">
        <v>3670</v>
      </c>
      <c r="C278" s="5" t="s">
        <v>46</v>
      </c>
      <c r="D278" s="5" t="s">
        <v>3671</v>
      </c>
      <c r="E278" s="14" t="s">
        <v>1648</v>
      </c>
      <c r="F278" s="150">
        <v>24437</v>
      </c>
      <c r="G278" s="151" t="s">
        <v>3672</v>
      </c>
      <c r="H278" s="68" t="s">
        <v>3673</v>
      </c>
      <c r="I278" s="5" t="s">
        <v>1558</v>
      </c>
      <c r="J278" s="150">
        <v>45444</v>
      </c>
      <c r="K278" s="5">
        <v>28</v>
      </c>
      <c r="L278" s="5">
        <v>3</v>
      </c>
      <c r="M278" s="12" t="s">
        <v>1501</v>
      </c>
      <c r="N278" s="150">
        <v>41275</v>
      </c>
      <c r="O278" s="5" t="s">
        <v>982</v>
      </c>
      <c r="P278" s="47" t="s">
        <v>3674</v>
      </c>
      <c r="Q278" s="9" t="s">
        <v>3675</v>
      </c>
      <c r="R278" s="9"/>
      <c r="S278" s="162" t="s">
        <v>3676</v>
      </c>
      <c r="T278" s="20" t="s">
        <v>3677</v>
      </c>
      <c r="U278" s="150">
        <v>48183</v>
      </c>
      <c r="V278" s="11" t="s">
        <v>3659</v>
      </c>
      <c r="W278" s="14" t="s">
        <v>3678</v>
      </c>
      <c r="X278" s="89"/>
      <c r="Y278" s="89"/>
      <c r="Z278" s="89"/>
    </row>
    <row r="279" spans="1:26" ht="34.5" customHeight="1" x14ac:dyDescent="0.25">
      <c r="A279" s="5">
        <v>30</v>
      </c>
      <c r="B279" s="12" t="s">
        <v>3679</v>
      </c>
      <c r="C279" s="5" t="s">
        <v>18</v>
      </c>
      <c r="D279" s="5" t="s">
        <v>3680</v>
      </c>
      <c r="E279" s="14" t="s">
        <v>2114</v>
      </c>
      <c r="F279" s="150" t="s">
        <v>3681</v>
      </c>
      <c r="G279" s="151" t="s">
        <v>3682</v>
      </c>
      <c r="H279" s="68" t="s">
        <v>3683</v>
      </c>
      <c r="I279" s="5" t="s">
        <v>1469</v>
      </c>
      <c r="J279" s="150">
        <v>43556</v>
      </c>
      <c r="K279" s="5">
        <v>21</v>
      </c>
      <c r="L279" s="5">
        <v>1</v>
      </c>
      <c r="M279" s="12" t="s">
        <v>1501</v>
      </c>
      <c r="N279" s="150">
        <v>41306</v>
      </c>
      <c r="O279" s="5" t="s">
        <v>1028</v>
      </c>
      <c r="P279" s="47" t="s">
        <v>3684</v>
      </c>
      <c r="Q279" s="47" t="s">
        <v>3456</v>
      </c>
      <c r="R279" s="190" t="s">
        <v>3395</v>
      </c>
      <c r="S279" s="14" t="s">
        <v>3685</v>
      </c>
      <c r="T279" s="20">
        <v>2015096801</v>
      </c>
      <c r="U279" s="150">
        <v>48853</v>
      </c>
      <c r="V279" s="11" t="s">
        <v>3397</v>
      </c>
      <c r="W279" s="14" t="s">
        <v>3686</v>
      </c>
      <c r="X279" s="89"/>
      <c r="Y279" s="89"/>
      <c r="Z279" s="164"/>
    </row>
    <row r="280" spans="1:26" ht="34.5" customHeight="1" x14ac:dyDescent="0.25">
      <c r="A280" s="5">
        <v>31</v>
      </c>
      <c r="B280" s="12" t="s">
        <v>3687</v>
      </c>
      <c r="C280" s="5" t="s">
        <v>18</v>
      </c>
      <c r="D280" s="5" t="s">
        <v>3688</v>
      </c>
      <c r="E280" s="14" t="s">
        <v>1456</v>
      </c>
      <c r="F280" s="150" t="s">
        <v>3689</v>
      </c>
      <c r="G280" s="151" t="s">
        <v>3690</v>
      </c>
      <c r="H280" s="68" t="s">
        <v>3691</v>
      </c>
      <c r="I280" s="5" t="s">
        <v>1469</v>
      </c>
      <c r="J280" s="150">
        <v>45566</v>
      </c>
      <c r="K280" s="5">
        <v>27</v>
      </c>
      <c r="L280" s="5">
        <v>1</v>
      </c>
      <c r="M280" s="12" t="s">
        <v>1501</v>
      </c>
      <c r="N280" s="150">
        <v>41365</v>
      </c>
      <c r="O280" s="5" t="s">
        <v>1028</v>
      </c>
      <c r="P280" s="9" t="s">
        <v>3692</v>
      </c>
      <c r="Q280" s="9" t="s">
        <v>3693</v>
      </c>
      <c r="R280" s="9" t="s">
        <v>3694</v>
      </c>
      <c r="S280" s="162" t="s">
        <v>3695</v>
      </c>
      <c r="T280" s="20">
        <v>2007047201</v>
      </c>
      <c r="U280" s="150">
        <v>46508</v>
      </c>
      <c r="V280" s="11" t="s">
        <v>999</v>
      </c>
      <c r="W280" s="14" t="s">
        <v>3696</v>
      </c>
      <c r="X280" s="11"/>
      <c r="Y280" s="51"/>
      <c r="Z280" s="154"/>
    </row>
    <row r="281" spans="1:26" ht="34.5" customHeight="1" x14ac:dyDescent="0.25">
      <c r="A281" s="5">
        <v>32</v>
      </c>
      <c r="B281" s="12" t="s">
        <v>3697</v>
      </c>
      <c r="C281" s="5" t="s">
        <v>18</v>
      </c>
      <c r="D281" s="5" t="s">
        <v>3680</v>
      </c>
      <c r="E281" s="14" t="s">
        <v>1536</v>
      </c>
      <c r="F281" s="150" t="s">
        <v>3698</v>
      </c>
      <c r="G281" s="151" t="s">
        <v>3699</v>
      </c>
      <c r="H281" s="68" t="s">
        <v>3700</v>
      </c>
      <c r="I281" s="5" t="s">
        <v>1469</v>
      </c>
      <c r="J281" s="150">
        <v>44470</v>
      </c>
      <c r="K281" s="5">
        <v>24</v>
      </c>
      <c r="L281" s="5">
        <v>7</v>
      </c>
      <c r="M281" s="12" t="s">
        <v>1501</v>
      </c>
      <c r="N281" s="150">
        <v>41365</v>
      </c>
      <c r="O281" s="5" t="s">
        <v>982</v>
      </c>
      <c r="P281" s="47" t="s">
        <v>3701</v>
      </c>
      <c r="Q281" s="47" t="s">
        <v>3702</v>
      </c>
      <c r="R281" s="9"/>
      <c r="S281" s="14" t="s">
        <v>3703</v>
      </c>
      <c r="T281" s="20">
        <v>2030017002</v>
      </c>
      <c r="U281" s="150">
        <v>49341</v>
      </c>
      <c r="V281" s="11" t="s">
        <v>3704</v>
      </c>
      <c r="W281" s="11" t="s">
        <v>3705</v>
      </c>
      <c r="X281" s="11"/>
      <c r="Y281" s="5"/>
      <c r="Z281" s="154" t="s">
        <v>3706</v>
      </c>
    </row>
    <row r="282" spans="1:26" ht="34.5" customHeight="1" x14ac:dyDescent="0.25">
      <c r="A282" s="5">
        <v>33</v>
      </c>
      <c r="B282" s="12" t="s">
        <v>3707</v>
      </c>
      <c r="C282" s="5" t="s">
        <v>46</v>
      </c>
      <c r="D282" s="5" t="s">
        <v>3708</v>
      </c>
      <c r="E282" s="14" t="s">
        <v>1489</v>
      </c>
      <c r="F282" s="150" t="s">
        <v>3709</v>
      </c>
      <c r="G282" s="151" t="s">
        <v>3710</v>
      </c>
      <c r="H282" s="68" t="s">
        <v>3711</v>
      </c>
      <c r="I282" s="5" t="s">
        <v>1558</v>
      </c>
      <c r="J282" s="150">
        <v>44470</v>
      </c>
      <c r="K282" s="5">
        <v>33</v>
      </c>
      <c r="L282" s="5">
        <v>7</v>
      </c>
      <c r="M282" s="12" t="s">
        <v>1501</v>
      </c>
      <c r="N282" s="150">
        <v>41365</v>
      </c>
      <c r="O282" s="5" t="s">
        <v>982</v>
      </c>
      <c r="P282" s="9" t="s">
        <v>3712</v>
      </c>
      <c r="Q282" s="9" t="s">
        <v>3713</v>
      </c>
      <c r="R282" s="9"/>
      <c r="S282" s="162" t="s">
        <v>3714</v>
      </c>
      <c r="T282" s="20">
        <v>2029116202</v>
      </c>
      <c r="U282" s="150">
        <v>46722</v>
      </c>
      <c r="V282" s="11" t="s">
        <v>999</v>
      </c>
      <c r="W282" s="14" t="s">
        <v>3715</v>
      </c>
      <c r="X282" s="11"/>
      <c r="Y282" s="51"/>
      <c r="Z282" s="154"/>
    </row>
    <row r="283" spans="1:26" ht="34.5" customHeight="1" x14ac:dyDescent="0.25">
      <c r="A283" s="5">
        <v>34</v>
      </c>
      <c r="B283" s="14" t="s">
        <v>3716</v>
      </c>
      <c r="C283" s="5" t="s">
        <v>18</v>
      </c>
      <c r="D283" s="10" t="s">
        <v>3717</v>
      </c>
      <c r="E283" s="14" t="s">
        <v>1489</v>
      </c>
      <c r="F283" s="150" t="s">
        <v>3718</v>
      </c>
      <c r="G283" s="8" t="s">
        <v>3719</v>
      </c>
      <c r="H283" s="68" t="s">
        <v>3720</v>
      </c>
      <c r="I283" s="5" t="s">
        <v>1699</v>
      </c>
      <c r="J283" s="150">
        <v>41548</v>
      </c>
      <c r="K283" s="5">
        <v>21</v>
      </c>
      <c r="L283" s="5">
        <v>7</v>
      </c>
      <c r="M283" s="12" t="s">
        <v>1501</v>
      </c>
      <c r="N283" s="150">
        <v>41426</v>
      </c>
      <c r="O283" s="5" t="s">
        <v>982</v>
      </c>
      <c r="P283" s="11" t="s">
        <v>3721</v>
      </c>
      <c r="Q283" s="11" t="s">
        <v>3722</v>
      </c>
      <c r="R283" s="168"/>
      <c r="S283" s="162" t="s">
        <v>3723</v>
      </c>
      <c r="T283" s="20">
        <v>2026126701</v>
      </c>
      <c r="U283" s="150">
        <v>48580</v>
      </c>
      <c r="V283" s="11" t="s">
        <v>3724</v>
      </c>
      <c r="W283" s="14" t="s">
        <v>3725</v>
      </c>
      <c r="X283" s="9"/>
      <c r="Y283" s="51"/>
      <c r="Z283" s="154"/>
    </row>
    <row r="284" spans="1:26" ht="34.5" customHeight="1" x14ac:dyDescent="0.25">
      <c r="A284" s="5">
        <v>35</v>
      </c>
      <c r="B284" s="14" t="s">
        <v>3726</v>
      </c>
      <c r="C284" s="5" t="s">
        <v>46</v>
      </c>
      <c r="D284" s="10" t="s">
        <v>3727</v>
      </c>
      <c r="E284" s="14" t="s">
        <v>2184</v>
      </c>
      <c r="F284" s="150" t="s">
        <v>3728</v>
      </c>
      <c r="G284" s="8" t="s">
        <v>3729</v>
      </c>
      <c r="H284" s="68" t="s">
        <v>3730</v>
      </c>
      <c r="I284" s="5" t="s">
        <v>1558</v>
      </c>
      <c r="J284" s="150">
        <v>45627</v>
      </c>
      <c r="K284" s="5">
        <v>33</v>
      </c>
      <c r="L284" s="5">
        <v>9</v>
      </c>
      <c r="M284" s="12" t="s">
        <v>1501</v>
      </c>
      <c r="N284" s="150">
        <v>41426</v>
      </c>
      <c r="O284" s="5" t="s">
        <v>982</v>
      </c>
      <c r="P284" s="11" t="s">
        <v>3731</v>
      </c>
      <c r="Q284" s="11" t="s">
        <v>3732</v>
      </c>
      <c r="R284" s="168" t="s">
        <v>1084</v>
      </c>
      <c r="S284" s="162" t="s">
        <v>3733</v>
      </c>
      <c r="T284" s="20">
        <v>2023056501</v>
      </c>
      <c r="U284" s="150">
        <v>47635</v>
      </c>
      <c r="V284" s="11" t="s">
        <v>3724</v>
      </c>
      <c r="W284" s="14" t="s">
        <v>3734</v>
      </c>
      <c r="X284" s="9"/>
      <c r="Y284" s="51"/>
      <c r="Z284" s="154"/>
    </row>
    <row r="285" spans="1:26" ht="34.5" customHeight="1" x14ac:dyDescent="0.25">
      <c r="A285" s="5">
        <v>36</v>
      </c>
      <c r="B285" s="12" t="s">
        <v>3735</v>
      </c>
      <c r="C285" s="5" t="s">
        <v>46</v>
      </c>
      <c r="D285" s="5" t="s">
        <v>3736</v>
      </c>
      <c r="E285" s="14" t="s">
        <v>3737</v>
      </c>
      <c r="F285" s="150" t="s">
        <v>3738</v>
      </c>
      <c r="G285" s="151" t="s">
        <v>3739</v>
      </c>
      <c r="H285" s="68" t="s">
        <v>3740</v>
      </c>
      <c r="I285" s="5" t="s">
        <v>1558</v>
      </c>
      <c r="J285" s="150">
        <v>45383</v>
      </c>
      <c r="K285" s="5">
        <v>25</v>
      </c>
      <c r="L285" s="5">
        <v>1</v>
      </c>
      <c r="M285" s="12" t="s">
        <v>1501</v>
      </c>
      <c r="N285" s="150">
        <v>42461</v>
      </c>
      <c r="O285" s="5" t="s">
        <v>1028</v>
      </c>
      <c r="P285" s="47" t="s">
        <v>3741</v>
      </c>
      <c r="Q285" s="47" t="s">
        <v>3742</v>
      </c>
      <c r="R285" s="47" t="s">
        <v>3743</v>
      </c>
      <c r="S285" s="162">
        <v>102100504742</v>
      </c>
      <c r="T285" s="166">
        <v>2005027101</v>
      </c>
      <c r="U285" s="150">
        <v>49735</v>
      </c>
      <c r="V285" s="11" t="s">
        <v>3744</v>
      </c>
      <c r="W285" s="11" t="s">
        <v>3745</v>
      </c>
      <c r="X285" s="89"/>
      <c r="Y285" s="89"/>
      <c r="Z285" s="89"/>
    </row>
    <row r="286" spans="1:26" ht="34.5" customHeight="1" x14ac:dyDescent="0.25">
      <c r="A286" s="5">
        <v>37</v>
      </c>
      <c r="B286" s="14" t="s">
        <v>3746</v>
      </c>
      <c r="C286" s="5" t="s">
        <v>18</v>
      </c>
      <c r="D286" s="10" t="s">
        <v>3747</v>
      </c>
      <c r="E286" s="14" t="s">
        <v>1942</v>
      </c>
      <c r="F286" s="150">
        <v>29139</v>
      </c>
      <c r="G286" s="8" t="s">
        <v>3748</v>
      </c>
      <c r="H286" s="68" t="s">
        <v>3749</v>
      </c>
      <c r="I286" s="5" t="s">
        <v>1469</v>
      </c>
      <c r="J286" s="150">
        <v>45566</v>
      </c>
      <c r="K286" s="5">
        <v>14</v>
      </c>
      <c r="L286" s="5">
        <v>10</v>
      </c>
      <c r="M286" s="12" t="s">
        <v>1424</v>
      </c>
      <c r="N286" s="150">
        <v>45139</v>
      </c>
      <c r="O286" s="5" t="s">
        <v>1028</v>
      </c>
      <c r="P286" s="11" t="s">
        <v>3750</v>
      </c>
      <c r="Q286" s="11" t="s">
        <v>3751</v>
      </c>
      <c r="R286" s="168" t="s">
        <v>3752</v>
      </c>
      <c r="S286" s="162">
        <v>132100511961</v>
      </c>
      <c r="T286" s="20">
        <v>2011107901</v>
      </c>
      <c r="U286" s="150">
        <v>52902</v>
      </c>
      <c r="V286" s="11" t="s">
        <v>3724</v>
      </c>
      <c r="W286" s="14" t="s">
        <v>3753</v>
      </c>
      <c r="X286" s="89"/>
      <c r="Y286" s="89"/>
      <c r="Z286" s="89"/>
    </row>
    <row r="287" spans="1:26" ht="34.5" customHeight="1" x14ac:dyDescent="0.25">
      <c r="A287" s="5">
        <v>38</v>
      </c>
      <c r="B287" s="14" t="s">
        <v>3754</v>
      </c>
      <c r="C287" s="5" t="s">
        <v>46</v>
      </c>
      <c r="D287" s="10" t="s">
        <v>3755</v>
      </c>
      <c r="E287" s="14" t="s">
        <v>1950</v>
      </c>
      <c r="F287" s="150">
        <v>31537</v>
      </c>
      <c r="G287" s="8" t="s">
        <v>3756</v>
      </c>
      <c r="H287" s="68" t="s">
        <v>3757</v>
      </c>
      <c r="I287" s="5" t="s">
        <v>1558</v>
      </c>
      <c r="J287" s="150">
        <v>45017</v>
      </c>
      <c r="K287" s="5">
        <v>13</v>
      </c>
      <c r="L287" s="5">
        <v>4</v>
      </c>
      <c r="M287" s="12" t="s">
        <v>1501</v>
      </c>
      <c r="N287" s="150">
        <v>43770</v>
      </c>
      <c r="O287" s="5" t="s">
        <v>1028</v>
      </c>
      <c r="P287" s="11" t="s">
        <v>3758</v>
      </c>
      <c r="Q287" s="11" t="s">
        <v>3759</v>
      </c>
      <c r="R287" s="11" t="s">
        <v>3760</v>
      </c>
      <c r="S287" s="162">
        <v>132100511945</v>
      </c>
      <c r="T287" s="20">
        <v>2005058601</v>
      </c>
      <c r="U287" s="150">
        <v>55305</v>
      </c>
      <c r="V287" s="11" t="s">
        <v>3744</v>
      </c>
      <c r="W287" s="14" t="s">
        <v>3761</v>
      </c>
      <c r="X287" s="9" t="s">
        <v>3762</v>
      </c>
      <c r="Y287" s="51">
        <v>45586</v>
      </c>
      <c r="Z287" s="154"/>
    </row>
    <row r="288" spans="1:26" ht="34.5" customHeight="1" x14ac:dyDescent="0.25">
      <c r="A288" s="5">
        <v>39</v>
      </c>
      <c r="B288" s="14" t="s">
        <v>3763</v>
      </c>
      <c r="C288" s="5" t="s">
        <v>18</v>
      </c>
      <c r="D288" s="10" t="s">
        <v>3764</v>
      </c>
      <c r="E288" s="14" t="s">
        <v>1648</v>
      </c>
      <c r="F288" s="150">
        <v>30076</v>
      </c>
      <c r="G288" s="8" t="s">
        <v>3765</v>
      </c>
      <c r="H288" s="68" t="s">
        <v>3766</v>
      </c>
      <c r="I288" s="5" t="s">
        <v>1469</v>
      </c>
      <c r="J288" s="150">
        <v>45566</v>
      </c>
      <c r="K288" s="5">
        <v>13</v>
      </c>
      <c r="L288" s="5">
        <v>9</v>
      </c>
      <c r="M288" s="12" t="s">
        <v>1501</v>
      </c>
      <c r="N288" s="150">
        <v>43891</v>
      </c>
      <c r="O288" s="5" t="s">
        <v>1028</v>
      </c>
      <c r="P288" s="11" t="s">
        <v>3767</v>
      </c>
      <c r="Q288" s="11" t="s">
        <v>3768</v>
      </c>
      <c r="R288" s="168" t="s">
        <v>3769</v>
      </c>
      <c r="S288" s="162">
        <v>132100511944</v>
      </c>
      <c r="T288" s="20">
        <v>2005058202</v>
      </c>
      <c r="U288" s="150">
        <v>53844</v>
      </c>
      <c r="V288" s="11" t="s">
        <v>3744</v>
      </c>
      <c r="W288" s="14" t="s">
        <v>3770</v>
      </c>
      <c r="X288" s="9" t="s">
        <v>3771</v>
      </c>
      <c r="Y288" s="51">
        <v>45579</v>
      </c>
      <c r="Z288" s="154"/>
    </row>
    <row r="289" spans="1:26" ht="34.5" customHeight="1" x14ac:dyDescent="0.25">
      <c r="A289" s="5">
        <v>40</v>
      </c>
      <c r="B289" s="12" t="s">
        <v>3772</v>
      </c>
      <c r="C289" s="5" t="s">
        <v>46</v>
      </c>
      <c r="D289" s="5" t="s">
        <v>3773</v>
      </c>
      <c r="E289" s="14" t="s">
        <v>1696</v>
      </c>
      <c r="F289" s="150" t="s">
        <v>3774</v>
      </c>
      <c r="G289" s="151" t="s">
        <v>3775</v>
      </c>
      <c r="H289" s="68" t="s">
        <v>3776</v>
      </c>
      <c r="I289" s="5" t="s">
        <v>1558</v>
      </c>
      <c r="J289" s="150">
        <v>45200</v>
      </c>
      <c r="K289" s="5">
        <v>27</v>
      </c>
      <c r="L289" s="5">
        <v>7</v>
      </c>
      <c r="M289" s="12" t="s">
        <v>1501</v>
      </c>
      <c r="N289" s="150">
        <v>44378</v>
      </c>
      <c r="O289" s="5" t="s">
        <v>1028</v>
      </c>
      <c r="P289" s="47" t="s">
        <v>3777</v>
      </c>
      <c r="Q289" s="47" t="s">
        <v>3778</v>
      </c>
      <c r="R289" s="9" t="s">
        <v>3779</v>
      </c>
      <c r="S289" s="162">
        <v>102100504729</v>
      </c>
      <c r="T289" s="166">
        <v>2005037202</v>
      </c>
      <c r="U289" s="150">
        <v>50131</v>
      </c>
      <c r="V289" s="11" t="s">
        <v>1044</v>
      </c>
      <c r="W289" s="14" t="s">
        <v>1045</v>
      </c>
      <c r="X289" s="11"/>
      <c r="Y289" s="51"/>
      <c r="Z289" s="154"/>
    </row>
    <row r="290" spans="1:26" ht="34.5" customHeight="1" x14ac:dyDescent="0.25">
      <c r="A290" s="5">
        <v>41</v>
      </c>
      <c r="B290" s="12" t="s">
        <v>3780</v>
      </c>
      <c r="C290" s="5" t="s">
        <v>18</v>
      </c>
      <c r="D290" s="5" t="s">
        <v>3781</v>
      </c>
      <c r="E290" s="14" t="s">
        <v>2941</v>
      </c>
      <c r="F290" s="150" t="s">
        <v>3782</v>
      </c>
      <c r="G290" s="151" t="s">
        <v>3783</v>
      </c>
      <c r="H290" s="68" t="s">
        <v>3784</v>
      </c>
      <c r="I290" s="5" t="s">
        <v>1699</v>
      </c>
      <c r="J290" s="150">
        <v>44835</v>
      </c>
      <c r="K290" s="5">
        <v>24</v>
      </c>
      <c r="L290" s="5">
        <v>7</v>
      </c>
      <c r="M290" s="12" t="s">
        <v>1501</v>
      </c>
      <c r="N290" s="150">
        <v>44621</v>
      </c>
      <c r="O290" s="5" t="s">
        <v>1028</v>
      </c>
      <c r="P290" s="47" t="s">
        <v>3785</v>
      </c>
      <c r="Q290" s="47" t="s">
        <v>3786</v>
      </c>
      <c r="R290" s="9" t="s">
        <v>1427</v>
      </c>
      <c r="S290" s="14" t="s">
        <v>3787</v>
      </c>
      <c r="T290" s="20">
        <v>2015037101</v>
      </c>
      <c r="U290" s="150">
        <v>49766</v>
      </c>
      <c r="V290" s="11" t="s">
        <v>3553</v>
      </c>
      <c r="W290" s="14" t="s">
        <v>3788</v>
      </c>
      <c r="X290" s="11"/>
      <c r="Y290" s="51"/>
      <c r="Z290" s="154"/>
    </row>
    <row r="291" spans="1:26" ht="34.5" customHeight="1" x14ac:dyDescent="0.25">
      <c r="A291" s="5">
        <v>42</v>
      </c>
      <c r="B291" s="14" t="s">
        <v>3789</v>
      </c>
      <c r="C291" s="5" t="s">
        <v>18</v>
      </c>
      <c r="D291" s="5" t="s">
        <v>3790</v>
      </c>
      <c r="E291" s="14" t="s">
        <v>2400</v>
      </c>
      <c r="F291" s="150" t="s">
        <v>3791</v>
      </c>
      <c r="G291" s="8" t="s">
        <v>3792</v>
      </c>
      <c r="H291" s="68" t="s">
        <v>3793</v>
      </c>
      <c r="I291" s="5" t="s">
        <v>1558</v>
      </c>
      <c r="J291" s="150" t="s">
        <v>3794</v>
      </c>
      <c r="K291" s="5">
        <v>16</v>
      </c>
      <c r="L291" s="5">
        <v>5</v>
      </c>
      <c r="M291" s="12" t="s">
        <v>1501</v>
      </c>
      <c r="N291" s="150">
        <v>44317</v>
      </c>
      <c r="O291" s="5" t="s">
        <v>1028</v>
      </c>
      <c r="P291" s="157" t="s">
        <v>3795</v>
      </c>
      <c r="Q291" s="157" t="s">
        <v>3796</v>
      </c>
      <c r="R291" s="9" t="s">
        <v>3797</v>
      </c>
      <c r="S291" s="162">
        <v>132100511958</v>
      </c>
      <c r="T291" s="20">
        <v>2031107901</v>
      </c>
      <c r="U291" s="150">
        <v>52902</v>
      </c>
      <c r="V291" s="11" t="s">
        <v>3798</v>
      </c>
      <c r="W291" s="14" t="s">
        <v>3799</v>
      </c>
      <c r="X291" s="9" t="s">
        <v>3800</v>
      </c>
      <c r="Y291" s="51">
        <v>45579</v>
      </c>
      <c r="Z291" s="154"/>
    </row>
    <row r="292" spans="1:26" ht="34.5" customHeight="1" x14ac:dyDescent="0.25">
      <c r="A292" s="5">
        <v>43</v>
      </c>
      <c r="B292" s="14" t="s">
        <v>3801</v>
      </c>
      <c r="C292" s="5" t="s">
        <v>18</v>
      </c>
      <c r="D292" s="10" t="s">
        <v>3802</v>
      </c>
      <c r="E292" s="14" t="s">
        <v>1519</v>
      </c>
      <c r="F292" s="150">
        <v>29304</v>
      </c>
      <c r="G292" s="8" t="s">
        <v>3803</v>
      </c>
      <c r="H292" s="68" t="s">
        <v>3804</v>
      </c>
      <c r="I292" s="5" t="s">
        <v>1558</v>
      </c>
      <c r="J292" s="150">
        <v>45017</v>
      </c>
      <c r="K292" s="5">
        <v>13</v>
      </c>
      <c r="L292" s="5">
        <v>4</v>
      </c>
      <c r="M292" s="12" t="s">
        <v>1501</v>
      </c>
      <c r="N292" s="150">
        <v>44136</v>
      </c>
      <c r="O292" s="5" t="s">
        <v>1028</v>
      </c>
      <c r="P292" s="11" t="s">
        <v>3805</v>
      </c>
      <c r="Q292" s="11" t="s">
        <v>3806</v>
      </c>
      <c r="R292" s="168" t="s">
        <v>3807</v>
      </c>
      <c r="S292" s="162">
        <v>132100511999</v>
      </c>
      <c r="T292" s="20">
        <v>2024038001</v>
      </c>
      <c r="U292" s="150">
        <v>53053</v>
      </c>
      <c r="V292" s="196" t="s">
        <v>3724</v>
      </c>
      <c r="W292" s="14" t="s">
        <v>3753</v>
      </c>
      <c r="X292" s="11" t="s">
        <v>3808</v>
      </c>
      <c r="Y292" s="51">
        <v>45586</v>
      </c>
      <c r="Z292" s="154"/>
    </row>
    <row r="293" spans="1:26" ht="34.5" customHeight="1" x14ac:dyDescent="0.25">
      <c r="A293" s="5">
        <v>44</v>
      </c>
      <c r="B293" s="14" t="s">
        <v>3809</v>
      </c>
      <c r="C293" s="5" t="s">
        <v>18</v>
      </c>
      <c r="D293" s="10" t="s">
        <v>3810</v>
      </c>
      <c r="E293" s="14" t="s">
        <v>1536</v>
      </c>
      <c r="F293" s="150">
        <v>28807</v>
      </c>
      <c r="G293" s="8" t="s">
        <v>3811</v>
      </c>
      <c r="H293" s="68" t="s">
        <v>3812</v>
      </c>
      <c r="I293" s="5" t="s">
        <v>1558</v>
      </c>
      <c r="J293" s="150">
        <v>45444</v>
      </c>
      <c r="K293" s="5">
        <v>14</v>
      </c>
      <c r="L293" s="5">
        <v>6</v>
      </c>
      <c r="M293" s="12" t="s">
        <v>1501</v>
      </c>
      <c r="N293" s="150">
        <v>44317</v>
      </c>
      <c r="O293" s="5" t="s">
        <v>1028</v>
      </c>
      <c r="P293" s="11" t="s">
        <v>3813</v>
      </c>
      <c r="Q293" s="11" t="s">
        <v>3814</v>
      </c>
      <c r="R293" s="168" t="s">
        <v>1532</v>
      </c>
      <c r="S293" s="162">
        <v>132100511975</v>
      </c>
      <c r="T293" s="20">
        <v>2013117801</v>
      </c>
      <c r="U293" s="150">
        <v>52566</v>
      </c>
      <c r="V293" s="9" t="s">
        <v>3623</v>
      </c>
      <c r="W293" s="14" t="s">
        <v>3815</v>
      </c>
      <c r="X293" s="11" t="s">
        <v>3816</v>
      </c>
      <c r="Y293" s="51">
        <v>45586</v>
      </c>
      <c r="Z293" s="154"/>
    </row>
    <row r="294" spans="1:26" ht="34.5" customHeight="1" x14ac:dyDescent="0.25">
      <c r="A294" s="5">
        <v>45</v>
      </c>
      <c r="B294" s="12" t="s">
        <v>3817</v>
      </c>
      <c r="C294" s="5" t="s">
        <v>18</v>
      </c>
      <c r="D294" s="5" t="s">
        <v>3818</v>
      </c>
      <c r="E294" s="14" t="s">
        <v>1566</v>
      </c>
      <c r="F294" s="150" t="s">
        <v>3819</v>
      </c>
      <c r="G294" s="151" t="s">
        <v>3820</v>
      </c>
      <c r="H294" s="68" t="s">
        <v>3821</v>
      </c>
      <c r="I294" s="5" t="s">
        <v>1699</v>
      </c>
      <c r="J294" s="150">
        <v>45505</v>
      </c>
      <c r="K294" s="5">
        <v>30</v>
      </c>
      <c r="L294" s="5">
        <v>5</v>
      </c>
      <c r="M294" s="12" t="s">
        <v>1501</v>
      </c>
      <c r="N294" s="150" t="s">
        <v>3822</v>
      </c>
      <c r="O294" s="5" t="s">
        <v>982</v>
      </c>
      <c r="P294" s="47" t="s">
        <v>3823</v>
      </c>
      <c r="Q294" s="47" t="s">
        <v>3824</v>
      </c>
      <c r="R294" s="9"/>
      <c r="S294" s="14" t="s">
        <v>3825</v>
      </c>
      <c r="T294" s="20">
        <v>2004096601</v>
      </c>
      <c r="U294" s="150">
        <v>48122</v>
      </c>
      <c r="V294" s="11" t="s">
        <v>3610</v>
      </c>
      <c r="W294" s="11" t="s">
        <v>3826</v>
      </c>
      <c r="X294" s="11"/>
      <c r="Y294" s="5"/>
      <c r="Z294" s="154"/>
    </row>
    <row r="295" spans="1:26" ht="39" customHeight="1" x14ac:dyDescent="0.25">
      <c r="A295" s="5">
        <v>46</v>
      </c>
      <c r="B295" s="12" t="s">
        <v>3827</v>
      </c>
      <c r="C295" s="5" t="s">
        <v>18</v>
      </c>
      <c r="D295" s="5" t="s">
        <v>3828</v>
      </c>
      <c r="E295" s="14" t="s">
        <v>3388</v>
      </c>
      <c r="F295" s="150" t="s">
        <v>3829</v>
      </c>
      <c r="G295" s="151" t="s">
        <v>3830</v>
      </c>
      <c r="H295" s="68" t="s">
        <v>3831</v>
      </c>
      <c r="I295" s="5" t="s">
        <v>1738</v>
      </c>
      <c r="J295" s="150">
        <v>45627</v>
      </c>
      <c r="K295" s="5">
        <v>26</v>
      </c>
      <c r="L295" s="5">
        <v>9</v>
      </c>
      <c r="M295" s="12" t="s">
        <v>1501</v>
      </c>
      <c r="N295" s="150">
        <v>45170</v>
      </c>
      <c r="O295" s="5" t="s">
        <v>1028</v>
      </c>
      <c r="P295" s="47" t="s">
        <v>3832</v>
      </c>
      <c r="Q295" s="47" t="s">
        <v>3833</v>
      </c>
      <c r="R295" s="9" t="s">
        <v>1550</v>
      </c>
      <c r="S295" s="162">
        <v>102100504709</v>
      </c>
      <c r="T295" s="166">
        <v>2010037301</v>
      </c>
      <c r="U295" s="150">
        <v>50496</v>
      </c>
      <c r="V295" s="11" t="s">
        <v>3534</v>
      </c>
      <c r="W295" s="11" t="s">
        <v>3834</v>
      </c>
      <c r="X295" s="12"/>
      <c r="Y295" s="12"/>
      <c r="Z295" s="154"/>
    </row>
    <row r="296" spans="1:26" ht="34.5" customHeight="1" x14ac:dyDescent="0.25">
      <c r="A296" s="5">
        <v>47</v>
      </c>
      <c r="B296" s="12" t="s">
        <v>3835</v>
      </c>
      <c r="C296" s="5" t="s">
        <v>18</v>
      </c>
      <c r="D296" s="5" t="s">
        <v>3836</v>
      </c>
      <c r="E296" s="14" t="s">
        <v>1519</v>
      </c>
      <c r="F296" s="150" t="s">
        <v>3837</v>
      </c>
      <c r="G296" s="151" t="s">
        <v>3838</v>
      </c>
      <c r="H296" s="68" t="s">
        <v>3839</v>
      </c>
      <c r="I296" s="5" t="s">
        <v>1699</v>
      </c>
      <c r="J296" s="150">
        <v>45444</v>
      </c>
      <c r="K296" s="5">
        <v>33</v>
      </c>
      <c r="L296" s="5">
        <v>3</v>
      </c>
      <c r="M296" s="12" t="s">
        <v>3840</v>
      </c>
      <c r="N296" s="150">
        <v>45170</v>
      </c>
      <c r="O296" s="5" t="s">
        <v>1028</v>
      </c>
      <c r="P296" s="47" t="s">
        <v>3841</v>
      </c>
      <c r="Q296" s="47" t="s">
        <v>3842</v>
      </c>
      <c r="R296" s="9" t="s">
        <v>3843</v>
      </c>
      <c r="S296" s="14" t="s">
        <v>3844</v>
      </c>
      <c r="T296" s="20">
        <v>2025106201</v>
      </c>
      <c r="U296" s="150">
        <v>46692</v>
      </c>
      <c r="V296" s="11" t="s">
        <v>3582</v>
      </c>
      <c r="W296" s="14" t="s">
        <v>3398</v>
      </c>
      <c r="X296" s="89"/>
      <c r="Y296" s="89"/>
      <c r="Z296" s="89"/>
    </row>
    <row r="297" spans="1:26" ht="34.5" customHeight="1" x14ac:dyDescent="0.25">
      <c r="A297" s="5">
        <v>48</v>
      </c>
      <c r="B297" s="12" t="s">
        <v>3845</v>
      </c>
      <c r="C297" s="5" t="s">
        <v>18</v>
      </c>
      <c r="D297" s="5" t="s">
        <v>3846</v>
      </c>
      <c r="E297" s="14" t="s">
        <v>1917</v>
      </c>
      <c r="F297" s="150" t="s">
        <v>3847</v>
      </c>
      <c r="G297" s="151" t="s">
        <v>3848</v>
      </c>
      <c r="H297" s="68" t="s">
        <v>3849</v>
      </c>
      <c r="I297" s="5" t="s">
        <v>1738</v>
      </c>
      <c r="J297" s="150">
        <v>41548</v>
      </c>
      <c r="K297" s="5">
        <v>18</v>
      </c>
      <c r="L297" s="5">
        <v>7</v>
      </c>
      <c r="M297" s="12" t="s">
        <v>1739</v>
      </c>
      <c r="N297" s="150" t="s">
        <v>3850</v>
      </c>
      <c r="O297" s="5" t="s">
        <v>982</v>
      </c>
      <c r="P297" s="9" t="s">
        <v>3851</v>
      </c>
      <c r="Q297" s="9" t="s">
        <v>3852</v>
      </c>
      <c r="R297" s="9"/>
      <c r="S297" s="162">
        <v>102100504672</v>
      </c>
      <c r="T297" s="20">
        <v>2003117101</v>
      </c>
      <c r="U297" s="150">
        <v>50010</v>
      </c>
      <c r="V297" s="11" t="s">
        <v>999</v>
      </c>
      <c r="W297" s="14" t="s">
        <v>1088</v>
      </c>
      <c r="X297" s="11"/>
      <c r="Y297" s="51"/>
      <c r="Z297" s="154" t="s">
        <v>1084</v>
      </c>
    </row>
    <row r="298" spans="1:26" ht="34.5" customHeight="1" x14ac:dyDescent="0.25">
      <c r="A298" s="5">
        <v>49</v>
      </c>
      <c r="B298" s="14" t="s">
        <v>3853</v>
      </c>
      <c r="C298" s="5" t="s">
        <v>18</v>
      </c>
      <c r="D298" s="10" t="s">
        <v>3854</v>
      </c>
      <c r="E298" s="14" t="s">
        <v>2184</v>
      </c>
      <c r="F298" s="150" t="s">
        <v>3855</v>
      </c>
      <c r="G298" s="8" t="s">
        <v>3856</v>
      </c>
      <c r="H298" s="68" t="s">
        <v>3857</v>
      </c>
      <c r="I298" s="5" t="s">
        <v>1717</v>
      </c>
      <c r="J298" s="150" t="s">
        <v>3858</v>
      </c>
      <c r="K298" s="5">
        <v>9</v>
      </c>
      <c r="L298" s="5">
        <v>7</v>
      </c>
      <c r="M298" s="12" t="s">
        <v>1739</v>
      </c>
      <c r="N298" s="150" t="s">
        <v>3392</v>
      </c>
      <c r="O298" s="5" t="s">
        <v>982</v>
      </c>
      <c r="P298" s="11" t="s">
        <v>3859</v>
      </c>
      <c r="Q298" s="11" t="s">
        <v>3860</v>
      </c>
      <c r="R298" s="168"/>
      <c r="S298" s="162">
        <v>112100513100021</v>
      </c>
      <c r="T298" s="20">
        <v>2007047002</v>
      </c>
      <c r="U298" s="150">
        <v>49430</v>
      </c>
      <c r="V298" s="11" t="s">
        <v>3724</v>
      </c>
      <c r="W298" s="14" t="s">
        <v>3686</v>
      </c>
      <c r="X298" s="9"/>
      <c r="Y298" s="51"/>
      <c r="Z298" s="154"/>
    </row>
    <row r="299" spans="1:26" ht="34.5" customHeight="1" x14ac:dyDescent="0.25">
      <c r="A299" s="5">
        <v>50</v>
      </c>
      <c r="B299" s="12" t="s">
        <v>3861</v>
      </c>
      <c r="C299" s="5" t="s">
        <v>18</v>
      </c>
      <c r="D299" s="5" t="s">
        <v>3862</v>
      </c>
      <c r="E299" s="14" t="s">
        <v>3863</v>
      </c>
      <c r="F299" s="150" t="s">
        <v>3864</v>
      </c>
      <c r="G299" s="151" t="s">
        <v>3865</v>
      </c>
      <c r="H299" s="68" t="s">
        <v>3866</v>
      </c>
      <c r="I299" s="5" t="s">
        <v>1738</v>
      </c>
      <c r="J299" s="150">
        <v>45505</v>
      </c>
      <c r="K299" s="5">
        <v>26</v>
      </c>
      <c r="L299" s="5">
        <v>5</v>
      </c>
      <c r="M299" s="12" t="s">
        <v>1501</v>
      </c>
      <c r="N299" s="150">
        <v>45170</v>
      </c>
      <c r="O299" s="5" t="s">
        <v>1028</v>
      </c>
      <c r="P299" s="47" t="s">
        <v>3867</v>
      </c>
      <c r="Q299" s="47" t="s">
        <v>3868</v>
      </c>
      <c r="R299" s="190" t="s">
        <v>2806</v>
      </c>
      <c r="S299" s="14" t="s">
        <v>3869</v>
      </c>
      <c r="T299" s="20">
        <v>2017026101</v>
      </c>
      <c r="U299" s="150">
        <v>46082</v>
      </c>
      <c r="V299" s="11" t="s">
        <v>3553</v>
      </c>
      <c r="W299" s="14" t="s">
        <v>3870</v>
      </c>
      <c r="X299" s="12"/>
      <c r="Y299" s="12"/>
      <c r="Z299" s="154"/>
    </row>
    <row r="300" spans="1:26" ht="39" customHeight="1" x14ac:dyDescent="0.25">
      <c r="A300" s="5">
        <v>51</v>
      </c>
      <c r="B300" s="12" t="s">
        <v>3871</v>
      </c>
      <c r="C300" s="5" t="s">
        <v>18</v>
      </c>
      <c r="D300" s="5" t="s">
        <v>3872</v>
      </c>
      <c r="E300" s="14" t="s">
        <v>1420</v>
      </c>
      <c r="F300" s="150" t="s">
        <v>3873</v>
      </c>
      <c r="G300" s="151" t="s">
        <v>3874</v>
      </c>
      <c r="H300" s="68" t="s">
        <v>3875</v>
      </c>
      <c r="I300" s="5" t="s">
        <v>1738</v>
      </c>
      <c r="J300" s="150">
        <v>45383</v>
      </c>
      <c r="K300" s="5">
        <v>30</v>
      </c>
      <c r="L300" s="5">
        <v>1</v>
      </c>
      <c r="M300" s="12" t="s">
        <v>1739</v>
      </c>
      <c r="N300" s="150" t="s">
        <v>3876</v>
      </c>
      <c r="O300" s="5" t="s">
        <v>982</v>
      </c>
      <c r="P300" s="47" t="s">
        <v>3877</v>
      </c>
      <c r="Q300" s="47" t="s">
        <v>3878</v>
      </c>
      <c r="R300" s="9"/>
      <c r="S300" s="162">
        <v>102100504649</v>
      </c>
      <c r="T300" s="166">
        <v>2005036601</v>
      </c>
      <c r="U300" s="150">
        <v>47939</v>
      </c>
      <c r="V300" s="11" t="s">
        <v>1127</v>
      </c>
      <c r="W300" s="14" t="s">
        <v>3879</v>
      </c>
      <c r="X300" s="11"/>
      <c r="Y300" s="51"/>
      <c r="Z300" s="154"/>
    </row>
    <row r="301" spans="1:26" ht="34.5" customHeight="1" x14ac:dyDescent="0.25">
      <c r="A301" s="5">
        <v>52</v>
      </c>
      <c r="B301" s="12" t="s">
        <v>3880</v>
      </c>
      <c r="C301" s="5" t="s">
        <v>18</v>
      </c>
      <c r="D301" s="5" t="s">
        <v>3881</v>
      </c>
      <c r="E301" s="14" t="s">
        <v>2125</v>
      </c>
      <c r="F301" s="150" t="s">
        <v>3882</v>
      </c>
      <c r="G301" s="151" t="s">
        <v>3883</v>
      </c>
      <c r="H301" s="68" t="s">
        <v>3884</v>
      </c>
      <c r="I301" s="5" t="s">
        <v>1717</v>
      </c>
      <c r="J301" s="150" t="s">
        <v>3885</v>
      </c>
      <c r="K301" s="5">
        <v>13</v>
      </c>
      <c r="L301" s="5">
        <v>1</v>
      </c>
      <c r="M301" s="12" t="s">
        <v>1739</v>
      </c>
      <c r="N301" s="150" t="s">
        <v>3631</v>
      </c>
      <c r="O301" s="5" t="s">
        <v>1028</v>
      </c>
      <c r="P301" s="47" t="s">
        <v>3777</v>
      </c>
      <c r="Q301" s="47" t="s">
        <v>3886</v>
      </c>
      <c r="R301" s="9" t="s">
        <v>1532</v>
      </c>
      <c r="S301" s="162">
        <v>102100504723</v>
      </c>
      <c r="T301" s="166">
        <v>2027076801</v>
      </c>
      <c r="U301" s="150">
        <v>48792</v>
      </c>
      <c r="V301" s="11" t="s">
        <v>1127</v>
      </c>
      <c r="W301" s="14" t="s">
        <v>3887</v>
      </c>
      <c r="X301" s="11"/>
      <c r="Y301" s="51"/>
      <c r="Z301" s="154"/>
    </row>
    <row r="302" spans="1:26" ht="34.5" customHeight="1" x14ac:dyDescent="0.25">
      <c r="A302" s="5">
        <v>53</v>
      </c>
      <c r="B302" s="12" t="s">
        <v>3888</v>
      </c>
      <c r="C302" s="5" t="s">
        <v>18</v>
      </c>
      <c r="D302" s="5" t="s">
        <v>3889</v>
      </c>
      <c r="E302" s="14" t="s">
        <v>2486</v>
      </c>
      <c r="F302" s="150" t="s">
        <v>3837</v>
      </c>
      <c r="G302" s="151" t="s">
        <v>3890</v>
      </c>
      <c r="H302" s="68" t="s">
        <v>3891</v>
      </c>
      <c r="I302" s="5" t="s">
        <v>1738</v>
      </c>
      <c r="J302" s="150" t="s">
        <v>3892</v>
      </c>
      <c r="K302" s="5">
        <v>13</v>
      </c>
      <c r="L302" s="5">
        <v>1</v>
      </c>
      <c r="M302" s="12" t="s">
        <v>1739</v>
      </c>
      <c r="N302" s="150" t="s">
        <v>3618</v>
      </c>
      <c r="O302" s="5" t="s">
        <v>982</v>
      </c>
      <c r="P302" s="47" t="s">
        <v>3893</v>
      </c>
      <c r="Q302" s="47" t="s">
        <v>3868</v>
      </c>
      <c r="R302" s="9"/>
      <c r="S302" s="162">
        <v>102100504757</v>
      </c>
      <c r="T302" s="166">
        <v>2025106202</v>
      </c>
      <c r="U302" s="150">
        <v>46692</v>
      </c>
      <c r="V302" s="11" t="s">
        <v>3894</v>
      </c>
      <c r="W302" s="14" t="s">
        <v>3826</v>
      </c>
      <c r="X302" s="11"/>
      <c r="Y302" s="5"/>
      <c r="Z302" s="154"/>
    </row>
    <row r="303" spans="1:26" ht="34.5" customHeight="1" x14ac:dyDescent="0.25">
      <c r="A303" s="5">
        <v>54</v>
      </c>
      <c r="B303" s="12" t="s">
        <v>3895</v>
      </c>
      <c r="C303" s="5" t="s">
        <v>18</v>
      </c>
      <c r="D303" s="5" t="s">
        <v>3896</v>
      </c>
      <c r="E303" s="14" t="s">
        <v>3897</v>
      </c>
      <c r="F303" s="150">
        <v>27503</v>
      </c>
      <c r="G303" s="151" t="s">
        <v>3898</v>
      </c>
      <c r="H303" s="68" t="s">
        <v>3899</v>
      </c>
      <c r="I303" s="5" t="s">
        <v>1699</v>
      </c>
      <c r="J303" s="150">
        <v>45505</v>
      </c>
      <c r="K303" s="5">
        <v>19</v>
      </c>
      <c r="L303" s="5">
        <v>7</v>
      </c>
      <c r="M303" s="12" t="s">
        <v>1501</v>
      </c>
      <c r="N303" s="150">
        <v>45292</v>
      </c>
      <c r="O303" s="5" t="s">
        <v>1028</v>
      </c>
      <c r="P303" s="157" t="s">
        <v>3141</v>
      </c>
      <c r="Q303" s="157" t="s">
        <v>3900</v>
      </c>
      <c r="R303" s="9" t="s">
        <v>3901</v>
      </c>
      <c r="S303" s="162">
        <v>102100504739</v>
      </c>
      <c r="T303" s="166">
        <v>2019047501</v>
      </c>
      <c r="U303" s="150">
        <v>51257</v>
      </c>
      <c r="V303" s="11" t="s">
        <v>3448</v>
      </c>
      <c r="W303" s="14" t="s">
        <v>3410</v>
      </c>
      <c r="X303" s="11"/>
      <c r="Y303" s="51"/>
      <c r="Z303" s="154"/>
    </row>
    <row r="304" spans="1:26" ht="34.5" customHeight="1" x14ac:dyDescent="0.25">
      <c r="A304" s="5">
        <v>55</v>
      </c>
      <c r="B304" s="12" t="s">
        <v>3902</v>
      </c>
      <c r="C304" s="5" t="s">
        <v>46</v>
      </c>
      <c r="D304" s="5" t="s">
        <v>3903</v>
      </c>
      <c r="E304" s="14" t="s">
        <v>1638</v>
      </c>
      <c r="F304" s="150">
        <v>25782</v>
      </c>
      <c r="G304" s="151" t="s">
        <v>3904</v>
      </c>
      <c r="H304" s="68" t="s">
        <v>3905</v>
      </c>
      <c r="I304" s="5" t="s">
        <v>1738</v>
      </c>
      <c r="J304" s="150">
        <v>42278</v>
      </c>
      <c r="K304" s="5">
        <v>11</v>
      </c>
      <c r="L304" s="5">
        <v>10</v>
      </c>
      <c r="M304" s="12" t="s">
        <v>1739</v>
      </c>
      <c r="N304" s="150" t="s">
        <v>3906</v>
      </c>
      <c r="O304" s="5" t="s">
        <v>982</v>
      </c>
      <c r="P304" s="9" t="s">
        <v>3907</v>
      </c>
      <c r="Q304" s="9" t="s">
        <v>3908</v>
      </c>
      <c r="R304" s="9"/>
      <c r="S304" s="162">
        <v>102100504680</v>
      </c>
      <c r="T304" s="20">
        <v>2002087003</v>
      </c>
      <c r="U304" s="150">
        <v>49522</v>
      </c>
      <c r="V304" s="11" t="s">
        <v>999</v>
      </c>
      <c r="W304" s="14" t="s">
        <v>3909</v>
      </c>
      <c r="X304" s="11" t="s">
        <v>3910</v>
      </c>
      <c r="Y304" s="51">
        <v>45586</v>
      </c>
      <c r="Z304" s="154" t="s">
        <v>1084</v>
      </c>
    </row>
    <row r="305" spans="1:26" ht="34.5" customHeight="1" x14ac:dyDescent="0.25">
      <c r="A305" s="5">
        <v>56</v>
      </c>
      <c r="B305" s="12" t="s">
        <v>3911</v>
      </c>
      <c r="C305" s="5" t="s">
        <v>46</v>
      </c>
      <c r="D305" s="5" t="s">
        <v>3912</v>
      </c>
      <c r="E305" s="14" t="s">
        <v>1725</v>
      </c>
      <c r="F305" s="150">
        <v>28725</v>
      </c>
      <c r="G305" s="151" t="s">
        <v>3913</v>
      </c>
      <c r="H305" s="68" t="s">
        <v>3914</v>
      </c>
      <c r="I305" s="5" t="s">
        <v>1738</v>
      </c>
      <c r="J305" s="150">
        <v>41365</v>
      </c>
      <c r="K305" s="5">
        <v>8</v>
      </c>
      <c r="L305" s="5">
        <v>3</v>
      </c>
      <c r="M305" s="12" t="s">
        <v>1501</v>
      </c>
      <c r="N305" s="150">
        <v>45170</v>
      </c>
      <c r="O305" s="5" t="s">
        <v>1028</v>
      </c>
      <c r="P305" s="157" t="s">
        <v>3523</v>
      </c>
      <c r="Q305" s="157" t="s">
        <v>3732</v>
      </c>
      <c r="R305" s="9" t="s">
        <v>3915</v>
      </c>
      <c r="S305" s="162">
        <v>102100504651</v>
      </c>
      <c r="T305" s="166">
        <v>2023087801</v>
      </c>
      <c r="U305" s="150">
        <v>52475</v>
      </c>
      <c r="V305" s="11" t="s">
        <v>3448</v>
      </c>
      <c r="W305" s="14" t="s">
        <v>3705</v>
      </c>
      <c r="X305" s="11" t="s">
        <v>3916</v>
      </c>
      <c r="Y305" s="51">
        <v>45586</v>
      </c>
      <c r="Z305" s="154"/>
    </row>
    <row r="306" spans="1:26" ht="34.5" customHeight="1" x14ac:dyDescent="0.25">
      <c r="A306" s="5">
        <v>57</v>
      </c>
      <c r="B306" s="14" t="s">
        <v>3917</v>
      </c>
      <c r="C306" s="5" t="s">
        <v>46</v>
      </c>
      <c r="D306" s="5" t="s">
        <v>3918</v>
      </c>
      <c r="E306" s="14" t="s">
        <v>3627</v>
      </c>
      <c r="F306" s="150" t="s">
        <v>3919</v>
      </c>
      <c r="G306" s="8" t="s">
        <v>3920</v>
      </c>
      <c r="H306" s="68" t="s">
        <v>3921</v>
      </c>
      <c r="I306" s="5" t="s">
        <v>1738</v>
      </c>
      <c r="J306" s="150">
        <v>42095</v>
      </c>
      <c r="K306" s="5">
        <v>12</v>
      </c>
      <c r="L306" s="5">
        <v>8</v>
      </c>
      <c r="M306" s="12" t="s">
        <v>1739</v>
      </c>
      <c r="N306" s="150" t="s">
        <v>3922</v>
      </c>
      <c r="O306" s="5" t="s">
        <v>982</v>
      </c>
      <c r="P306" s="157" t="s">
        <v>3923</v>
      </c>
      <c r="Q306" s="157" t="s">
        <v>3924</v>
      </c>
      <c r="R306" s="9"/>
      <c r="S306" s="162">
        <v>112100513200022</v>
      </c>
      <c r="T306" s="20">
        <v>2017047101</v>
      </c>
      <c r="U306" s="150">
        <v>49796</v>
      </c>
      <c r="V306" s="11" t="s">
        <v>3798</v>
      </c>
      <c r="W306" s="14" t="s">
        <v>3925</v>
      </c>
      <c r="X306" s="11"/>
      <c r="Y306" s="51"/>
      <c r="Z306" s="154"/>
    </row>
    <row r="307" spans="1:26" ht="34.5" customHeight="1" x14ac:dyDescent="0.25">
      <c r="A307" s="5">
        <v>58</v>
      </c>
      <c r="B307" s="14" t="s">
        <v>3926</v>
      </c>
      <c r="C307" s="5" t="s">
        <v>18</v>
      </c>
      <c r="D307" s="5" t="s">
        <v>3927</v>
      </c>
      <c r="E307" s="14" t="s">
        <v>1696</v>
      </c>
      <c r="F307" s="150">
        <v>30016</v>
      </c>
      <c r="G307" s="8" t="s">
        <v>3928</v>
      </c>
      <c r="H307" s="68" t="s">
        <v>3929</v>
      </c>
      <c r="I307" s="5" t="s">
        <v>1738</v>
      </c>
      <c r="J307" s="150">
        <v>42644</v>
      </c>
      <c r="K307" s="5">
        <v>6</v>
      </c>
      <c r="L307" s="5">
        <v>10</v>
      </c>
      <c r="M307" s="12" t="s">
        <v>1739</v>
      </c>
      <c r="N307" s="150">
        <v>41334</v>
      </c>
      <c r="O307" s="5" t="s">
        <v>982</v>
      </c>
      <c r="P307" s="11" t="s">
        <v>3930</v>
      </c>
      <c r="Q307" s="11" t="s">
        <v>3931</v>
      </c>
      <c r="R307" s="168" t="s">
        <v>1084</v>
      </c>
      <c r="S307" s="162">
        <v>132100511965</v>
      </c>
      <c r="T307" s="20">
        <v>2006038202</v>
      </c>
      <c r="U307" s="150">
        <v>53783</v>
      </c>
      <c r="V307" s="11" t="s">
        <v>3659</v>
      </c>
      <c r="W307" s="14" t="s">
        <v>3932</v>
      </c>
      <c r="X307" s="11"/>
      <c r="Y307" s="51"/>
      <c r="Z307" s="172"/>
    </row>
    <row r="308" spans="1:26" ht="34.5" customHeight="1" x14ac:dyDescent="0.25">
      <c r="A308" s="5">
        <v>59</v>
      </c>
      <c r="B308" s="14" t="s">
        <v>3933</v>
      </c>
      <c r="C308" s="5" t="s">
        <v>18</v>
      </c>
      <c r="D308" s="5" t="s">
        <v>3934</v>
      </c>
      <c r="E308" s="14" t="s">
        <v>1844</v>
      </c>
      <c r="F308" s="150">
        <v>29328</v>
      </c>
      <c r="G308" s="8" t="s">
        <v>3935</v>
      </c>
      <c r="H308" s="68" t="s">
        <v>3936</v>
      </c>
      <c r="I308" s="5" t="s">
        <v>1699</v>
      </c>
      <c r="J308" s="150">
        <v>45383</v>
      </c>
      <c r="K308" s="5">
        <v>14</v>
      </c>
      <c r="L308" s="5">
        <v>4</v>
      </c>
      <c r="M308" s="12" t="s">
        <v>1739</v>
      </c>
      <c r="N308" s="150">
        <v>41395</v>
      </c>
      <c r="O308" s="5" t="s">
        <v>1028</v>
      </c>
      <c r="P308" s="11" t="s">
        <v>3937</v>
      </c>
      <c r="Q308" s="11" t="s">
        <v>3938</v>
      </c>
      <c r="R308" s="168" t="s">
        <v>3939</v>
      </c>
      <c r="S308" s="162">
        <v>132100511979</v>
      </c>
      <c r="T308" s="20">
        <v>2017048001</v>
      </c>
      <c r="U308" s="150">
        <v>53236</v>
      </c>
      <c r="V308" s="11" t="s">
        <v>3798</v>
      </c>
      <c r="W308" s="14" t="s">
        <v>3940</v>
      </c>
      <c r="X308" s="11"/>
      <c r="Y308" s="5"/>
      <c r="Z308" s="154" t="s">
        <v>1084</v>
      </c>
    </row>
    <row r="309" spans="1:26" ht="34.5" customHeight="1" x14ac:dyDescent="0.25">
      <c r="A309" s="5">
        <v>60</v>
      </c>
      <c r="B309" s="14" t="s">
        <v>3941</v>
      </c>
      <c r="C309" s="5" t="s">
        <v>46</v>
      </c>
      <c r="D309" s="10" t="s">
        <v>3942</v>
      </c>
      <c r="E309" s="14" t="s">
        <v>1489</v>
      </c>
      <c r="F309" s="150">
        <v>30661</v>
      </c>
      <c r="G309" s="8" t="s">
        <v>3943</v>
      </c>
      <c r="H309" s="68" t="s">
        <v>3944</v>
      </c>
      <c r="I309" s="5" t="s">
        <v>1699</v>
      </c>
      <c r="J309" s="150">
        <v>45383</v>
      </c>
      <c r="K309" s="5">
        <v>14</v>
      </c>
      <c r="L309" s="5">
        <v>4</v>
      </c>
      <c r="M309" s="12" t="s">
        <v>1501</v>
      </c>
      <c r="N309" s="150">
        <v>45139</v>
      </c>
      <c r="O309" s="5" t="s">
        <v>982</v>
      </c>
      <c r="P309" s="167" t="s">
        <v>3945</v>
      </c>
      <c r="Q309" s="167" t="s">
        <v>3946</v>
      </c>
      <c r="R309" s="168" t="s">
        <v>1084</v>
      </c>
      <c r="S309" s="162">
        <v>132100511992</v>
      </c>
      <c r="T309" s="20" t="s">
        <v>3947</v>
      </c>
      <c r="U309" s="150">
        <v>54424</v>
      </c>
      <c r="V309" s="11" t="s">
        <v>3744</v>
      </c>
      <c r="W309" s="14" t="s">
        <v>3948</v>
      </c>
      <c r="X309" s="11" t="s">
        <v>3949</v>
      </c>
      <c r="Y309" s="51">
        <v>45586</v>
      </c>
      <c r="Z309" s="154"/>
    </row>
    <row r="310" spans="1:26" ht="34.5" customHeight="1" x14ac:dyDescent="0.25">
      <c r="A310" s="5">
        <v>61</v>
      </c>
      <c r="B310" s="12" t="s">
        <v>3950</v>
      </c>
      <c r="C310" s="5" t="s">
        <v>18</v>
      </c>
      <c r="D310" s="5" t="s">
        <v>3951</v>
      </c>
      <c r="E310" s="14" t="s">
        <v>1456</v>
      </c>
      <c r="F310" s="150">
        <v>22704</v>
      </c>
      <c r="G310" s="151" t="s">
        <v>3952</v>
      </c>
      <c r="H310" s="68" t="s">
        <v>3953</v>
      </c>
      <c r="I310" s="5" t="s">
        <v>1558</v>
      </c>
      <c r="J310" s="150">
        <v>45627</v>
      </c>
      <c r="K310" s="5">
        <v>32</v>
      </c>
      <c r="L310" s="5">
        <v>9</v>
      </c>
      <c r="M310" s="12" t="s">
        <v>1501</v>
      </c>
      <c r="N310" s="150">
        <v>45505</v>
      </c>
      <c r="O310" s="5" t="s">
        <v>1028</v>
      </c>
      <c r="P310" s="47" t="s">
        <v>3954</v>
      </c>
      <c r="Q310" s="47" t="s">
        <v>3955</v>
      </c>
      <c r="R310" s="9" t="s">
        <v>3956</v>
      </c>
      <c r="S310" s="162">
        <v>142100512838</v>
      </c>
      <c r="T310" s="20">
        <v>2027026202</v>
      </c>
      <c r="U310" s="150">
        <v>46447</v>
      </c>
      <c r="V310" s="11" t="s">
        <v>3534</v>
      </c>
      <c r="W310" s="14" t="s">
        <v>2390</v>
      </c>
      <c r="X310" s="11"/>
      <c r="Y310" s="5"/>
      <c r="Z310" s="154"/>
    </row>
    <row r="311" spans="1:26" ht="34.5" customHeight="1" x14ac:dyDescent="0.25">
      <c r="A311" s="5">
        <v>62</v>
      </c>
      <c r="B311" s="12" t="s">
        <v>3957</v>
      </c>
      <c r="C311" s="5" t="s">
        <v>46</v>
      </c>
      <c r="D311" s="5" t="s">
        <v>3958</v>
      </c>
      <c r="E311" s="12" t="s">
        <v>3959</v>
      </c>
      <c r="F311" s="150">
        <v>30390</v>
      </c>
      <c r="G311" s="8" t="s">
        <v>3960</v>
      </c>
      <c r="H311" s="68" t="s">
        <v>3961</v>
      </c>
      <c r="I311" s="5" t="s">
        <v>1699</v>
      </c>
      <c r="J311" s="161">
        <v>45444</v>
      </c>
      <c r="K311" s="10">
        <v>15</v>
      </c>
      <c r="L311" s="10">
        <v>5</v>
      </c>
      <c r="M311" s="12" t="s">
        <v>1501</v>
      </c>
      <c r="N311" s="150">
        <v>45047</v>
      </c>
      <c r="O311" s="5" t="s">
        <v>1028</v>
      </c>
      <c r="P311" s="9" t="s">
        <v>3962</v>
      </c>
      <c r="Q311" s="9" t="s">
        <v>3963</v>
      </c>
      <c r="R311" s="9" t="s">
        <v>3964</v>
      </c>
      <c r="S311" s="33">
        <v>132100511997</v>
      </c>
      <c r="T311" s="20">
        <v>2015038301</v>
      </c>
      <c r="U311" s="150">
        <v>54149</v>
      </c>
      <c r="V311" s="11" t="s">
        <v>3659</v>
      </c>
      <c r="W311" s="14" t="s">
        <v>3965</v>
      </c>
      <c r="X311" s="9" t="s">
        <v>3966</v>
      </c>
      <c r="Y311" s="51">
        <v>45579</v>
      </c>
      <c r="Z311" s="154"/>
    </row>
    <row r="312" spans="1:26" ht="34.5" customHeight="1" x14ac:dyDescent="0.25">
      <c r="A312" s="5">
        <v>63</v>
      </c>
      <c r="B312" s="14" t="s">
        <v>3967</v>
      </c>
      <c r="C312" s="5" t="s">
        <v>18</v>
      </c>
      <c r="D312" s="10" t="s">
        <v>3968</v>
      </c>
      <c r="E312" s="14" t="s">
        <v>3614</v>
      </c>
      <c r="F312" s="150">
        <v>29590</v>
      </c>
      <c r="G312" s="8" t="s">
        <v>3969</v>
      </c>
      <c r="H312" s="68" t="s">
        <v>3970</v>
      </c>
      <c r="I312" s="5" t="s">
        <v>1738</v>
      </c>
      <c r="J312" s="150">
        <v>43009</v>
      </c>
      <c r="K312" s="5">
        <v>7</v>
      </c>
      <c r="L312" s="5">
        <v>10</v>
      </c>
      <c r="M312" s="12" t="s">
        <v>1739</v>
      </c>
      <c r="N312" s="150">
        <v>41760</v>
      </c>
      <c r="O312" s="5" t="s">
        <v>982</v>
      </c>
      <c r="P312" s="11" t="s">
        <v>3971</v>
      </c>
      <c r="Q312" s="11" t="s">
        <v>3972</v>
      </c>
      <c r="R312" s="168" t="s">
        <v>1084</v>
      </c>
      <c r="S312" s="162">
        <v>132100511991</v>
      </c>
      <c r="T312" s="20">
        <v>2004018101</v>
      </c>
      <c r="U312" s="150">
        <v>53359</v>
      </c>
      <c r="V312" s="11" t="s">
        <v>3488</v>
      </c>
      <c r="W312" s="14" t="s">
        <v>3973</v>
      </c>
      <c r="X312" s="11"/>
      <c r="Y312" s="5"/>
      <c r="Z312" s="154"/>
    </row>
    <row r="313" spans="1:26" ht="34.5" customHeight="1" x14ac:dyDescent="0.25">
      <c r="A313" s="5">
        <v>64</v>
      </c>
      <c r="B313" s="14" t="s">
        <v>3974</v>
      </c>
      <c r="C313" s="5" t="s">
        <v>46</v>
      </c>
      <c r="D313" s="5" t="s">
        <v>3975</v>
      </c>
      <c r="E313" s="14" t="s">
        <v>1687</v>
      </c>
      <c r="F313" s="150">
        <v>29326</v>
      </c>
      <c r="G313" s="8" t="s">
        <v>3976</v>
      </c>
      <c r="H313" s="68" t="s">
        <v>3977</v>
      </c>
      <c r="I313" s="5" t="s">
        <v>1738</v>
      </c>
      <c r="J313" s="150" t="s">
        <v>3978</v>
      </c>
      <c r="K313" s="5">
        <v>11</v>
      </c>
      <c r="L313" s="5">
        <v>10</v>
      </c>
      <c r="M313" s="12" t="s">
        <v>1739</v>
      </c>
      <c r="N313" s="150">
        <v>41883</v>
      </c>
      <c r="O313" s="5" t="s">
        <v>982</v>
      </c>
      <c r="P313" s="9" t="s">
        <v>3979</v>
      </c>
      <c r="Q313" s="11" t="s">
        <v>3980</v>
      </c>
      <c r="R313" s="168" t="s">
        <v>1084</v>
      </c>
      <c r="S313" s="162">
        <v>132100511959</v>
      </c>
      <c r="T313" s="20">
        <v>2015048001</v>
      </c>
      <c r="U313" s="150">
        <v>53083</v>
      </c>
      <c r="V313" s="11" t="s">
        <v>3659</v>
      </c>
      <c r="W313" s="14" t="s">
        <v>3981</v>
      </c>
      <c r="X313" s="11"/>
      <c r="Y313" s="51"/>
      <c r="Z313" s="154"/>
    </row>
    <row r="314" spans="1:26" ht="34.5" customHeight="1" x14ac:dyDescent="0.25">
      <c r="A314" s="5">
        <v>65</v>
      </c>
      <c r="B314" s="12" t="s">
        <v>3982</v>
      </c>
      <c r="C314" s="5" t="s">
        <v>18</v>
      </c>
      <c r="D314" s="10" t="s">
        <v>3983</v>
      </c>
      <c r="E314" s="14" t="s">
        <v>2042</v>
      </c>
      <c r="F314" s="150">
        <v>27328</v>
      </c>
      <c r="G314" s="8" t="s">
        <v>3984</v>
      </c>
      <c r="H314" s="68" t="s">
        <v>3985</v>
      </c>
      <c r="I314" s="5" t="s">
        <v>1717</v>
      </c>
      <c r="J314" s="150">
        <v>42095</v>
      </c>
      <c r="K314" s="5">
        <v>11</v>
      </c>
      <c r="L314" s="5">
        <v>4</v>
      </c>
      <c r="M314" s="12" t="s">
        <v>1739</v>
      </c>
      <c r="N314" s="150">
        <v>41974</v>
      </c>
      <c r="O314" s="5" t="s">
        <v>1028</v>
      </c>
      <c r="P314" s="47" t="s">
        <v>3986</v>
      </c>
      <c r="Q314" s="47" t="s">
        <v>3987</v>
      </c>
      <c r="R314" s="9" t="s">
        <v>3988</v>
      </c>
      <c r="S314" s="162">
        <v>112100515110033</v>
      </c>
      <c r="T314" s="166">
        <v>2026107401</v>
      </c>
      <c r="U314" s="150">
        <v>51075</v>
      </c>
      <c r="V314" s="11" t="s">
        <v>3989</v>
      </c>
      <c r="W314" s="14" t="s">
        <v>3990</v>
      </c>
      <c r="X314" s="11" t="s">
        <v>3991</v>
      </c>
      <c r="Y314" s="51">
        <v>45586</v>
      </c>
      <c r="Z314" s="154"/>
    </row>
    <row r="315" spans="1:26" ht="34.5" customHeight="1" x14ac:dyDescent="0.25">
      <c r="A315" s="5">
        <v>66</v>
      </c>
      <c r="B315" s="14" t="s">
        <v>3992</v>
      </c>
      <c r="C315" s="5" t="s">
        <v>46</v>
      </c>
      <c r="D315" s="5" t="s">
        <v>3993</v>
      </c>
      <c r="E315" s="14" t="s">
        <v>3388</v>
      </c>
      <c r="F315" s="150" t="s">
        <v>3994</v>
      </c>
      <c r="G315" s="8" t="s">
        <v>3995</v>
      </c>
      <c r="H315" s="68" t="s">
        <v>3996</v>
      </c>
      <c r="I315" s="5" t="s">
        <v>1738</v>
      </c>
      <c r="J315" s="150" t="s">
        <v>3997</v>
      </c>
      <c r="K315" s="5">
        <v>9</v>
      </c>
      <c r="L315" s="5">
        <v>3</v>
      </c>
      <c r="M315" s="12" t="s">
        <v>1739</v>
      </c>
      <c r="N315" s="150" t="s">
        <v>3998</v>
      </c>
      <c r="O315" s="5" t="s">
        <v>982</v>
      </c>
      <c r="P315" s="157" t="s">
        <v>3999</v>
      </c>
      <c r="Q315" s="157" t="s">
        <v>4000</v>
      </c>
      <c r="R315" s="9"/>
      <c r="S315" s="162">
        <v>112100515110032</v>
      </c>
      <c r="T315" s="20">
        <v>2016018301</v>
      </c>
      <c r="U315" s="150">
        <v>54089</v>
      </c>
      <c r="V315" s="11" t="s">
        <v>3989</v>
      </c>
      <c r="W315" s="11" t="s">
        <v>4001</v>
      </c>
      <c r="X315" s="11"/>
      <c r="Y315" s="5"/>
      <c r="Z315" s="154"/>
    </row>
    <row r="316" spans="1:26" ht="34.5" customHeight="1" x14ac:dyDescent="0.25">
      <c r="A316" s="5">
        <v>67</v>
      </c>
      <c r="B316" s="14" t="s">
        <v>4002</v>
      </c>
      <c r="C316" s="5" t="s">
        <v>46</v>
      </c>
      <c r="D316" s="197" t="s">
        <v>4003</v>
      </c>
      <c r="E316" s="14" t="s">
        <v>4004</v>
      </c>
      <c r="F316" s="150">
        <v>31003</v>
      </c>
      <c r="G316" s="8" t="s">
        <v>4005</v>
      </c>
      <c r="H316" s="68" t="s">
        <v>4006</v>
      </c>
      <c r="I316" s="5" t="s">
        <v>1738</v>
      </c>
      <c r="J316" s="150">
        <v>44470</v>
      </c>
      <c r="K316" s="5">
        <v>11</v>
      </c>
      <c r="L316" s="5">
        <v>10</v>
      </c>
      <c r="M316" s="12" t="s">
        <v>1739</v>
      </c>
      <c r="N316" s="150">
        <v>42125</v>
      </c>
      <c r="O316" s="5" t="s">
        <v>982</v>
      </c>
      <c r="P316" s="11" t="s">
        <v>4007</v>
      </c>
      <c r="Q316" s="11" t="s">
        <v>3972</v>
      </c>
      <c r="R316" s="168" t="s">
        <v>1084</v>
      </c>
      <c r="S316" s="162">
        <v>132100511952</v>
      </c>
      <c r="T316" s="20">
        <v>2017118401</v>
      </c>
      <c r="U316" s="150">
        <v>54758</v>
      </c>
      <c r="V316" s="11" t="s">
        <v>3989</v>
      </c>
      <c r="W316" s="14" t="s">
        <v>4008</v>
      </c>
      <c r="X316" s="11"/>
      <c r="Y316" s="5"/>
      <c r="Z316" s="154"/>
    </row>
    <row r="317" spans="1:26" ht="34.5" customHeight="1" x14ac:dyDescent="0.25">
      <c r="A317" s="5">
        <v>68</v>
      </c>
      <c r="B317" s="12" t="s">
        <v>4009</v>
      </c>
      <c r="C317" s="5" t="s">
        <v>46</v>
      </c>
      <c r="D317" s="5" t="s">
        <v>4010</v>
      </c>
      <c r="E317" s="12" t="s">
        <v>1489</v>
      </c>
      <c r="F317" s="150">
        <v>30383</v>
      </c>
      <c r="G317" s="8" t="s">
        <v>4011</v>
      </c>
      <c r="H317" s="68" t="s">
        <v>4012</v>
      </c>
      <c r="I317" s="5" t="s">
        <v>1738</v>
      </c>
      <c r="J317" s="161">
        <v>44287</v>
      </c>
      <c r="K317" s="10">
        <v>12</v>
      </c>
      <c r="L317" s="10">
        <v>3</v>
      </c>
      <c r="M317" s="12" t="s">
        <v>1739</v>
      </c>
      <c r="N317" s="150">
        <v>42125</v>
      </c>
      <c r="O317" s="5" t="s">
        <v>982</v>
      </c>
      <c r="P317" s="9" t="s">
        <v>4013</v>
      </c>
      <c r="Q317" s="9" t="s">
        <v>4014</v>
      </c>
      <c r="R317" s="9"/>
      <c r="S317" s="186" t="s">
        <v>4015</v>
      </c>
      <c r="T317" s="20">
        <v>2008038301</v>
      </c>
      <c r="U317" s="150">
        <v>54149</v>
      </c>
      <c r="V317" s="11" t="s">
        <v>3989</v>
      </c>
      <c r="W317" s="14" t="s">
        <v>4016</v>
      </c>
      <c r="X317" s="11"/>
      <c r="Y317" s="51"/>
      <c r="Z317" s="154"/>
    </row>
    <row r="318" spans="1:26" ht="34.5" customHeight="1" x14ac:dyDescent="0.25">
      <c r="A318" s="5">
        <v>69</v>
      </c>
      <c r="B318" s="14" t="s">
        <v>4017</v>
      </c>
      <c r="C318" s="5" t="s">
        <v>46</v>
      </c>
      <c r="D318" s="5" t="s">
        <v>4018</v>
      </c>
      <c r="E318" s="14" t="s">
        <v>1555</v>
      </c>
      <c r="F318" s="150">
        <v>30926</v>
      </c>
      <c r="G318" s="8" t="s">
        <v>4019</v>
      </c>
      <c r="H318" s="68" t="s">
        <v>4020</v>
      </c>
      <c r="I318" s="5" t="s">
        <v>1738</v>
      </c>
      <c r="J318" s="150">
        <v>43374</v>
      </c>
      <c r="K318" s="5">
        <v>8</v>
      </c>
      <c r="L318" s="5">
        <v>10</v>
      </c>
      <c r="M318" s="12" t="s">
        <v>1739</v>
      </c>
      <c r="N318" s="150">
        <v>42125</v>
      </c>
      <c r="O318" s="5" t="s">
        <v>1028</v>
      </c>
      <c r="P318" s="11" t="s">
        <v>4021</v>
      </c>
      <c r="Q318" s="11" t="s">
        <v>4022</v>
      </c>
      <c r="R318" s="168" t="s">
        <v>4023</v>
      </c>
      <c r="S318" s="162">
        <v>132100511948</v>
      </c>
      <c r="T318" s="20">
        <v>2001098401</v>
      </c>
      <c r="U318" s="150">
        <v>54697</v>
      </c>
      <c r="V318" s="11" t="s">
        <v>4024</v>
      </c>
      <c r="W318" s="14" t="s">
        <v>4025</v>
      </c>
      <c r="X318" s="11" t="s">
        <v>4026</v>
      </c>
      <c r="Y318" s="51">
        <v>45586</v>
      </c>
      <c r="Z318" s="154"/>
    </row>
    <row r="319" spans="1:26" ht="34.5" customHeight="1" x14ac:dyDescent="0.25">
      <c r="A319" s="5">
        <v>70</v>
      </c>
      <c r="B319" s="14" t="s">
        <v>4027</v>
      </c>
      <c r="C319" s="5" t="s">
        <v>18</v>
      </c>
      <c r="D319" s="10" t="s">
        <v>4028</v>
      </c>
      <c r="E319" s="14" t="s">
        <v>1456</v>
      </c>
      <c r="F319" s="150">
        <v>30025</v>
      </c>
      <c r="G319" s="8" t="s">
        <v>4029</v>
      </c>
      <c r="H319" s="68" t="s">
        <v>4030</v>
      </c>
      <c r="I319" s="5" t="s">
        <v>1699</v>
      </c>
      <c r="J319" s="150">
        <v>45444</v>
      </c>
      <c r="K319" s="5">
        <v>13</v>
      </c>
      <c r="L319" s="5">
        <v>5</v>
      </c>
      <c r="M319" s="12" t="s">
        <v>1501</v>
      </c>
      <c r="N319" s="150">
        <v>44986</v>
      </c>
      <c r="O319" s="5" t="s">
        <v>1028</v>
      </c>
      <c r="P319" s="11" t="s">
        <v>4031</v>
      </c>
      <c r="Q319" s="11" t="s">
        <v>4032</v>
      </c>
      <c r="R319" s="168" t="s">
        <v>4033</v>
      </c>
      <c r="S319" s="162">
        <v>132100511978</v>
      </c>
      <c r="T319" s="20">
        <v>2015038201</v>
      </c>
      <c r="U319" s="150">
        <v>53783</v>
      </c>
      <c r="V319" s="11" t="s">
        <v>3582</v>
      </c>
      <c r="W319" s="14" t="s">
        <v>4034</v>
      </c>
      <c r="X319" s="11"/>
      <c r="Y319" s="51"/>
      <c r="Z319" s="154"/>
    </row>
    <row r="320" spans="1:26" ht="34.5" customHeight="1" x14ac:dyDescent="0.25">
      <c r="A320" s="5">
        <v>71</v>
      </c>
      <c r="B320" s="14" t="s">
        <v>4035</v>
      </c>
      <c r="C320" s="5" t="s">
        <v>46</v>
      </c>
      <c r="D320" s="10" t="s">
        <v>4036</v>
      </c>
      <c r="E320" s="14" t="s">
        <v>2428</v>
      </c>
      <c r="F320" s="150">
        <v>30717</v>
      </c>
      <c r="G320" s="8" t="s">
        <v>4037</v>
      </c>
      <c r="H320" s="68" t="s">
        <v>4038</v>
      </c>
      <c r="I320" s="5" t="s">
        <v>1699</v>
      </c>
      <c r="J320" s="150">
        <v>45383</v>
      </c>
      <c r="K320" s="5">
        <v>13</v>
      </c>
      <c r="L320" s="5">
        <v>3</v>
      </c>
      <c r="M320" s="12" t="s">
        <v>1501</v>
      </c>
      <c r="N320" s="150">
        <v>45047</v>
      </c>
      <c r="O320" s="5" t="s">
        <v>1028</v>
      </c>
      <c r="P320" s="11" t="s">
        <v>4039</v>
      </c>
      <c r="Q320" s="11" t="s">
        <v>4040</v>
      </c>
      <c r="R320" s="168" t="s">
        <v>4041</v>
      </c>
      <c r="S320" s="162">
        <v>132100511963</v>
      </c>
      <c r="T320" s="20" t="s">
        <v>4042</v>
      </c>
      <c r="U320" s="150">
        <v>54483</v>
      </c>
      <c r="V320" s="11" t="s">
        <v>4024</v>
      </c>
      <c r="W320" s="14" t="s">
        <v>4025</v>
      </c>
      <c r="X320" s="9"/>
      <c r="Y320" s="12"/>
      <c r="Z320" s="154" t="s">
        <v>1084</v>
      </c>
    </row>
    <row r="321" spans="1:26" ht="34.5" customHeight="1" x14ac:dyDescent="0.25">
      <c r="A321" s="5">
        <v>72</v>
      </c>
      <c r="B321" s="12" t="s">
        <v>4043</v>
      </c>
      <c r="C321" s="5" t="s">
        <v>46</v>
      </c>
      <c r="D321" s="5" t="s">
        <v>4044</v>
      </c>
      <c r="E321" s="14" t="s">
        <v>1519</v>
      </c>
      <c r="F321" s="150">
        <v>30156</v>
      </c>
      <c r="G321" s="151" t="s">
        <v>4045</v>
      </c>
      <c r="H321" s="68" t="s">
        <v>4046</v>
      </c>
      <c r="I321" s="5" t="s">
        <v>1738</v>
      </c>
      <c r="J321" s="150">
        <v>44105</v>
      </c>
      <c r="K321" s="5">
        <v>9</v>
      </c>
      <c r="L321" s="5">
        <v>9</v>
      </c>
      <c r="M321" s="12" t="s">
        <v>1739</v>
      </c>
      <c r="N321" s="150">
        <v>42309</v>
      </c>
      <c r="O321" s="5" t="s">
        <v>982</v>
      </c>
      <c r="P321" s="9" t="s">
        <v>4047</v>
      </c>
      <c r="Q321" s="9" t="s">
        <v>4040</v>
      </c>
      <c r="R321" s="9" t="s">
        <v>1084</v>
      </c>
      <c r="S321" s="162">
        <v>142100512847</v>
      </c>
      <c r="T321" s="20">
        <v>2024078201</v>
      </c>
      <c r="U321" s="150">
        <v>53905</v>
      </c>
      <c r="V321" s="11" t="s">
        <v>999</v>
      </c>
      <c r="W321" s="14" t="s">
        <v>3815</v>
      </c>
      <c r="X321" s="11"/>
      <c r="Y321" s="51"/>
      <c r="Z321" s="154"/>
    </row>
    <row r="322" spans="1:26" ht="34.5" customHeight="1" x14ac:dyDescent="0.25">
      <c r="A322" s="5">
        <v>73</v>
      </c>
      <c r="B322" s="12" t="s">
        <v>4048</v>
      </c>
      <c r="C322" s="5" t="s">
        <v>46</v>
      </c>
      <c r="D322" s="5" t="s">
        <v>4049</v>
      </c>
      <c r="E322" s="14" t="s">
        <v>4050</v>
      </c>
      <c r="F322" s="150" t="s">
        <v>3605</v>
      </c>
      <c r="G322" s="151" t="s">
        <v>4051</v>
      </c>
      <c r="H322" s="68" t="s">
        <v>4052</v>
      </c>
      <c r="I322" s="5" t="s">
        <v>1738</v>
      </c>
      <c r="J322" s="150">
        <v>45200</v>
      </c>
      <c r="K322" s="5">
        <v>24</v>
      </c>
      <c r="L322" s="5">
        <v>7</v>
      </c>
      <c r="M322" s="12" t="s">
        <v>1739</v>
      </c>
      <c r="N322" s="150">
        <v>42401</v>
      </c>
      <c r="O322" s="5" t="s">
        <v>1028</v>
      </c>
      <c r="P322" s="47" t="s">
        <v>4053</v>
      </c>
      <c r="Q322" s="11" t="s">
        <v>4054</v>
      </c>
      <c r="R322" s="9" t="s">
        <v>4055</v>
      </c>
      <c r="S322" s="162">
        <v>142100512852</v>
      </c>
      <c r="T322" s="5">
        <v>2014046702</v>
      </c>
      <c r="U322" s="150">
        <v>48335</v>
      </c>
      <c r="V322" s="9" t="s">
        <v>3623</v>
      </c>
      <c r="W322" s="14" t="s">
        <v>3909</v>
      </c>
      <c r="X322" s="9" t="s">
        <v>4056</v>
      </c>
      <c r="Y322" s="51">
        <v>45586</v>
      </c>
      <c r="Z322" s="154"/>
    </row>
    <row r="323" spans="1:26" ht="34.5" customHeight="1" x14ac:dyDescent="0.25">
      <c r="A323" s="5">
        <v>74</v>
      </c>
      <c r="B323" s="14" t="s">
        <v>4057</v>
      </c>
      <c r="C323" s="5" t="s">
        <v>46</v>
      </c>
      <c r="D323" s="10" t="s">
        <v>4058</v>
      </c>
      <c r="E323" s="14" t="s">
        <v>1479</v>
      </c>
      <c r="F323" s="150">
        <v>30821</v>
      </c>
      <c r="G323" s="8" t="s">
        <v>4059</v>
      </c>
      <c r="H323" s="68" t="s">
        <v>4060</v>
      </c>
      <c r="I323" s="5" t="s">
        <v>1717</v>
      </c>
      <c r="J323" s="150">
        <v>42461</v>
      </c>
      <c r="K323" s="5">
        <v>6</v>
      </c>
      <c r="L323" s="5">
        <v>4</v>
      </c>
      <c r="M323" s="12" t="s">
        <v>1739</v>
      </c>
      <c r="N323" s="150">
        <v>42401</v>
      </c>
      <c r="O323" s="5" t="s">
        <v>1028</v>
      </c>
      <c r="P323" s="11" t="s">
        <v>4061</v>
      </c>
      <c r="Q323" s="11" t="s">
        <v>3806</v>
      </c>
      <c r="R323" s="168" t="s">
        <v>4062</v>
      </c>
      <c r="S323" s="162">
        <v>132100511968</v>
      </c>
      <c r="T323" s="20">
        <v>2019058401</v>
      </c>
      <c r="U323" s="150">
        <v>54575</v>
      </c>
      <c r="V323" s="11" t="s">
        <v>3894</v>
      </c>
      <c r="W323" s="14" t="s">
        <v>4063</v>
      </c>
      <c r="X323" s="11"/>
      <c r="Y323" s="5"/>
      <c r="Z323" s="154" t="s">
        <v>1084</v>
      </c>
    </row>
    <row r="324" spans="1:26" ht="34.5" customHeight="1" x14ac:dyDescent="0.25">
      <c r="A324" s="5">
        <v>75</v>
      </c>
      <c r="B324" s="14" t="s">
        <v>4064</v>
      </c>
      <c r="C324" s="5" t="s">
        <v>46</v>
      </c>
      <c r="D324" s="10" t="s">
        <v>4065</v>
      </c>
      <c r="E324" s="14" t="s">
        <v>1536</v>
      </c>
      <c r="F324" s="150">
        <v>29331</v>
      </c>
      <c r="G324" s="8" t="s">
        <v>4066</v>
      </c>
      <c r="H324" s="68" t="s">
        <v>4067</v>
      </c>
      <c r="I324" s="5" t="s">
        <v>1699</v>
      </c>
      <c r="J324" s="150">
        <v>45444</v>
      </c>
      <c r="K324" s="5">
        <v>13</v>
      </c>
      <c r="L324" s="5">
        <v>5</v>
      </c>
      <c r="M324" s="12" t="s">
        <v>1501</v>
      </c>
      <c r="N324" s="150">
        <v>44986</v>
      </c>
      <c r="O324" s="5" t="s">
        <v>1028</v>
      </c>
      <c r="P324" s="11" t="s">
        <v>4068</v>
      </c>
      <c r="Q324" s="11" t="s">
        <v>4069</v>
      </c>
      <c r="R324" s="168" t="s">
        <v>4070</v>
      </c>
      <c r="S324" s="162">
        <v>142100512845</v>
      </c>
      <c r="T324" s="20">
        <v>2020048001</v>
      </c>
      <c r="U324" s="150">
        <v>53083</v>
      </c>
      <c r="V324" s="11" t="s">
        <v>3894</v>
      </c>
      <c r="W324" s="14" t="s">
        <v>4071</v>
      </c>
      <c r="X324" s="11" t="s">
        <v>4072</v>
      </c>
      <c r="Y324" s="51">
        <v>45586</v>
      </c>
      <c r="Z324" s="154"/>
    </row>
    <row r="325" spans="1:26" ht="34.5" customHeight="1" x14ac:dyDescent="0.25">
      <c r="A325" s="5">
        <v>76</v>
      </c>
      <c r="B325" s="12" t="s">
        <v>4073</v>
      </c>
      <c r="C325" s="5" t="s">
        <v>46</v>
      </c>
      <c r="D325" s="5" t="s">
        <v>4074</v>
      </c>
      <c r="E325" s="14" t="s">
        <v>1887</v>
      </c>
      <c r="F325" s="150" t="s">
        <v>4075</v>
      </c>
      <c r="G325" s="151" t="s">
        <v>4076</v>
      </c>
      <c r="H325" s="68" t="s">
        <v>4077</v>
      </c>
      <c r="I325" s="5" t="s">
        <v>1738</v>
      </c>
      <c r="J325" s="150">
        <v>43556</v>
      </c>
      <c r="K325" s="5">
        <v>25</v>
      </c>
      <c r="L325" s="5">
        <v>1</v>
      </c>
      <c r="M325" s="12" t="s">
        <v>1739</v>
      </c>
      <c r="N325" s="150" t="s">
        <v>4078</v>
      </c>
      <c r="O325" s="5" t="s">
        <v>982</v>
      </c>
      <c r="P325" s="47" t="s">
        <v>3590</v>
      </c>
      <c r="Q325" s="47" t="s">
        <v>4079</v>
      </c>
      <c r="R325" s="9"/>
      <c r="S325" s="162">
        <v>102100504713</v>
      </c>
      <c r="T325" s="166">
        <v>2007086802</v>
      </c>
      <c r="U325" s="150">
        <v>48823</v>
      </c>
      <c r="V325" s="11" t="s">
        <v>3894</v>
      </c>
      <c r="W325" s="14" t="s">
        <v>3593</v>
      </c>
      <c r="X325" s="11"/>
      <c r="Y325" s="5"/>
      <c r="Z325" s="154"/>
    </row>
    <row r="326" spans="1:26" ht="34.5" customHeight="1" x14ac:dyDescent="0.25">
      <c r="A326" s="5">
        <v>77</v>
      </c>
      <c r="B326" s="12" t="s">
        <v>4080</v>
      </c>
      <c r="C326" s="5" t="s">
        <v>46</v>
      </c>
      <c r="D326" s="5" t="s">
        <v>4081</v>
      </c>
      <c r="E326" s="14" t="s">
        <v>1902</v>
      </c>
      <c r="F326" s="150">
        <v>27436</v>
      </c>
      <c r="G326" s="151" t="s">
        <v>4082</v>
      </c>
      <c r="H326" s="68" t="s">
        <v>4083</v>
      </c>
      <c r="I326" s="5" t="s">
        <v>1738</v>
      </c>
      <c r="J326" s="150">
        <v>45383</v>
      </c>
      <c r="K326" s="5">
        <v>19</v>
      </c>
      <c r="L326" s="5">
        <v>3</v>
      </c>
      <c r="M326" s="12" t="s">
        <v>1739</v>
      </c>
      <c r="N326" s="150">
        <v>42522</v>
      </c>
      <c r="O326" s="5" t="s">
        <v>1028</v>
      </c>
      <c r="P326" s="157" t="s">
        <v>4084</v>
      </c>
      <c r="Q326" s="157" t="s">
        <v>3732</v>
      </c>
      <c r="R326" s="9" t="s">
        <v>4085</v>
      </c>
      <c r="S326" s="162">
        <v>102100504721</v>
      </c>
      <c r="T326" s="166">
        <v>2011027501</v>
      </c>
      <c r="U326" s="150">
        <v>51196</v>
      </c>
      <c r="V326" s="11" t="s">
        <v>3448</v>
      </c>
      <c r="W326" s="14" t="s">
        <v>4086</v>
      </c>
      <c r="X326" s="11" t="s">
        <v>4087</v>
      </c>
      <c r="Y326" s="51">
        <v>45586</v>
      </c>
      <c r="Z326" s="154"/>
    </row>
    <row r="327" spans="1:26" ht="34.5" customHeight="1" x14ac:dyDescent="0.25">
      <c r="A327" s="5">
        <v>78</v>
      </c>
      <c r="B327" s="12" t="s">
        <v>4088</v>
      </c>
      <c r="C327" s="5" t="s">
        <v>18</v>
      </c>
      <c r="D327" s="5" t="s">
        <v>4089</v>
      </c>
      <c r="E327" s="14" t="s">
        <v>1967</v>
      </c>
      <c r="F327" s="150">
        <v>23939</v>
      </c>
      <c r="G327" s="151" t="s">
        <v>4090</v>
      </c>
      <c r="H327" s="68" t="s">
        <v>4091</v>
      </c>
      <c r="I327" s="5" t="s">
        <v>1738</v>
      </c>
      <c r="J327" s="150">
        <v>39722</v>
      </c>
      <c r="K327" s="5">
        <v>10</v>
      </c>
      <c r="L327" s="5">
        <v>7</v>
      </c>
      <c r="M327" s="12" t="s">
        <v>1739</v>
      </c>
      <c r="N327" s="150">
        <v>42826</v>
      </c>
      <c r="O327" s="5" t="s">
        <v>1028</v>
      </c>
      <c r="P327" s="47" t="s">
        <v>4092</v>
      </c>
      <c r="Q327" s="47" t="s">
        <v>4093</v>
      </c>
      <c r="R327" s="9" t="s">
        <v>4094</v>
      </c>
      <c r="S327" s="162" t="s">
        <v>1084</v>
      </c>
      <c r="T327" s="183" t="s">
        <v>4095</v>
      </c>
      <c r="U327" s="150">
        <v>47696</v>
      </c>
      <c r="V327" s="11" t="s">
        <v>3610</v>
      </c>
      <c r="W327" s="11" t="s">
        <v>3489</v>
      </c>
      <c r="X327" s="9"/>
      <c r="Y327" s="51"/>
      <c r="Z327" s="154" t="s">
        <v>1084</v>
      </c>
    </row>
    <row r="328" spans="1:26" ht="34.5" customHeight="1" x14ac:dyDescent="0.25">
      <c r="A328" s="5">
        <v>79</v>
      </c>
      <c r="B328" s="12" t="s">
        <v>4096</v>
      </c>
      <c r="C328" s="5" t="s">
        <v>18</v>
      </c>
      <c r="D328" s="5" t="s">
        <v>4097</v>
      </c>
      <c r="E328" s="14" t="s">
        <v>4098</v>
      </c>
      <c r="F328" s="150" t="s">
        <v>4099</v>
      </c>
      <c r="G328" s="151" t="s">
        <v>4100</v>
      </c>
      <c r="H328" s="68" t="s">
        <v>4101</v>
      </c>
      <c r="I328" s="5" t="s">
        <v>1717</v>
      </c>
      <c r="J328" s="150">
        <v>43374</v>
      </c>
      <c r="K328" s="5">
        <v>24</v>
      </c>
      <c r="L328" s="5">
        <v>1</v>
      </c>
      <c r="M328" s="12" t="s">
        <v>1739</v>
      </c>
      <c r="N328" s="150">
        <v>43191</v>
      </c>
      <c r="O328" s="5" t="s">
        <v>982</v>
      </c>
      <c r="P328" s="47" t="s">
        <v>4102</v>
      </c>
      <c r="Q328" s="47" t="s">
        <v>4103</v>
      </c>
      <c r="R328" s="9"/>
      <c r="S328" s="162">
        <v>102100504627</v>
      </c>
      <c r="T328" s="166"/>
      <c r="U328" s="150">
        <v>45839</v>
      </c>
      <c r="V328" s="11" t="s">
        <v>3704</v>
      </c>
      <c r="W328" s="14" t="s">
        <v>4104</v>
      </c>
      <c r="X328" s="11"/>
      <c r="Y328" s="5"/>
      <c r="Z328" s="154" t="s">
        <v>4105</v>
      </c>
    </row>
    <row r="329" spans="1:26" ht="34.5" customHeight="1" x14ac:dyDescent="0.25">
      <c r="A329" s="5">
        <v>80</v>
      </c>
      <c r="B329" s="12" t="s">
        <v>4106</v>
      </c>
      <c r="C329" s="5" t="s">
        <v>46</v>
      </c>
      <c r="D329" s="5" t="s">
        <v>4107</v>
      </c>
      <c r="E329" s="14" t="s">
        <v>2103</v>
      </c>
      <c r="F329" s="150">
        <v>25781</v>
      </c>
      <c r="G329" s="151" t="s">
        <v>4108</v>
      </c>
      <c r="H329" s="68" t="s">
        <v>4109</v>
      </c>
      <c r="I329" s="5" t="s">
        <v>1558</v>
      </c>
      <c r="J329" s="150">
        <v>45383</v>
      </c>
      <c r="K329" s="5">
        <v>19</v>
      </c>
      <c r="L329" s="5">
        <v>3</v>
      </c>
      <c r="M329" s="12" t="s">
        <v>1501</v>
      </c>
      <c r="N329" s="150">
        <v>45139</v>
      </c>
      <c r="O329" s="5" t="s">
        <v>1028</v>
      </c>
      <c r="P329" s="47" t="s">
        <v>3859</v>
      </c>
      <c r="Q329" s="47" t="s">
        <v>4110</v>
      </c>
      <c r="R329" s="190" t="s">
        <v>4111</v>
      </c>
      <c r="S329" s="14"/>
      <c r="T329" s="171" t="s">
        <v>4112</v>
      </c>
      <c r="U329" s="150">
        <v>49553</v>
      </c>
      <c r="V329" s="11" t="s">
        <v>3534</v>
      </c>
      <c r="W329" s="14" t="s">
        <v>4113</v>
      </c>
      <c r="X329" s="11" t="s">
        <v>4114</v>
      </c>
      <c r="Y329" s="51">
        <v>45586</v>
      </c>
      <c r="Z329" s="154"/>
    </row>
    <row r="330" spans="1:26" ht="34.5" customHeight="1" x14ac:dyDescent="0.25">
      <c r="A330" s="5">
        <v>81</v>
      </c>
      <c r="B330" s="9" t="s">
        <v>4115</v>
      </c>
      <c r="C330" s="10" t="s">
        <v>18</v>
      </c>
      <c r="D330" s="10"/>
      <c r="E330" s="9" t="s">
        <v>3342</v>
      </c>
      <c r="F330" s="161">
        <v>30325</v>
      </c>
      <c r="G330" s="151" t="s">
        <v>4116</v>
      </c>
      <c r="H330" s="68" t="s">
        <v>4117</v>
      </c>
      <c r="I330" s="10" t="s">
        <v>1738</v>
      </c>
      <c r="J330" s="161">
        <v>44835</v>
      </c>
      <c r="K330" s="5">
        <v>7</v>
      </c>
      <c r="L330" s="5">
        <v>7</v>
      </c>
      <c r="M330" s="12" t="s">
        <v>1739</v>
      </c>
      <c r="N330" s="150">
        <v>43405</v>
      </c>
      <c r="O330" s="5" t="s">
        <v>982</v>
      </c>
      <c r="P330" s="11" t="s">
        <v>4118</v>
      </c>
      <c r="Q330" s="9" t="s">
        <v>4119</v>
      </c>
      <c r="R330" s="168"/>
      <c r="S330" s="14" t="s">
        <v>4120</v>
      </c>
      <c r="T330" s="20" t="s">
        <v>4121</v>
      </c>
      <c r="U330" s="150">
        <v>54089</v>
      </c>
      <c r="V330" s="11" t="s">
        <v>4024</v>
      </c>
      <c r="W330" s="9" t="s">
        <v>4025</v>
      </c>
      <c r="X330" s="89"/>
      <c r="Y330" s="89"/>
      <c r="Z330" s="153" t="s">
        <v>1965</v>
      </c>
    </row>
    <row r="331" spans="1:26" ht="34.5" customHeight="1" x14ac:dyDescent="0.25">
      <c r="A331" s="5">
        <v>82</v>
      </c>
      <c r="B331" s="12" t="s">
        <v>4122</v>
      </c>
      <c r="C331" s="5" t="s">
        <v>46</v>
      </c>
      <c r="D331" s="5" t="s">
        <v>4123</v>
      </c>
      <c r="E331" s="14" t="s">
        <v>4124</v>
      </c>
      <c r="F331" s="150">
        <v>26854</v>
      </c>
      <c r="G331" s="151" t="s">
        <v>4125</v>
      </c>
      <c r="H331" s="68" t="s">
        <v>4126</v>
      </c>
      <c r="I331" s="5" t="s">
        <v>1738</v>
      </c>
      <c r="J331" s="161">
        <v>44652</v>
      </c>
      <c r="K331" s="5">
        <v>14</v>
      </c>
      <c r="L331" s="5">
        <v>3</v>
      </c>
      <c r="M331" s="12" t="s">
        <v>1739</v>
      </c>
      <c r="N331" s="150">
        <v>43647</v>
      </c>
      <c r="O331" s="5" t="s">
        <v>982</v>
      </c>
      <c r="P331" s="47" t="s">
        <v>4127</v>
      </c>
      <c r="Q331" s="9" t="s">
        <v>4128</v>
      </c>
      <c r="R331" s="9"/>
      <c r="S331" s="162">
        <v>112100513240023</v>
      </c>
      <c r="T331" s="166" t="s">
        <v>4129</v>
      </c>
      <c r="U331" s="150">
        <v>50496</v>
      </c>
      <c r="V331" s="11" t="s">
        <v>3894</v>
      </c>
      <c r="W331" s="14" t="s">
        <v>4130</v>
      </c>
      <c r="X331" s="11" t="s">
        <v>4131</v>
      </c>
      <c r="Y331" s="51">
        <v>45586</v>
      </c>
      <c r="Z331" s="154"/>
    </row>
    <row r="332" spans="1:26" ht="34.5" customHeight="1" x14ac:dyDescent="0.25">
      <c r="A332" s="5">
        <v>83</v>
      </c>
      <c r="B332" s="12" t="s">
        <v>4132</v>
      </c>
      <c r="C332" s="5" t="s">
        <v>18</v>
      </c>
      <c r="D332" s="5"/>
      <c r="E332" s="14" t="s">
        <v>3388</v>
      </c>
      <c r="F332" s="150">
        <v>30250</v>
      </c>
      <c r="G332" s="151" t="s">
        <v>4133</v>
      </c>
      <c r="H332" s="68" t="s">
        <v>4134</v>
      </c>
      <c r="I332" s="5" t="s">
        <v>1738</v>
      </c>
      <c r="J332" s="150">
        <v>45383</v>
      </c>
      <c r="K332" s="5">
        <v>9</v>
      </c>
      <c r="L332" s="5">
        <v>1</v>
      </c>
      <c r="M332" s="12" t="s">
        <v>1739</v>
      </c>
      <c r="N332" s="150">
        <v>43678</v>
      </c>
      <c r="O332" s="5" t="s">
        <v>982</v>
      </c>
      <c r="P332" s="47" t="s">
        <v>4135</v>
      </c>
      <c r="Q332" s="47" t="s">
        <v>4136</v>
      </c>
      <c r="R332" s="9"/>
      <c r="S332" s="162" t="s">
        <v>4137</v>
      </c>
      <c r="T332" s="166" t="s">
        <v>4138</v>
      </c>
      <c r="U332" s="150">
        <v>53997</v>
      </c>
      <c r="V332" s="11" t="s">
        <v>1127</v>
      </c>
      <c r="W332" s="14" t="s">
        <v>4139</v>
      </c>
      <c r="X332" s="11" t="s">
        <v>4140</v>
      </c>
      <c r="Y332" s="51">
        <v>45586</v>
      </c>
      <c r="Z332" s="154"/>
    </row>
    <row r="333" spans="1:26" ht="34.5" customHeight="1" x14ac:dyDescent="0.25">
      <c r="A333" s="5">
        <v>84</v>
      </c>
      <c r="B333" s="14" t="s">
        <v>4141</v>
      </c>
      <c r="C333" s="5" t="s">
        <v>46</v>
      </c>
      <c r="D333" s="10"/>
      <c r="E333" s="14" t="s">
        <v>1696</v>
      </c>
      <c r="F333" s="150">
        <v>29495</v>
      </c>
      <c r="G333" s="8" t="s">
        <v>4142</v>
      </c>
      <c r="H333" s="68" t="s">
        <v>4143</v>
      </c>
      <c r="I333" s="5" t="s">
        <v>1717</v>
      </c>
      <c r="J333" s="150">
        <v>43739</v>
      </c>
      <c r="K333" s="5">
        <v>4</v>
      </c>
      <c r="L333" s="5">
        <v>7</v>
      </c>
      <c r="M333" s="12" t="s">
        <v>1739</v>
      </c>
      <c r="N333" s="150">
        <v>43678</v>
      </c>
      <c r="O333" s="5" t="s">
        <v>982</v>
      </c>
      <c r="P333" s="11" t="s">
        <v>4144</v>
      </c>
      <c r="Q333" s="11" t="s">
        <v>4145</v>
      </c>
      <c r="R333" s="168"/>
      <c r="S333" s="162" t="s">
        <v>4146</v>
      </c>
      <c r="T333" s="20" t="s">
        <v>4147</v>
      </c>
      <c r="U333" s="150">
        <v>53267</v>
      </c>
      <c r="V333" s="11" t="s">
        <v>3724</v>
      </c>
      <c r="W333" s="14" t="s">
        <v>3518</v>
      </c>
      <c r="X333" s="9" t="s">
        <v>4148</v>
      </c>
      <c r="Y333" s="51">
        <v>45586</v>
      </c>
      <c r="Z333" s="40" t="s">
        <v>1084</v>
      </c>
    </row>
    <row r="334" spans="1:26" ht="34.5" customHeight="1" x14ac:dyDescent="0.25">
      <c r="A334" s="5">
        <v>85</v>
      </c>
      <c r="B334" s="9" t="s">
        <v>4149</v>
      </c>
      <c r="C334" s="10" t="s">
        <v>46</v>
      </c>
      <c r="D334" s="10"/>
      <c r="E334" s="9" t="s">
        <v>1638</v>
      </c>
      <c r="F334" s="161">
        <v>32331</v>
      </c>
      <c r="G334" s="151" t="s">
        <v>4150</v>
      </c>
      <c r="H334" s="68" t="s">
        <v>4151</v>
      </c>
      <c r="I334" s="10" t="s">
        <v>1738</v>
      </c>
      <c r="J334" s="150">
        <v>45383</v>
      </c>
      <c r="K334" s="5">
        <v>9</v>
      </c>
      <c r="L334" s="5">
        <v>1</v>
      </c>
      <c r="M334" s="12" t="s">
        <v>1739</v>
      </c>
      <c r="N334" s="150">
        <v>43739</v>
      </c>
      <c r="O334" s="5" t="s">
        <v>982</v>
      </c>
      <c r="P334" s="11" t="s">
        <v>4152</v>
      </c>
      <c r="Q334" s="9" t="s">
        <v>4153</v>
      </c>
      <c r="R334" s="168"/>
      <c r="S334" s="180">
        <v>112100511320010</v>
      </c>
      <c r="T334" s="20" t="s">
        <v>4154</v>
      </c>
      <c r="U334" s="150">
        <v>56097</v>
      </c>
      <c r="V334" s="11" t="s">
        <v>3798</v>
      </c>
      <c r="W334" s="14" t="s">
        <v>3925</v>
      </c>
      <c r="X334" s="89"/>
      <c r="Y334" s="89"/>
      <c r="Z334" s="89"/>
    </row>
    <row r="335" spans="1:26" ht="34.5" customHeight="1" x14ac:dyDescent="0.25">
      <c r="A335" s="5">
        <v>86</v>
      </c>
      <c r="B335" s="12" t="s">
        <v>4155</v>
      </c>
      <c r="C335" s="5" t="s">
        <v>46</v>
      </c>
      <c r="D335" s="5" t="s">
        <v>4156</v>
      </c>
      <c r="E335" s="14" t="s">
        <v>2435</v>
      </c>
      <c r="F335" s="150">
        <v>27524</v>
      </c>
      <c r="G335" s="151" t="s">
        <v>4157</v>
      </c>
      <c r="H335" s="68" t="s">
        <v>4158</v>
      </c>
      <c r="I335" s="5" t="s">
        <v>1738</v>
      </c>
      <c r="J335" s="150">
        <v>45017</v>
      </c>
      <c r="K335" s="5">
        <v>18</v>
      </c>
      <c r="L335" s="5">
        <v>3</v>
      </c>
      <c r="M335" s="12" t="s">
        <v>1739</v>
      </c>
      <c r="N335" s="150">
        <v>44013</v>
      </c>
      <c r="O335" s="5" t="s">
        <v>1028</v>
      </c>
      <c r="P335" s="157" t="s">
        <v>1084</v>
      </c>
      <c r="Q335" s="157" t="s">
        <v>4159</v>
      </c>
      <c r="R335" s="9" t="s">
        <v>4160</v>
      </c>
      <c r="S335" s="162">
        <v>112100511320010</v>
      </c>
      <c r="T335" s="166">
        <v>2010057501</v>
      </c>
      <c r="U335" s="150">
        <v>51288</v>
      </c>
      <c r="V335" s="11" t="s">
        <v>3582</v>
      </c>
      <c r="W335" s="14" t="s">
        <v>1045</v>
      </c>
      <c r="X335" s="11" t="s">
        <v>4161</v>
      </c>
      <c r="Y335" s="51">
        <v>45586</v>
      </c>
      <c r="Z335" s="154"/>
    </row>
    <row r="336" spans="1:26" ht="34.5" customHeight="1" x14ac:dyDescent="0.25">
      <c r="A336" s="5">
        <v>87</v>
      </c>
      <c r="B336" s="12" t="s">
        <v>4162</v>
      </c>
      <c r="C336" s="5" t="s">
        <v>46</v>
      </c>
      <c r="D336" s="5"/>
      <c r="E336" s="14" t="s">
        <v>1942</v>
      </c>
      <c r="F336" s="150">
        <v>27696</v>
      </c>
      <c r="G336" s="151" t="s">
        <v>4163</v>
      </c>
      <c r="H336" s="68" t="s">
        <v>4164</v>
      </c>
      <c r="I336" s="5" t="s">
        <v>1717</v>
      </c>
      <c r="J336" s="150">
        <v>44287</v>
      </c>
      <c r="K336" s="5">
        <v>16</v>
      </c>
      <c r="L336" s="5">
        <v>3</v>
      </c>
      <c r="M336" s="12" t="s">
        <v>1739</v>
      </c>
      <c r="N336" s="150">
        <v>44075</v>
      </c>
      <c r="O336" s="5" t="s">
        <v>982</v>
      </c>
      <c r="P336" s="157" t="s">
        <v>4165</v>
      </c>
      <c r="Q336" s="157" t="s">
        <v>4166</v>
      </c>
      <c r="R336" s="9"/>
      <c r="S336" s="162">
        <v>132100511981</v>
      </c>
      <c r="T336" s="20">
        <v>2029107501</v>
      </c>
      <c r="U336" s="150">
        <v>51441</v>
      </c>
      <c r="V336" s="196" t="s">
        <v>999</v>
      </c>
      <c r="W336" s="14" t="s">
        <v>1875</v>
      </c>
      <c r="X336" s="11" t="s">
        <v>4167</v>
      </c>
      <c r="Y336" s="51">
        <v>45596</v>
      </c>
      <c r="Z336" s="154"/>
    </row>
    <row r="337" spans="1:26" ht="34.5" customHeight="1" x14ac:dyDescent="0.25">
      <c r="A337" s="5">
        <v>88</v>
      </c>
      <c r="B337" s="12" t="s">
        <v>4168</v>
      </c>
      <c r="C337" s="5" t="s">
        <v>18</v>
      </c>
      <c r="D337" s="5" t="s">
        <v>4169</v>
      </c>
      <c r="E337" s="14" t="s">
        <v>1648</v>
      </c>
      <c r="F337" s="150" t="s">
        <v>4170</v>
      </c>
      <c r="G337" s="151" t="s">
        <v>4171</v>
      </c>
      <c r="H337" s="68" t="s">
        <v>4172</v>
      </c>
      <c r="I337" s="5" t="s">
        <v>1991</v>
      </c>
      <c r="J337" s="150">
        <v>45200</v>
      </c>
      <c r="K337" s="5">
        <v>24</v>
      </c>
      <c r="L337" s="5">
        <v>7</v>
      </c>
      <c r="M337" s="12" t="s">
        <v>1739</v>
      </c>
      <c r="N337" s="150">
        <v>44866</v>
      </c>
      <c r="O337" s="5" t="s">
        <v>982</v>
      </c>
      <c r="P337" s="47" t="s">
        <v>4173</v>
      </c>
      <c r="Q337" s="47" t="s">
        <v>4174</v>
      </c>
      <c r="R337" s="9"/>
      <c r="S337" s="162">
        <v>102100504719</v>
      </c>
      <c r="T337" s="166">
        <v>2010016801</v>
      </c>
      <c r="U337" s="150">
        <v>48611</v>
      </c>
      <c r="V337" s="11" t="s">
        <v>3610</v>
      </c>
      <c r="W337" s="14" t="s">
        <v>4175</v>
      </c>
      <c r="X337" s="11"/>
      <c r="Y337" s="5"/>
      <c r="Z337" s="154"/>
    </row>
    <row r="338" spans="1:26" ht="34.5" customHeight="1" x14ac:dyDescent="0.25">
      <c r="A338" s="5">
        <v>89</v>
      </c>
      <c r="B338" s="12" t="s">
        <v>4176</v>
      </c>
      <c r="C338" s="5" t="s">
        <v>46</v>
      </c>
      <c r="D338" s="5" t="s">
        <v>4177</v>
      </c>
      <c r="E338" s="198" t="s">
        <v>1934</v>
      </c>
      <c r="F338" s="150" t="s">
        <v>4178</v>
      </c>
      <c r="G338" s="151" t="s">
        <v>4179</v>
      </c>
      <c r="H338" s="68" t="s">
        <v>4180</v>
      </c>
      <c r="I338" s="5" t="s">
        <v>1991</v>
      </c>
      <c r="J338" s="150">
        <v>45200</v>
      </c>
      <c r="K338" s="5">
        <v>24</v>
      </c>
      <c r="L338" s="5">
        <v>7</v>
      </c>
      <c r="M338" s="12" t="s">
        <v>1739</v>
      </c>
      <c r="N338" s="150">
        <v>44866</v>
      </c>
      <c r="O338" s="5" t="s">
        <v>982</v>
      </c>
      <c r="P338" s="47" t="s">
        <v>4181</v>
      </c>
      <c r="Q338" s="47" t="s">
        <v>4182</v>
      </c>
      <c r="R338" s="9" t="s">
        <v>1084</v>
      </c>
      <c r="S338" s="162">
        <v>102100504753</v>
      </c>
      <c r="T338" s="166">
        <v>2019017301</v>
      </c>
      <c r="U338" s="150">
        <v>50437</v>
      </c>
      <c r="V338" s="11" t="s">
        <v>3610</v>
      </c>
      <c r="W338" s="14" t="s">
        <v>4183</v>
      </c>
      <c r="X338" s="11"/>
      <c r="Y338" s="5"/>
      <c r="Z338" s="154"/>
    </row>
    <row r="339" spans="1:26" ht="34.5" customHeight="1" x14ac:dyDescent="0.25">
      <c r="A339" s="5">
        <v>90</v>
      </c>
      <c r="B339" s="14" t="s">
        <v>4184</v>
      </c>
      <c r="C339" s="5" t="s">
        <v>18</v>
      </c>
      <c r="D339" s="10" t="s">
        <v>4185</v>
      </c>
      <c r="E339" s="14" t="s">
        <v>2941</v>
      </c>
      <c r="F339" s="150" t="s">
        <v>4186</v>
      </c>
      <c r="G339" s="8" t="s">
        <v>4187</v>
      </c>
      <c r="H339" s="68" t="s">
        <v>4188</v>
      </c>
      <c r="I339" s="5" t="s">
        <v>1717</v>
      </c>
      <c r="J339" s="150">
        <v>44835</v>
      </c>
      <c r="K339" s="5">
        <v>16</v>
      </c>
      <c r="L339" s="5">
        <v>6</v>
      </c>
      <c r="M339" s="12" t="s">
        <v>1739</v>
      </c>
      <c r="N339" s="150" t="s">
        <v>4189</v>
      </c>
      <c r="O339" s="5" t="s">
        <v>982</v>
      </c>
      <c r="P339" s="11" t="s">
        <v>4190</v>
      </c>
      <c r="Q339" s="11" t="s">
        <v>4191</v>
      </c>
      <c r="R339" s="168"/>
      <c r="S339" s="162">
        <v>102100504698</v>
      </c>
      <c r="T339" s="20">
        <v>2019087901</v>
      </c>
      <c r="U339" s="150">
        <v>52841</v>
      </c>
      <c r="V339" s="11" t="s">
        <v>3724</v>
      </c>
      <c r="W339" s="14" t="s">
        <v>3518</v>
      </c>
      <c r="X339" s="9"/>
      <c r="Y339" s="51"/>
      <c r="Z339" s="154"/>
    </row>
    <row r="340" spans="1:26" ht="34.5" customHeight="1" x14ac:dyDescent="0.25">
      <c r="A340" s="5">
        <v>91</v>
      </c>
      <c r="B340" s="12" t="s">
        <v>4192</v>
      </c>
      <c r="C340" s="5" t="s">
        <v>18</v>
      </c>
      <c r="D340" s="5" t="s">
        <v>4193</v>
      </c>
      <c r="E340" s="14" t="s">
        <v>2055</v>
      </c>
      <c r="F340" s="150">
        <v>28455</v>
      </c>
      <c r="G340" s="151" t="s">
        <v>4194</v>
      </c>
      <c r="H340" s="68" t="s">
        <v>4195</v>
      </c>
      <c r="I340" s="5" t="s">
        <v>1699</v>
      </c>
      <c r="J340" s="150">
        <v>41183</v>
      </c>
      <c r="K340" s="5" t="s">
        <v>1084</v>
      </c>
      <c r="L340" s="5" t="s">
        <v>1084</v>
      </c>
      <c r="M340" s="12" t="s">
        <v>1501</v>
      </c>
      <c r="N340" s="150">
        <v>45017</v>
      </c>
      <c r="O340" s="5" t="s">
        <v>1028</v>
      </c>
      <c r="P340" s="47" t="s">
        <v>4196</v>
      </c>
      <c r="Q340" s="47" t="s">
        <v>4197</v>
      </c>
      <c r="R340" s="190" t="s">
        <v>4198</v>
      </c>
      <c r="S340" s="186" t="s">
        <v>4199</v>
      </c>
      <c r="T340" s="20" t="s">
        <v>4200</v>
      </c>
      <c r="U340" s="150">
        <v>50649</v>
      </c>
      <c r="V340" s="11" t="s">
        <v>3448</v>
      </c>
      <c r="W340" s="14" t="s">
        <v>3705</v>
      </c>
      <c r="X340" s="11"/>
      <c r="Y340" s="5"/>
      <c r="Z340" s="154"/>
    </row>
    <row r="341" spans="1:26" ht="34.5" customHeight="1" x14ac:dyDescent="0.25">
      <c r="A341" s="5">
        <v>92</v>
      </c>
      <c r="B341" s="12" t="s">
        <v>4201</v>
      </c>
      <c r="C341" s="5" t="s">
        <v>18</v>
      </c>
      <c r="D341" s="5"/>
      <c r="E341" s="14" t="s">
        <v>2941</v>
      </c>
      <c r="F341" s="150">
        <v>30919</v>
      </c>
      <c r="G341" s="151" t="s">
        <v>4202</v>
      </c>
      <c r="H341" s="68" t="s">
        <v>4203</v>
      </c>
      <c r="I341" s="5" t="s">
        <v>1717</v>
      </c>
      <c r="J341" s="150">
        <v>45200</v>
      </c>
      <c r="K341" s="5">
        <v>8</v>
      </c>
      <c r="L341" s="5">
        <v>7</v>
      </c>
      <c r="M341" s="12" t="s">
        <v>1739</v>
      </c>
      <c r="N341" s="150">
        <v>44927</v>
      </c>
      <c r="O341" s="5" t="s">
        <v>982</v>
      </c>
      <c r="P341" s="9" t="s">
        <v>4204</v>
      </c>
      <c r="Q341" s="9" t="s">
        <v>4205</v>
      </c>
      <c r="R341" s="9"/>
      <c r="S341" s="162">
        <v>142100512847</v>
      </c>
      <c r="T341" s="20" t="s">
        <v>4206</v>
      </c>
      <c r="U341" s="150">
        <v>54667</v>
      </c>
      <c r="V341" s="11" t="s">
        <v>999</v>
      </c>
      <c r="W341" s="14" t="s">
        <v>4207</v>
      </c>
      <c r="X341" s="11"/>
      <c r="Y341" s="51"/>
      <c r="Z341" s="154" t="s">
        <v>1084</v>
      </c>
    </row>
    <row r="342" spans="1:26" ht="34.5" customHeight="1" x14ac:dyDescent="0.25">
      <c r="A342" s="5">
        <v>93</v>
      </c>
      <c r="B342" s="12" t="s">
        <v>4208</v>
      </c>
      <c r="C342" s="5" t="s">
        <v>18</v>
      </c>
      <c r="D342" s="5"/>
      <c r="E342" s="14" t="s">
        <v>2144</v>
      </c>
      <c r="F342" s="150">
        <v>32102</v>
      </c>
      <c r="G342" s="151" t="s">
        <v>4209</v>
      </c>
      <c r="H342" s="68" t="s">
        <v>4210</v>
      </c>
      <c r="I342" s="5" t="s">
        <v>1738</v>
      </c>
      <c r="J342" s="150">
        <v>45566</v>
      </c>
      <c r="K342" s="5">
        <v>9</v>
      </c>
      <c r="L342" s="5">
        <v>7</v>
      </c>
      <c r="M342" s="12" t="s">
        <v>1739</v>
      </c>
      <c r="N342" s="150">
        <v>44652</v>
      </c>
      <c r="O342" s="5" t="s">
        <v>982</v>
      </c>
      <c r="P342" s="47" t="s">
        <v>4211</v>
      </c>
      <c r="Q342" s="47" t="s">
        <v>4212</v>
      </c>
      <c r="R342" s="9"/>
      <c r="S342" s="162" t="s">
        <v>4213</v>
      </c>
      <c r="T342" s="166" t="s">
        <v>4214</v>
      </c>
      <c r="U342" s="150">
        <v>55854</v>
      </c>
      <c r="V342" s="11" t="s">
        <v>1127</v>
      </c>
      <c r="W342" s="14" t="s">
        <v>4139</v>
      </c>
      <c r="X342" s="11" t="s">
        <v>4215</v>
      </c>
      <c r="Y342" s="51">
        <v>45586</v>
      </c>
      <c r="Z342" s="154"/>
    </row>
    <row r="343" spans="1:26" ht="34.5" customHeight="1" x14ac:dyDescent="0.25">
      <c r="A343" s="5">
        <v>94</v>
      </c>
      <c r="B343" s="11" t="s">
        <v>4216</v>
      </c>
      <c r="C343" s="10" t="s">
        <v>46</v>
      </c>
      <c r="D343" s="5"/>
      <c r="E343" s="9" t="s">
        <v>1519</v>
      </c>
      <c r="F343" s="150">
        <v>32454</v>
      </c>
      <c r="G343" s="151" t="s">
        <v>4217</v>
      </c>
      <c r="H343" s="68" t="s">
        <v>4218</v>
      </c>
      <c r="I343" s="5" t="s">
        <v>1738</v>
      </c>
      <c r="J343" s="161">
        <v>45566</v>
      </c>
      <c r="K343" s="5">
        <v>9</v>
      </c>
      <c r="L343" s="5">
        <v>7</v>
      </c>
      <c r="M343" s="12" t="s">
        <v>1739</v>
      </c>
      <c r="N343" s="150">
        <v>44562</v>
      </c>
      <c r="O343" s="5" t="s">
        <v>1028</v>
      </c>
      <c r="P343" s="47" t="s">
        <v>4219</v>
      </c>
      <c r="Q343" s="47" t="s">
        <v>4220</v>
      </c>
      <c r="R343" s="11" t="s">
        <v>4221</v>
      </c>
      <c r="S343" s="14" t="s">
        <v>4222</v>
      </c>
      <c r="T343" s="166">
        <v>2007118801</v>
      </c>
      <c r="U343" s="150">
        <v>56219</v>
      </c>
      <c r="V343" s="9" t="s">
        <v>3623</v>
      </c>
      <c r="W343" s="9" t="s">
        <v>3518</v>
      </c>
      <c r="X343" s="11" t="s">
        <v>4223</v>
      </c>
      <c r="Y343" s="51">
        <v>45586</v>
      </c>
      <c r="Z343" s="154" t="s">
        <v>1084</v>
      </c>
    </row>
    <row r="344" spans="1:26" ht="34.5" customHeight="1" x14ac:dyDescent="0.25">
      <c r="A344" s="5">
        <v>95</v>
      </c>
      <c r="B344" s="14" t="s">
        <v>4224</v>
      </c>
      <c r="C344" s="5" t="s">
        <v>46</v>
      </c>
      <c r="D344" s="5" t="s">
        <v>4225</v>
      </c>
      <c r="E344" s="14" t="s">
        <v>1934</v>
      </c>
      <c r="F344" s="150">
        <v>27235</v>
      </c>
      <c r="G344" s="151" t="s">
        <v>4226</v>
      </c>
      <c r="H344" s="68" t="s">
        <v>4227</v>
      </c>
      <c r="I344" s="5" t="s">
        <v>1717</v>
      </c>
      <c r="J344" s="150">
        <v>45200</v>
      </c>
      <c r="K344" s="5">
        <v>19</v>
      </c>
      <c r="L344" s="5">
        <v>1</v>
      </c>
      <c r="M344" s="12" t="s">
        <v>1739</v>
      </c>
      <c r="N344" s="150">
        <v>44866</v>
      </c>
      <c r="O344" s="5" t="s">
        <v>982</v>
      </c>
      <c r="P344" s="47" t="s">
        <v>4228</v>
      </c>
      <c r="Q344" s="11" t="s">
        <v>4229</v>
      </c>
      <c r="R344" s="9"/>
      <c r="S344" s="14" t="s">
        <v>4230</v>
      </c>
      <c r="T344" s="20">
        <v>2025077403</v>
      </c>
      <c r="U344" s="150">
        <v>50983</v>
      </c>
      <c r="V344" s="11" t="s">
        <v>3610</v>
      </c>
      <c r="W344" s="14" t="s">
        <v>1875</v>
      </c>
      <c r="X344" s="11"/>
      <c r="Y344" s="5"/>
      <c r="Z344" s="154" t="s">
        <v>1084</v>
      </c>
    </row>
    <row r="345" spans="1:26" ht="34.5" customHeight="1" x14ac:dyDescent="0.25">
      <c r="A345" s="5">
        <v>96</v>
      </c>
      <c r="B345" s="14" t="s">
        <v>4231</v>
      </c>
      <c r="C345" s="5" t="s">
        <v>46</v>
      </c>
      <c r="D345" s="10"/>
      <c r="E345" s="14" t="s">
        <v>1638</v>
      </c>
      <c r="F345" s="150">
        <v>33480</v>
      </c>
      <c r="G345" s="8" t="s">
        <v>4232</v>
      </c>
      <c r="H345" s="68" t="s">
        <v>4233</v>
      </c>
      <c r="I345" s="5" t="s">
        <v>1738</v>
      </c>
      <c r="J345" s="150">
        <v>45383</v>
      </c>
      <c r="K345" s="5">
        <v>6</v>
      </c>
      <c r="L345" s="5">
        <v>3</v>
      </c>
      <c r="M345" s="12" t="s">
        <v>1739</v>
      </c>
      <c r="N345" s="150">
        <v>44562</v>
      </c>
      <c r="O345" s="5" t="s">
        <v>982</v>
      </c>
      <c r="P345" s="11" t="s">
        <v>4234</v>
      </c>
      <c r="Q345" s="11" t="s">
        <v>4235</v>
      </c>
      <c r="R345" s="168"/>
      <c r="S345" s="162" t="s">
        <v>4236</v>
      </c>
      <c r="T345" s="20" t="s">
        <v>4237</v>
      </c>
      <c r="U345" s="150">
        <v>57224</v>
      </c>
      <c r="V345" s="11" t="s">
        <v>3724</v>
      </c>
      <c r="W345" s="14" t="s">
        <v>3518</v>
      </c>
      <c r="X345" s="9" t="s">
        <v>4238</v>
      </c>
      <c r="Y345" s="51">
        <v>45586</v>
      </c>
      <c r="Z345" s="154" t="s">
        <v>1084</v>
      </c>
    </row>
    <row r="346" spans="1:26" ht="34.5" customHeight="1" x14ac:dyDescent="0.25">
      <c r="A346" s="5">
        <v>97</v>
      </c>
      <c r="B346" s="9" t="s">
        <v>4239</v>
      </c>
      <c r="C346" s="5" t="s">
        <v>18</v>
      </c>
      <c r="D346" s="5"/>
      <c r="E346" s="9" t="s">
        <v>1456</v>
      </c>
      <c r="F346" s="31">
        <v>32039</v>
      </c>
      <c r="G346" s="151" t="s">
        <v>4240</v>
      </c>
      <c r="H346" s="169" t="s">
        <v>4241</v>
      </c>
      <c r="I346" s="5" t="s">
        <v>1717</v>
      </c>
      <c r="J346" s="150">
        <v>44652</v>
      </c>
      <c r="K346" s="5">
        <v>4</v>
      </c>
      <c r="L346" s="5">
        <v>3</v>
      </c>
      <c r="M346" s="12" t="s">
        <v>1739</v>
      </c>
      <c r="N346" s="150">
        <v>44562</v>
      </c>
      <c r="O346" s="5" t="s">
        <v>982</v>
      </c>
      <c r="P346" s="9" t="s">
        <v>1084</v>
      </c>
      <c r="Q346" s="11" t="s">
        <v>4242</v>
      </c>
      <c r="R346" s="9"/>
      <c r="S346" s="162" t="s">
        <v>4243</v>
      </c>
      <c r="T346" s="171" t="s">
        <v>4244</v>
      </c>
      <c r="U346" s="150">
        <v>56523</v>
      </c>
      <c r="V346" s="11" t="s">
        <v>3798</v>
      </c>
      <c r="W346" s="11" t="s">
        <v>3909</v>
      </c>
      <c r="X346" s="9"/>
      <c r="Y346" s="10"/>
      <c r="Z346" s="40" t="s">
        <v>1084</v>
      </c>
    </row>
    <row r="347" spans="1:26" ht="34.5" customHeight="1" x14ac:dyDescent="0.25">
      <c r="A347" s="5">
        <v>98</v>
      </c>
      <c r="B347" s="154" t="s">
        <v>4245</v>
      </c>
      <c r="C347" s="67" t="s">
        <v>46</v>
      </c>
      <c r="D347" s="12"/>
      <c r="E347" s="154" t="s">
        <v>2004</v>
      </c>
      <c r="F347" s="155">
        <v>33882</v>
      </c>
      <c r="G347" s="106" t="s">
        <v>4246</v>
      </c>
      <c r="H347" s="68" t="s">
        <v>4247</v>
      </c>
      <c r="I347" s="5" t="s">
        <v>1717</v>
      </c>
      <c r="J347" s="150">
        <v>45200</v>
      </c>
      <c r="K347" s="5">
        <v>4</v>
      </c>
      <c r="L347" s="5">
        <v>7</v>
      </c>
      <c r="M347" s="12" t="s">
        <v>1739</v>
      </c>
      <c r="N347" s="161">
        <v>44927</v>
      </c>
      <c r="O347" s="5" t="s">
        <v>982</v>
      </c>
      <c r="P347" s="160" t="s">
        <v>2023</v>
      </c>
      <c r="Q347" s="160" t="s">
        <v>4248</v>
      </c>
      <c r="R347" s="12"/>
      <c r="S347" s="14"/>
      <c r="T347" s="183">
        <v>2005109201</v>
      </c>
      <c r="U347" s="155">
        <v>57650</v>
      </c>
      <c r="V347" s="11" t="s">
        <v>3798</v>
      </c>
      <c r="W347" s="160" t="s">
        <v>3925</v>
      </c>
      <c r="X347" s="11"/>
      <c r="Y347" s="5"/>
      <c r="Z347" s="153" t="s">
        <v>1965</v>
      </c>
    </row>
    <row r="348" spans="1:26" ht="34.5" customHeight="1" x14ac:dyDescent="0.25">
      <c r="A348" s="5">
        <v>99</v>
      </c>
      <c r="B348" s="160" t="s">
        <v>4249</v>
      </c>
      <c r="C348" s="67" t="s">
        <v>18</v>
      </c>
      <c r="D348" s="5" t="s">
        <v>4250</v>
      </c>
      <c r="E348" s="154" t="s">
        <v>1811</v>
      </c>
      <c r="F348" s="155">
        <v>31595</v>
      </c>
      <c r="G348" s="156" t="s">
        <v>4251</v>
      </c>
      <c r="H348" s="34" t="s">
        <v>4252</v>
      </c>
      <c r="I348" s="5" t="s">
        <v>1717</v>
      </c>
      <c r="J348" s="161">
        <v>45017</v>
      </c>
      <c r="K348" s="5">
        <v>12</v>
      </c>
      <c r="L348" s="5">
        <v>3</v>
      </c>
      <c r="M348" s="12" t="s">
        <v>1739</v>
      </c>
      <c r="N348" s="161">
        <v>44866</v>
      </c>
      <c r="O348" s="5" t="s">
        <v>982</v>
      </c>
      <c r="P348" s="9" t="s">
        <v>4253</v>
      </c>
      <c r="Q348" s="160" t="s">
        <v>4254</v>
      </c>
      <c r="R348" s="9"/>
      <c r="S348" s="162" t="s">
        <v>4255</v>
      </c>
      <c r="T348" s="183">
        <v>2002078605</v>
      </c>
      <c r="U348" s="150">
        <v>55366</v>
      </c>
      <c r="V348" s="11" t="s">
        <v>4024</v>
      </c>
      <c r="W348" s="160" t="s">
        <v>4025</v>
      </c>
      <c r="X348" s="89"/>
      <c r="Y348" s="89"/>
      <c r="Z348" s="89"/>
    </row>
    <row r="349" spans="1:26" ht="34.5" customHeight="1" x14ac:dyDescent="0.25">
      <c r="A349" s="5">
        <v>100</v>
      </c>
      <c r="B349" s="199" t="s">
        <v>4256</v>
      </c>
      <c r="C349" s="200" t="s">
        <v>18</v>
      </c>
      <c r="D349" s="12"/>
      <c r="E349" s="199" t="s">
        <v>2184</v>
      </c>
      <c r="F349" s="200">
        <v>28173</v>
      </c>
      <c r="G349" s="201" t="s">
        <v>4257</v>
      </c>
      <c r="H349" s="169" t="s">
        <v>4258</v>
      </c>
      <c r="I349" s="202" t="s">
        <v>1738</v>
      </c>
      <c r="J349" s="203">
        <v>45566</v>
      </c>
      <c r="K349" s="202">
        <v>13</v>
      </c>
      <c r="L349" s="202">
        <v>9</v>
      </c>
      <c r="M349" s="12" t="s">
        <v>1739</v>
      </c>
      <c r="N349" s="51">
        <v>44774</v>
      </c>
      <c r="O349" s="5" t="s">
        <v>1028</v>
      </c>
      <c r="P349" s="12"/>
      <c r="Q349" s="12"/>
      <c r="R349" s="9" t="s">
        <v>4259</v>
      </c>
      <c r="S349" s="12"/>
      <c r="T349" s="12" t="s">
        <v>4260</v>
      </c>
      <c r="U349" s="51">
        <v>51926</v>
      </c>
      <c r="V349" s="11" t="s">
        <v>3744</v>
      </c>
      <c r="W349" s="12" t="s">
        <v>4261</v>
      </c>
      <c r="X349" s="11" t="s">
        <v>4262</v>
      </c>
      <c r="Y349" s="31">
        <v>45639</v>
      </c>
      <c r="Z349" s="154"/>
    </row>
    <row r="350" spans="1:26" ht="34.5" customHeight="1" x14ac:dyDescent="0.25">
      <c r="A350" s="5">
        <v>101</v>
      </c>
      <c r="B350" s="14" t="s">
        <v>4263</v>
      </c>
      <c r="C350" s="5" t="s">
        <v>18</v>
      </c>
      <c r="D350" s="10" t="s">
        <v>4264</v>
      </c>
      <c r="E350" s="14" t="s">
        <v>1696</v>
      </c>
      <c r="F350" s="150">
        <v>29047</v>
      </c>
      <c r="G350" s="8" t="s">
        <v>4265</v>
      </c>
      <c r="H350" s="68" t="s">
        <v>4266</v>
      </c>
      <c r="I350" s="5" t="s">
        <v>1991</v>
      </c>
      <c r="J350" s="150">
        <v>45444</v>
      </c>
      <c r="K350" s="5">
        <v>18</v>
      </c>
      <c r="L350" s="5">
        <v>2</v>
      </c>
      <c r="M350" s="12" t="s">
        <v>1739</v>
      </c>
      <c r="N350" s="150" t="s">
        <v>4267</v>
      </c>
      <c r="O350" s="5" t="s">
        <v>1028</v>
      </c>
      <c r="P350" s="157" t="s">
        <v>4268</v>
      </c>
      <c r="Q350" s="157" t="s">
        <v>4269</v>
      </c>
      <c r="R350" s="9" t="s">
        <v>4270</v>
      </c>
      <c r="S350" s="162">
        <v>112100515320039</v>
      </c>
      <c r="T350" s="20">
        <v>2012077901</v>
      </c>
      <c r="U350" s="150">
        <v>52810</v>
      </c>
      <c r="V350" s="11" t="s">
        <v>3798</v>
      </c>
      <c r="W350" s="14" t="s">
        <v>3925</v>
      </c>
      <c r="X350" s="11" t="s">
        <v>1084</v>
      </c>
      <c r="Y350" s="51" t="s">
        <v>1084</v>
      </c>
      <c r="Z350" s="172"/>
    </row>
    <row r="351" spans="1:26" ht="34.5" customHeight="1" x14ac:dyDescent="0.25">
      <c r="A351" s="5">
        <v>102</v>
      </c>
      <c r="B351" s="9" t="s">
        <v>4271</v>
      </c>
      <c r="C351" s="10" t="s">
        <v>18</v>
      </c>
      <c r="D351" s="5"/>
      <c r="E351" s="9" t="s">
        <v>1479</v>
      </c>
      <c r="F351" s="150">
        <v>30613</v>
      </c>
      <c r="G351" s="151" t="s">
        <v>4272</v>
      </c>
      <c r="H351" s="68" t="s">
        <v>4273</v>
      </c>
      <c r="I351" s="5" t="s">
        <v>1717</v>
      </c>
      <c r="J351" s="150">
        <v>45383</v>
      </c>
      <c r="K351" s="5">
        <v>9</v>
      </c>
      <c r="L351" s="5">
        <v>1</v>
      </c>
      <c r="M351" s="12" t="s">
        <v>1739</v>
      </c>
      <c r="N351" s="150">
        <v>44927</v>
      </c>
      <c r="O351" s="5" t="s">
        <v>982</v>
      </c>
      <c r="P351" s="47" t="s">
        <v>4274</v>
      </c>
      <c r="Q351" s="11" t="s">
        <v>4275</v>
      </c>
      <c r="R351" s="9"/>
      <c r="S351" s="14" t="s">
        <v>4276</v>
      </c>
      <c r="T351" s="20">
        <v>2024108302</v>
      </c>
      <c r="U351" s="150">
        <v>54363</v>
      </c>
      <c r="V351" s="11" t="s">
        <v>3894</v>
      </c>
      <c r="W351" s="9" t="s">
        <v>4277</v>
      </c>
      <c r="X351" s="11" t="s">
        <v>4278</v>
      </c>
      <c r="Y351" s="51">
        <v>45586</v>
      </c>
      <c r="Z351" s="154" t="s">
        <v>1084</v>
      </c>
    </row>
    <row r="352" spans="1:26" ht="34.5" customHeight="1" x14ac:dyDescent="0.25">
      <c r="A352" s="5">
        <v>103</v>
      </c>
      <c r="B352" s="9" t="s">
        <v>4279</v>
      </c>
      <c r="C352" s="10" t="s">
        <v>46</v>
      </c>
      <c r="D352" s="10"/>
      <c r="E352" s="9" t="s">
        <v>2463</v>
      </c>
      <c r="F352" s="161">
        <v>32081</v>
      </c>
      <c r="G352" s="151" t="s">
        <v>4280</v>
      </c>
      <c r="H352" s="68" t="s">
        <v>4281</v>
      </c>
      <c r="I352" s="10" t="s">
        <v>1991</v>
      </c>
      <c r="J352" s="150">
        <v>42064</v>
      </c>
      <c r="K352" s="5">
        <v>0</v>
      </c>
      <c r="L352" s="5">
        <v>0</v>
      </c>
      <c r="M352" s="12" t="s">
        <v>1739</v>
      </c>
      <c r="N352" s="150">
        <v>44927</v>
      </c>
      <c r="O352" s="5" t="s">
        <v>982</v>
      </c>
      <c r="P352" s="11" t="s">
        <v>4282</v>
      </c>
      <c r="Q352" s="9" t="s">
        <v>4283</v>
      </c>
      <c r="R352" s="168"/>
      <c r="S352" s="204">
        <v>192100517415</v>
      </c>
      <c r="T352" s="20">
        <v>2031108702</v>
      </c>
      <c r="U352" s="150">
        <v>55824</v>
      </c>
      <c r="V352" s="11" t="s">
        <v>3989</v>
      </c>
      <c r="W352" s="14" t="s">
        <v>4284</v>
      </c>
      <c r="X352" s="11" t="s">
        <v>4285</v>
      </c>
      <c r="Y352" s="51">
        <v>45586</v>
      </c>
      <c r="Z352" s="154"/>
    </row>
    <row r="353" spans="1:26" ht="34.5" customHeight="1" x14ac:dyDescent="0.25">
      <c r="A353" s="5">
        <v>104</v>
      </c>
      <c r="B353" s="154" t="s">
        <v>4286</v>
      </c>
      <c r="C353" s="67" t="s">
        <v>46</v>
      </c>
      <c r="D353" s="5"/>
      <c r="E353" s="154" t="s">
        <v>1942</v>
      </c>
      <c r="F353" s="155">
        <v>31920</v>
      </c>
      <c r="G353" s="106" t="s">
        <v>4287</v>
      </c>
      <c r="H353" s="68" t="s">
        <v>4288</v>
      </c>
      <c r="I353" s="5" t="s">
        <v>1717</v>
      </c>
      <c r="J353" s="150">
        <v>45383</v>
      </c>
      <c r="K353" s="5">
        <v>5</v>
      </c>
      <c r="L353" s="5">
        <v>1</v>
      </c>
      <c r="M353" s="12" t="s">
        <v>1739</v>
      </c>
      <c r="N353" s="150">
        <v>44927</v>
      </c>
      <c r="O353" s="5" t="s">
        <v>982</v>
      </c>
      <c r="P353" s="47" t="s">
        <v>4289</v>
      </c>
      <c r="Q353" s="160" t="s">
        <v>4290</v>
      </c>
      <c r="R353" s="9"/>
      <c r="S353" s="14"/>
      <c r="T353" s="183" t="s">
        <v>4291</v>
      </c>
      <c r="U353" s="150">
        <v>55671</v>
      </c>
      <c r="V353" s="11" t="s">
        <v>3989</v>
      </c>
      <c r="W353" s="160" t="s">
        <v>4292</v>
      </c>
      <c r="X353" s="11"/>
      <c r="Y353" s="5"/>
      <c r="Z353" s="154"/>
    </row>
    <row r="354" spans="1:26" ht="34.5" customHeight="1" x14ac:dyDescent="0.25">
      <c r="A354" s="5">
        <v>105</v>
      </c>
      <c r="B354" s="40" t="s">
        <v>4293</v>
      </c>
      <c r="C354" s="39" t="s">
        <v>46</v>
      </c>
      <c r="D354" s="12"/>
      <c r="E354" s="40" t="s">
        <v>1648</v>
      </c>
      <c r="F354" s="170">
        <v>33470</v>
      </c>
      <c r="G354" s="106" t="s">
        <v>4294</v>
      </c>
      <c r="H354" s="68" t="s">
        <v>4295</v>
      </c>
      <c r="I354" s="5" t="s">
        <v>1717</v>
      </c>
      <c r="J354" s="161">
        <v>45383</v>
      </c>
      <c r="K354" s="5">
        <v>5</v>
      </c>
      <c r="L354" s="5">
        <v>1</v>
      </c>
      <c r="M354" s="12" t="s">
        <v>1739</v>
      </c>
      <c r="N354" s="161">
        <v>44927</v>
      </c>
      <c r="O354" s="5" t="s">
        <v>982</v>
      </c>
      <c r="P354" s="160" t="s">
        <v>4296</v>
      </c>
      <c r="Q354" s="160" t="s">
        <v>4297</v>
      </c>
      <c r="R354" s="12"/>
      <c r="S354" s="162"/>
      <c r="T354" s="183" t="s">
        <v>4298</v>
      </c>
      <c r="U354" s="150">
        <v>57224</v>
      </c>
      <c r="V354" s="11" t="s">
        <v>4024</v>
      </c>
      <c r="W354" s="160" t="s">
        <v>4299</v>
      </c>
      <c r="X354" s="9" t="s">
        <v>4300</v>
      </c>
      <c r="Y354" s="31">
        <v>45588</v>
      </c>
      <c r="Z354" s="153"/>
    </row>
    <row r="355" spans="1:26" ht="34.5" customHeight="1" x14ac:dyDescent="0.25">
      <c r="A355" s="5">
        <v>106</v>
      </c>
      <c r="B355" s="154" t="s">
        <v>4301</v>
      </c>
      <c r="C355" s="67" t="s">
        <v>46</v>
      </c>
      <c r="D355" s="5"/>
      <c r="E355" s="154" t="s">
        <v>1811</v>
      </c>
      <c r="F355" s="155">
        <v>32703</v>
      </c>
      <c r="G355" s="106" t="s">
        <v>4302</v>
      </c>
      <c r="H355" s="68" t="s">
        <v>4303</v>
      </c>
      <c r="I355" s="5" t="s">
        <v>1717</v>
      </c>
      <c r="J355" s="150">
        <v>45383</v>
      </c>
      <c r="K355" s="5">
        <v>5</v>
      </c>
      <c r="L355" s="5">
        <v>1</v>
      </c>
      <c r="M355" s="12" t="s">
        <v>1739</v>
      </c>
      <c r="N355" s="161">
        <v>44927</v>
      </c>
      <c r="O355" s="5" t="s">
        <v>982</v>
      </c>
      <c r="P355" s="47"/>
      <c r="Q355" s="160" t="s">
        <v>4304</v>
      </c>
      <c r="R355" s="9"/>
      <c r="S355" s="14"/>
      <c r="T355" s="183">
        <v>2014078902</v>
      </c>
      <c r="U355" s="150">
        <v>56462</v>
      </c>
      <c r="V355" s="11" t="s">
        <v>3798</v>
      </c>
      <c r="W355" s="160" t="s">
        <v>4305</v>
      </c>
      <c r="X355" s="11"/>
      <c r="Y355" s="5"/>
      <c r="Z355" s="154"/>
    </row>
    <row r="356" spans="1:26" ht="34.5" customHeight="1" x14ac:dyDescent="0.25">
      <c r="A356" s="5">
        <v>107</v>
      </c>
      <c r="B356" s="154" t="s">
        <v>4306</v>
      </c>
      <c r="C356" s="67" t="s">
        <v>18</v>
      </c>
      <c r="D356" s="5"/>
      <c r="E356" s="154" t="s">
        <v>4307</v>
      </c>
      <c r="F356" s="155">
        <v>33698</v>
      </c>
      <c r="G356" s="106" t="s">
        <v>4308</v>
      </c>
      <c r="H356" s="68" t="s">
        <v>4309</v>
      </c>
      <c r="I356" s="5" t="s">
        <v>1717</v>
      </c>
      <c r="J356" s="150">
        <v>45383</v>
      </c>
      <c r="K356" s="5">
        <v>5</v>
      </c>
      <c r="L356" s="5">
        <v>1</v>
      </c>
      <c r="M356" s="12" t="s">
        <v>1739</v>
      </c>
      <c r="N356" s="161">
        <v>44927</v>
      </c>
      <c r="O356" s="5" t="s">
        <v>982</v>
      </c>
      <c r="P356" s="47" t="s">
        <v>4310</v>
      </c>
      <c r="Q356" s="160" t="s">
        <v>4311</v>
      </c>
      <c r="R356" s="9"/>
      <c r="S356" s="14"/>
      <c r="T356" s="183">
        <v>2004049203</v>
      </c>
      <c r="U356" s="150">
        <v>57466</v>
      </c>
      <c r="V356" s="11" t="s">
        <v>3798</v>
      </c>
      <c r="W356" s="160" t="s">
        <v>4312</v>
      </c>
      <c r="X356" s="11" t="s">
        <v>4313</v>
      </c>
      <c r="Y356" s="51">
        <v>45586</v>
      </c>
      <c r="Z356" s="172"/>
    </row>
    <row r="357" spans="1:26" ht="34.5" customHeight="1" x14ac:dyDescent="0.25">
      <c r="A357" s="5">
        <v>108</v>
      </c>
      <c r="B357" s="12" t="s">
        <v>4314</v>
      </c>
      <c r="C357" s="5" t="s">
        <v>46</v>
      </c>
      <c r="D357" s="5"/>
      <c r="E357" s="14" t="s">
        <v>2004</v>
      </c>
      <c r="F357" s="150">
        <v>33886</v>
      </c>
      <c r="G357" s="151" t="s">
        <v>4315</v>
      </c>
      <c r="H357" s="68" t="s">
        <v>4316</v>
      </c>
      <c r="I357" s="5" t="s">
        <v>1717</v>
      </c>
      <c r="J357" s="150">
        <v>45383</v>
      </c>
      <c r="K357" s="5">
        <v>5</v>
      </c>
      <c r="L357" s="5">
        <v>1</v>
      </c>
      <c r="M357" s="12" t="s">
        <v>1739</v>
      </c>
      <c r="N357" s="150">
        <v>45017</v>
      </c>
      <c r="O357" s="5" t="s">
        <v>982</v>
      </c>
      <c r="P357" s="9" t="s">
        <v>4317</v>
      </c>
      <c r="Q357" s="9" t="s">
        <v>4318</v>
      </c>
      <c r="R357" s="9"/>
      <c r="S357" s="162"/>
      <c r="T357" s="20">
        <v>2009109201</v>
      </c>
      <c r="U357" s="150">
        <v>57650</v>
      </c>
      <c r="V357" s="11" t="s">
        <v>999</v>
      </c>
      <c r="W357" s="14" t="s">
        <v>4319</v>
      </c>
      <c r="X357" s="11" t="s">
        <v>4320</v>
      </c>
      <c r="Y357" s="51">
        <v>45586</v>
      </c>
      <c r="Z357" s="154" t="s">
        <v>1084</v>
      </c>
    </row>
    <row r="358" spans="1:26" ht="34.5" customHeight="1" x14ac:dyDescent="0.25">
      <c r="A358" s="5">
        <v>109</v>
      </c>
      <c r="B358" s="160" t="s">
        <v>4321</v>
      </c>
      <c r="C358" s="67" t="s">
        <v>18</v>
      </c>
      <c r="D358" s="5"/>
      <c r="E358" s="154" t="s">
        <v>2428</v>
      </c>
      <c r="F358" s="155">
        <v>32788</v>
      </c>
      <c r="G358" s="156" t="s">
        <v>4322</v>
      </c>
      <c r="H358" s="68" t="s">
        <v>4323</v>
      </c>
      <c r="I358" s="5" t="s">
        <v>1717</v>
      </c>
      <c r="J358" s="161">
        <v>45383</v>
      </c>
      <c r="K358" s="5">
        <v>5</v>
      </c>
      <c r="L358" s="5">
        <v>1</v>
      </c>
      <c r="M358" s="12" t="s">
        <v>1739</v>
      </c>
      <c r="N358" s="161">
        <v>45078</v>
      </c>
      <c r="O358" s="5" t="s">
        <v>982</v>
      </c>
      <c r="P358" s="9" t="s">
        <v>4324</v>
      </c>
      <c r="Q358" s="160" t="s">
        <v>4325</v>
      </c>
      <c r="R358" s="9"/>
      <c r="S358" s="162"/>
      <c r="T358" s="20">
        <v>2007108901</v>
      </c>
      <c r="U358" s="150">
        <v>56554</v>
      </c>
      <c r="V358" s="11" t="s">
        <v>3894</v>
      </c>
      <c r="W358" s="160" t="s">
        <v>4326</v>
      </c>
      <c r="X358" s="9"/>
      <c r="Y358" s="10"/>
      <c r="Z358" s="153"/>
    </row>
    <row r="359" spans="1:26" ht="34.5" customHeight="1" x14ac:dyDescent="0.25">
      <c r="A359" s="5">
        <v>110</v>
      </c>
      <c r="B359" s="40" t="s">
        <v>4327</v>
      </c>
      <c r="C359" s="39" t="s">
        <v>18</v>
      </c>
      <c r="D359" s="12"/>
      <c r="E359" s="40" t="s">
        <v>2004</v>
      </c>
      <c r="F359" s="170">
        <v>34116</v>
      </c>
      <c r="G359" s="106" t="s">
        <v>4328</v>
      </c>
      <c r="H359" s="68" t="s">
        <v>4329</v>
      </c>
      <c r="I359" s="5" t="s">
        <v>1717</v>
      </c>
      <c r="J359" s="150">
        <v>45383</v>
      </c>
      <c r="K359" s="5">
        <v>5</v>
      </c>
      <c r="L359" s="5">
        <v>1</v>
      </c>
      <c r="M359" s="12" t="s">
        <v>1739</v>
      </c>
      <c r="N359" s="161">
        <v>44927</v>
      </c>
      <c r="O359" s="5" t="s">
        <v>982</v>
      </c>
      <c r="P359" s="160" t="s">
        <v>4317</v>
      </c>
      <c r="Q359" s="160" t="s">
        <v>4330</v>
      </c>
      <c r="R359" s="12"/>
      <c r="S359" s="14"/>
      <c r="T359" s="183">
        <v>2027059302</v>
      </c>
      <c r="U359" s="170">
        <v>57862</v>
      </c>
      <c r="V359" s="11" t="s">
        <v>3798</v>
      </c>
      <c r="W359" s="160" t="s">
        <v>4331</v>
      </c>
      <c r="X359" s="11" t="s">
        <v>4332</v>
      </c>
      <c r="Y359" s="51">
        <v>45586</v>
      </c>
      <c r="Z359" s="172"/>
    </row>
    <row r="360" spans="1:26" ht="34.5" customHeight="1" x14ac:dyDescent="0.25">
      <c r="A360" s="5">
        <v>111</v>
      </c>
      <c r="B360" s="14" t="s">
        <v>4333</v>
      </c>
      <c r="C360" s="5" t="s">
        <v>18</v>
      </c>
      <c r="D360" s="10"/>
      <c r="E360" s="14" t="s">
        <v>2055</v>
      </c>
      <c r="F360" s="150">
        <v>32785</v>
      </c>
      <c r="G360" s="8" t="s">
        <v>4334</v>
      </c>
      <c r="H360" s="68" t="s">
        <v>4335</v>
      </c>
      <c r="I360" s="5" t="s">
        <v>1717</v>
      </c>
      <c r="J360" s="150">
        <v>45383</v>
      </c>
      <c r="K360" s="5">
        <v>5</v>
      </c>
      <c r="L360" s="5">
        <v>1</v>
      </c>
      <c r="M360" s="12" t="s">
        <v>1739</v>
      </c>
      <c r="N360" s="150">
        <v>45017</v>
      </c>
      <c r="O360" s="5" t="s">
        <v>982</v>
      </c>
      <c r="P360" s="11" t="s">
        <v>4336</v>
      </c>
      <c r="Q360" s="11" t="s">
        <v>4337</v>
      </c>
      <c r="R360" s="168"/>
      <c r="S360" s="162"/>
      <c r="T360" s="20">
        <v>2004108903</v>
      </c>
      <c r="U360" s="150">
        <v>56526</v>
      </c>
      <c r="V360" s="11" t="s">
        <v>3724</v>
      </c>
      <c r="W360" s="14" t="s">
        <v>3686</v>
      </c>
      <c r="X360" s="9"/>
      <c r="Y360" s="51"/>
      <c r="Z360" s="154"/>
    </row>
    <row r="361" spans="1:26" ht="34.5" customHeight="1" x14ac:dyDescent="0.25">
      <c r="A361" s="5">
        <v>112</v>
      </c>
      <c r="B361" s="160" t="s">
        <v>4338</v>
      </c>
      <c r="C361" s="67" t="s">
        <v>46</v>
      </c>
      <c r="D361" s="5"/>
      <c r="E361" s="154" t="s">
        <v>1894</v>
      </c>
      <c r="F361" s="155">
        <v>33721</v>
      </c>
      <c r="G361" s="156" t="s">
        <v>4339</v>
      </c>
      <c r="H361" s="68" t="s">
        <v>4340</v>
      </c>
      <c r="I361" s="5" t="s">
        <v>1717</v>
      </c>
      <c r="J361" s="161">
        <v>45383</v>
      </c>
      <c r="K361" s="5">
        <v>5</v>
      </c>
      <c r="L361" s="5">
        <v>1</v>
      </c>
      <c r="M361" s="12" t="s">
        <v>1739</v>
      </c>
      <c r="N361" s="161">
        <v>45170</v>
      </c>
      <c r="O361" s="5" t="s">
        <v>982</v>
      </c>
      <c r="P361" s="9" t="s">
        <v>4341</v>
      </c>
      <c r="Q361" s="160" t="s">
        <v>4342</v>
      </c>
      <c r="R361" s="9"/>
      <c r="S361" s="162"/>
      <c r="T361" s="183" t="s">
        <v>4343</v>
      </c>
      <c r="U361" s="150">
        <v>57466</v>
      </c>
      <c r="V361" s="11" t="s">
        <v>4024</v>
      </c>
      <c r="W361" s="160" t="s">
        <v>4344</v>
      </c>
      <c r="X361" s="11" t="s">
        <v>4345</v>
      </c>
      <c r="Y361" s="51">
        <v>45586</v>
      </c>
      <c r="Z361" s="154"/>
    </row>
    <row r="362" spans="1:26" ht="34.5" customHeight="1" x14ac:dyDescent="0.25">
      <c r="A362" s="5">
        <v>113</v>
      </c>
      <c r="B362" s="154" t="s">
        <v>4346</v>
      </c>
      <c r="C362" s="67" t="s">
        <v>46</v>
      </c>
      <c r="D362" s="12"/>
      <c r="E362" s="154" t="s">
        <v>1648</v>
      </c>
      <c r="F362" s="155">
        <v>31478</v>
      </c>
      <c r="G362" s="106" t="s">
        <v>4347</v>
      </c>
      <c r="H362" s="68" t="s">
        <v>4348</v>
      </c>
      <c r="I362" s="5" t="s">
        <v>1991</v>
      </c>
      <c r="J362" s="161">
        <v>43525</v>
      </c>
      <c r="K362" s="5">
        <v>0</v>
      </c>
      <c r="L362" s="5">
        <v>0</v>
      </c>
      <c r="M362" s="12" t="s">
        <v>1121</v>
      </c>
      <c r="N362" s="161">
        <v>44927</v>
      </c>
      <c r="O362" s="5" t="s">
        <v>982</v>
      </c>
      <c r="P362" s="160" t="s">
        <v>4349</v>
      </c>
      <c r="Q362" s="160" t="s">
        <v>4350</v>
      </c>
      <c r="R362" s="12"/>
      <c r="S362" s="162"/>
      <c r="T362" s="183">
        <v>2007038602</v>
      </c>
      <c r="U362" s="150">
        <v>55244</v>
      </c>
      <c r="V362" s="11" t="s">
        <v>3989</v>
      </c>
      <c r="W362" s="160" t="s">
        <v>4351</v>
      </c>
      <c r="X362" s="11" t="s">
        <v>4352</v>
      </c>
      <c r="Y362" s="51">
        <v>44827</v>
      </c>
      <c r="Z362" s="172"/>
    </row>
    <row r="363" spans="1:26" ht="34.5" customHeight="1" x14ac:dyDescent="0.25">
      <c r="A363" s="5">
        <v>114</v>
      </c>
      <c r="B363" s="12" t="s">
        <v>4353</v>
      </c>
      <c r="C363" s="5" t="s">
        <v>18</v>
      </c>
      <c r="D363" s="5"/>
      <c r="E363" s="14" t="s">
        <v>2184</v>
      </c>
      <c r="F363" s="150">
        <v>24635</v>
      </c>
      <c r="G363" s="151" t="s">
        <v>4354</v>
      </c>
      <c r="H363" s="68" t="s">
        <v>4355</v>
      </c>
      <c r="I363" s="5" t="s">
        <v>1558</v>
      </c>
      <c r="J363" s="150">
        <v>42644</v>
      </c>
      <c r="K363" s="5">
        <v>0</v>
      </c>
      <c r="L363" s="5">
        <v>0</v>
      </c>
      <c r="M363" s="12" t="s">
        <v>1739</v>
      </c>
      <c r="N363" s="150">
        <v>45231</v>
      </c>
      <c r="O363" s="5" t="s">
        <v>1028</v>
      </c>
      <c r="P363" s="47" t="s">
        <v>4356</v>
      </c>
      <c r="Q363" s="47" t="s">
        <v>4357</v>
      </c>
      <c r="R363" s="9" t="s">
        <v>4358</v>
      </c>
      <c r="S363" s="162"/>
      <c r="T363" s="166"/>
      <c r="U363" s="150"/>
      <c r="V363" s="11" t="s">
        <v>1127</v>
      </c>
      <c r="W363" s="14"/>
      <c r="X363" s="11"/>
      <c r="Y363" s="51"/>
      <c r="Z363" s="154"/>
    </row>
    <row r="364" spans="1:26" ht="34.5" customHeight="1" x14ac:dyDescent="0.25">
      <c r="A364" s="5">
        <v>115</v>
      </c>
      <c r="B364" s="12" t="s">
        <v>4359</v>
      </c>
      <c r="C364" s="5" t="s">
        <v>18</v>
      </c>
      <c r="D364" s="5" t="s">
        <v>4360</v>
      </c>
      <c r="E364" s="14" t="s">
        <v>2993</v>
      </c>
      <c r="F364" s="150">
        <v>27802</v>
      </c>
      <c r="G364" s="151" t="s">
        <v>4361</v>
      </c>
      <c r="H364" s="68" t="s">
        <v>4362</v>
      </c>
      <c r="I364" s="5" t="s">
        <v>1991</v>
      </c>
      <c r="J364" s="150">
        <v>38353</v>
      </c>
      <c r="K364" s="5">
        <v>0</v>
      </c>
      <c r="L364" s="5">
        <v>0</v>
      </c>
      <c r="M364" s="12" t="s">
        <v>1121</v>
      </c>
      <c r="N364" s="150" t="s">
        <v>3922</v>
      </c>
      <c r="O364" s="5" t="s">
        <v>982</v>
      </c>
      <c r="P364" s="157" t="s">
        <v>4363</v>
      </c>
      <c r="Q364" s="157" t="s">
        <v>4364</v>
      </c>
      <c r="R364" s="9"/>
      <c r="S364" s="162">
        <v>132100511494</v>
      </c>
      <c r="T364" s="20">
        <v>2012027601</v>
      </c>
      <c r="U364" s="150">
        <v>51561</v>
      </c>
      <c r="V364" s="11" t="s">
        <v>3704</v>
      </c>
      <c r="W364" s="14" t="s">
        <v>1875</v>
      </c>
      <c r="X364" s="11"/>
      <c r="Y364" s="5"/>
      <c r="Z364" s="154" t="s">
        <v>4365</v>
      </c>
    </row>
    <row r="365" spans="1:26" ht="34.5" customHeight="1" x14ac:dyDescent="0.25">
      <c r="A365" s="5">
        <v>116</v>
      </c>
      <c r="B365" s="14" t="s">
        <v>4366</v>
      </c>
      <c r="C365" s="5" t="s">
        <v>46</v>
      </c>
      <c r="D365" s="10" t="s">
        <v>4367</v>
      </c>
      <c r="E365" s="14" t="s">
        <v>2400</v>
      </c>
      <c r="F365" s="150" t="s">
        <v>4368</v>
      </c>
      <c r="G365" s="8" t="s">
        <v>4369</v>
      </c>
      <c r="H365" s="68" t="s">
        <v>4370</v>
      </c>
      <c r="I365" s="5" t="s">
        <v>1991</v>
      </c>
      <c r="J365" s="150">
        <v>42644</v>
      </c>
      <c r="K365" s="5">
        <v>10</v>
      </c>
      <c r="L365" s="5">
        <v>6</v>
      </c>
      <c r="M365" s="12" t="s">
        <v>1121</v>
      </c>
      <c r="N365" s="150">
        <v>41426</v>
      </c>
      <c r="O365" s="5" t="s">
        <v>982</v>
      </c>
      <c r="P365" s="157" t="s">
        <v>4371</v>
      </c>
      <c r="Q365" s="11" t="s">
        <v>4372</v>
      </c>
      <c r="R365" s="9"/>
      <c r="S365" s="162">
        <v>142100512854</v>
      </c>
      <c r="T365" s="20">
        <v>2030067701</v>
      </c>
      <c r="U365" s="150">
        <v>52048</v>
      </c>
      <c r="V365" s="11" t="s">
        <v>4024</v>
      </c>
      <c r="W365" s="14" t="s">
        <v>4373</v>
      </c>
      <c r="X365" s="11"/>
      <c r="Y365" s="5"/>
      <c r="Z365" s="154" t="s">
        <v>1084</v>
      </c>
    </row>
    <row r="366" spans="1:26" ht="34.5" customHeight="1" x14ac:dyDescent="0.25">
      <c r="A366" s="5">
        <v>117</v>
      </c>
      <c r="B366" s="9" t="s">
        <v>4374</v>
      </c>
      <c r="C366" s="10" t="s">
        <v>18</v>
      </c>
      <c r="D366" s="5"/>
      <c r="E366" s="9" t="s">
        <v>2400</v>
      </c>
      <c r="F366" s="150">
        <v>29696</v>
      </c>
      <c r="G366" s="151" t="s">
        <v>4375</v>
      </c>
      <c r="H366" s="68" t="s">
        <v>4376</v>
      </c>
      <c r="I366" s="5" t="s">
        <v>1991</v>
      </c>
      <c r="J366" s="150">
        <v>42064</v>
      </c>
      <c r="K366" s="5">
        <v>0</v>
      </c>
      <c r="L366" s="5">
        <v>0</v>
      </c>
      <c r="M366" s="12" t="s">
        <v>1121</v>
      </c>
      <c r="N366" s="150">
        <v>42948</v>
      </c>
      <c r="O366" s="5" t="s">
        <v>982</v>
      </c>
      <c r="P366" s="47" t="s">
        <v>4377</v>
      </c>
      <c r="Q366" s="11" t="s">
        <v>4378</v>
      </c>
      <c r="R366" s="9"/>
      <c r="S366" s="14" t="s">
        <v>4379</v>
      </c>
      <c r="T366" s="20" t="s">
        <v>4380</v>
      </c>
      <c r="U366" s="150">
        <v>53448</v>
      </c>
      <c r="V366" s="11" t="s">
        <v>3610</v>
      </c>
      <c r="W366" s="9" t="s">
        <v>4277</v>
      </c>
      <c r="X366" s="9"/>
      <c r="Y366" s="10"/>
      <c r="Z366" s="153" t="s">
        <v>1965</v>
      </c>
    </row>
    <row r="367" spans="1:26" ht="34.5" customHeight="1" x14ac:dyDescent="0.25">
      <c r="A367" s="5">
        <v>118</v>
      </c>
      <c r="B367" s="14" t="s">
        <v>4381</v>
      </c>
      <c r="C367" s="5" t="s">
        <v>46</v>
      </c>
      <c r="D367" s="10"/>
      <c r="E367" s="14" t="s">
        <v>1638</v>
      </c>
      <c r="F367" s="150">
        <v>30243</v>
      </c>
      <c r="G367" s="8" t="s">
        <v>4382</v>
      </c>
      <c r="H367" s="68" t="s">
        <v>4383</v>
      </c>
      <c r="I367" s="5" t="s">
        <v>1991</v>
      </c>
      <c r="J367" s="150">
        <v>42064</v>
      </c>
      <c r="K367" s="5">
        <v>0</v>
      </c>
      <c r="L367" s="5">
        <v>0</v>
      </c>
      <c r="M367" s="12" t="s">
        <v>1121</v>
      </c>
      <c r="N367" s="150">
        <v>42948</v>
      </c>
      <c r="O367" s="5" t="s">
        <v>982</v>
      </c>
      <c r="P367" s="11" t="s">
        <v>4384</v>
      </c>
      <c r="Q367" s="11" t="s">
        <v>4385</v>
      </c>
      <c r="R367" s="168"/>
      <c r="S367" s="162" t="s">
        <v>4386</v>
      </c>
      <c r="T367" s="20">
        <v>2019108203</v>
      </c>
      <c r="U367" s="150">
        <v>53997</v>
      </c>
      <c r="V367" s="11" t="s">
        <v>3724</v>
      </c>
      <c r="W367" s="14" t="s">
        <v>3518</v>
      </c>
      <c r="X367" s="11" t="s">
        <v>4387</v>
      </c>
      <c r="Y367" s="51">
        <v>45596</v>
      </c>
      <c r="Z367" s="154"/>
    </row>
    <row r="368" spans="1:26" ht="34.5" customHeight="1" x14ac:dyDescent="0.25">
      <c r="A368" s="5">
        <v>119</v>
      </c>
      <c r="B368" s="154" t="s">
        <v>4388</v>
      </c>
      <c r="C368" s="67" t="s">
        <v>46</v>
      </c>
      <c r="D368" s="5"/>
      <c r="E368" s="154" t="s">
        <v>2125</v>
      </c>
      <c r="F368" s="155">
        <v>32934</v>
      </c>
      <c r="G368" s="106" t="s">
        <v>4389</v>
      </c>
      <c r="H368" s="68" t="s">
        <v>4390</v>
      </c>
      <c r="I368" s="5" t="s">
        <v>1717</v>
      </c>
      <c r="J368" s="150">
        <v>45627</v>
      </c>
      <c r="K368" s="5">
        <v>5</v>
      </c>
      <c r="L368" s="5">
        <v>9</v>
      </c>
      <c r="M368" s="12" t="s">
        <v>1739</v>
      </c>
      <c r="N368" s="150">
        <v>45536</v>
      </c>
      <c r="O368" s="5" t="s">
        <v>982</v>
      </c>
      <c r="P368" s="47" t="s">
        <v>4391</v>
      </c>
      <c r="Q368" s="160" t="s">
        <v>4392</v>
      </c>
      <c r="R368" s="9"/>
      <c r="S368" s="14"/>
      <c r="T368" s="183" t="s">
        <v>4393</v>
      </c>
      <c r="U368" s="150">
        <v>56674</v>
      </c>
      <c r="V368" s="11" t="s">
        <v>3659</v>
      </c>
      <c r="W368" s="160" t="s">
        <v>4394</v>
      </c>
      <c r="X368" s="11"/>
      <c r="Y368" s="5"/>
      <c r="Z368" s="154"/>
    </row>
    <row r="369" spans="1:26" ht="34.5" customHeight="1" x14ac:dyDescent="0.25">
      <c r="A369" s="5">
        <v>120</v>
      </c>
      <c r="B369" s="12" t="s">
        <v>4395</v>
      </c>
      <c r="C369" s="5" t="s">
        <v>46</v>
      </c>
      <c r="D369" s="5"/>
      <c r="E369" s="14" t="s">
        <v>2055</v>
      </c>
      <c r="F369" s="150">
        <v>30733</v>
      </c>
      <c r="G369" s="151" t="s">
        <v>4396</v>
      </c>
      <c r="H369" s="68" t="s">
        <v>4397</v>
      </c>
      <c r="I369" s="5" t="s">
        <v>1991</v>
      </c>
      <c r="J369" s="150">
        <v>43525</v>
      </c>
      <c r="K369" s="5">
        <v>0</v>
      </c>
      <c r="L369" s="5">
        <v>0</v>
      </c>
      <c r="M369" s="12" t="s">
        <v>1739</v>
      </c>
      <c r="N369" s="150">
        <v>45597</v>
      </c>
      <c r="O369" s="5" t="s">
        <v>982</v>
      </c>
      <c r="P369" s="47" t="s">
        <v>3351</v>
      </c>
      <c r="Q369" s="47" t="s">
        <v>4398</v>
      </c>
      <c r="R369" s="9"/>
      <c r="S369" s="162"/>
      <c r="T369" s="166">
        <v>2121028402</v>
      </c>
      <c r="U369" s="150">
        <v>54483</v>
      </c>
      <c r="V369" s="11" t="s">
        <v>1127</v>
      </c>
      <c r="W369" s="14" t="s">
        <v>4399</v>
      </c>
      <c r="X369" s="11" t="s">
        <v>4400</v>
      </c>
      <c r="Y369" s="51" t="s">
        <v>4401</v>
      </c>
      <c r="Z369" s="154"/>
    </row>
    <row r="370" spans="1:26" ht="34.5" customHeight="1" x14ac:dyDescent="0.25">
      <c r="A370" s="5">
        <v>121</v>
      </c>
      <c r="B370" s="14" t="s">
        <v>4402</v>
      </c>
      <c r="C370" s="5" t="s">
        <v>18</v>
      </c>
      <c r="D370" s="10"/>
      <c r="E370" s="14" t="s">
        <v>2004</v>
      </c>
      <c r="F370" s="150">
        <v>34628</v>
      </c>
      <c r="G370" s="8" t="s">
        <v>4403</v>
      </c>
      <c r="H370" s="68" t="s">
        <v>4404</v>
      </c>
      <c r="I370" s="5" t="s">
        <v>1991</v>
      </c>
      <c r="J370" s="150">
        <v>43525</v>
      </c>
      <c r="K370" s="5">
        <v>0</v>
      </c>
      <c r="L370" s="5">
        <v>0</v>
      </c>
      <c r="M370" s="12" t="s">
        <v>1121</v>
      </c>
      <c r="N370" s="150">
        <v>44228</v>
      </c>
      <c r="O370" s="5" t="s">
        <v>982</v>
      </c>
      <c r="P370" s="11" t="s">
        <v>4405</v>
      </c>
      <c r="Q370" s="11" t="s">
        <v>4406</v>
      </c>
      <c r="R370" s="168"/>
      <c r="S370" s="162"/>
      <c r="T370" s="20">
        <v>2021109402</v>
      </c>
      <c r="U370" s="150">
        <v>58380</v>
      </c>
      <c r="V370" s="11" t="s">
        <v>3724</v>
      </c>
      <c r="W370" s="14" t="s">
        <v>3753</v>
      </c>
      <c r="X370" s="9"/>
      <c r="Y370" s="51"/>
      <c r="Z370" s="154"/>
    </row>
    <row r="371" spans="1:26" ht="34.5" customHeight="1" x14ac:dyDescent="0.25">
      <c r="A371" s="5">
        <v>122</v>
      </c>
      <c r="B371" s="154" t="s">
        <v>4407</v>
      </c>
      <c r="C371" s="67" t="s">
        <v>46</v>
      </c>
      <c r="D371" s="5"/>
      <c r="E371" s="154" t="s">
        <v>1967</v>
      </c>
      <c r="F371" s="155">
        <v>33300</v>
      </c>
      <c r="G371" s="106" t="s">
        <v>4408</v>
      </c>
      <c r="H371" s="68" t="s">
        <v>4409</v>
      </c>
      <c r="I371" s="5" t="s">
        <v>1717</v>
      </c>
      <c r="J371" s="150">
        <v>45627</v>
      </c>
      <c r="K371" s="5">
        <v>5</v>
      </c>
      <c r="L371" s="5">
        <v>9</v>
      </c>
      <c r="M371" s="12" t="s">
        <v>1739</v>
      </c>
      <c r="N371" s="150">
        <v>45536</v>
      </c>
      <c r="O371" s="5" t="s">
        <v>982</v>
      </c>
      <c r="P371" s="47" t="s">
        <v>4410</v>
      </c>
      <c r="Q371" s="160" t="s">
        <v>4411</v>
      </c>
      <c r="R371" s="9"/>
      <c r="S371" s="14"/>
      <c r="T371" s="183">
        <v>2003039101</v>
      </c>
      <c r="U371" s="150">
        <v>57071</v>
      </c>
      <c r="V371" s="11" t="s">
        <v>3659</v>
      </c>
      <c r="W371" s="160" t="s">
        <v>4319</v>
      </c>
      <c r="X371" s="11" t="s">
        <v>4412</v>
      </c>
      <c r="Y371" s="51">
        <v>45586</v>
      </c>
      <c r="Z371" s="154"/>
    </row>
    <row r="372" spans="1:26" ht="34.5" customHeight="1" x14ac:dyDescent="0.25">
      <c r="A372" s="5">
        <v>123</v>
      </c>
      <c r="B372" s="154" t="s">
        <v>4413</v>
      </c>
      <c r="C372" s="67" t="s">
        <v>46</v>
      </c>
      <c r="D372" s="5"/>
      <c r="E372" s="154" t="s">
        <v>1659</v>
      </c>
      <c r="F372" s="155">
        <v>33574</v>
      </c>
      <c r="G372" s="106" t="s">
        <v>4414</v>
      </c>
      <c r="H372" s="68" t="s">
        <v>4415</v>
      </c>
      <c r="I372" s="5" t="s">
        <v>1717</v>
      </c>
      <c r="J372" s="150">
        <v>45627</v>
      </c>
      <c r="K372" s="5">
        <v>10</v>
      </c>
      <c r="L372" s="5">
        <v>9</v>
      </c>
      <c r="M372" s="12" t="s">
        <v>1739</v>
      </c>
      <c r="N372" s="150">
        <v>45536</v>
      </c>
      <c r="O372" s="5" t="s">
        <v>982</v>
      </c>
      <c r="P372" s="47" t="s">
        <v>2584</v>
      </c>
      <c r="Q372" s="160" t="s">
        <v>4416</v>
      </c>
      <c r="R372" s="9"/>
      <c r="S372" s="14"/>
      <c r="T372" s="183">
        <v>2002129102</v>
      </c>
      <c r="U372" s="150">
        <v>57040</v>
      </c>
      <c r="V372" s="11" t="s">
        <v>999</v>
      </c>
      <c r="W372" s="160" t="s">
        <v>4417</v>
      </c>
      <c r="X372" s="11"/>
      <c r="Y372" s="5"/>
      <c r="Z372" s="154"/>
    </row>
    <row r="373" spans="1:26" ht="34.5" customHeight="1" x14ac:dyDescent="0.25">
      <c r="A373" s="5">
        <v>124</v>
      </c>
      <c r="B373" s="40" t="s">
        <v>4418</v>
      </c>
      <c r="C373" s="39" t="s">
        <v>18</v>
      </c>
      <c r="D373" s="12"/>
      <c r="E373" s="40" t="s">
        <v>3388</v>
      </c>
      <c r="F373" s="170">
        <v>33561</v>
      </c>
      <c r="G373" s="156" t="s">
        <v>4419</v>
      </c>
      <c r="H373" s="68" t="s">
        <v>4420</v>
      </c>
      <c r="I373" s="5" t="s">
        <v>1991</v>
      </c>
      <c r="J373" s="150">
        <v>43525</v>
      </c>
      <c r="K373" s="5">
        <v>0</v>
      </c>
      <c r="L373" s="5">
        <v>0</v>
      </c>
      <c r="M373" s="12" t="s">
        <v>1121</v>
      </c>
      <c r="N373" s="161">
        <v>44256</v>
      </c>
      <c r="O373" s="5" t="s">
        <v>982</v>
      </c>
      <c r="P373" s="160" t="s">
        <v>4421</v>
      </c>
      <c r="Q373" s="160" t="s">
        <v>4422</v>
      </c>
      <c r="R373" s="12"/>
      <c r="S373" s="14"/>
      <c r="T373" s="183">
        <v>2019119103</v>
      </c>
      <c r="U373" s="170">
        <v>57680</v>
      </c>
      <c r="V373" s="11" t="s">
        <v>999</v>
      </c>
      <c r="W373" s="160" t="s">
        <v>4423</v>
      </c>
      <c r="X373" s="11"/>
      <c r="Y373" s="5"/>
      <c r="Z373" s="154"/>
    </row>
    <row r="374" spans="1:26" ht="34.5" customHeight="1" x14ac:dyDescent="0.25">
      <c r="A374" s="5">
        <v>125</v>
      </c>
      <c r="B374" s="154" t="s">
        <v>4424</v>
      </c>
      <c r="C374" s="67" t="s">
        <v>46</v>
      </c>
      <c r="D374" s="12"/>
      <c r="E374" s="154" t="s">
        <v>1519</v>
      </c>
      <c r="F374" s="155">
        <v>32360</v>
      </c>
      <c r="G374" s="106" t="s">
        <v>4425</v>
      </c>
      <c r="H374" s="68" t="s">
        <v>4426</v>
      </c>
      <c r="I374" s="5" t="s">
        <v>1717</v>
      </c>
      <c r="J374" s="150">
        <v>45627</v>
      </c>
      <c r="K374" s="5">
        <v>5</v>
      </c>
      <c r="L374" s="5">
        <v>9</v>
      </c>
      <c r="M374" s="12" t="s">
        <v>1739</v>
      </c>
      <c r="N374" s="150">
        <v>45536</v>
      </c>
      <c r="O374" s="5" t="s">
        <v>982</v>
      </c>
      <c r="P374" s="160" t="s">
        <v>4427</v>
      </c>
      <c r="Q374" s="160" t="s">
        <v>4428</v>
      </c>
      <c r="R374" s="12"/>
      <c r="S374" s="14"/>
      <c r="T374" s="20">
        <v>2005088801</v>
      </c>
      <c r="U374" s="155">
        <v>56128</v>
      </c>
      <c r="V374" s="11" t="s">
        <v>3610</v>
      </c>
      <c r="W374" s="160" t="s">
        <v>3467</v>
      </c>
      <c r="X374" s="11" t="s">
        <v>4429</v>
      </c>
      <c r="Y374" s="51">
        <v>45586</v>
      </c>
      <c r="Z374" s="154"/>
    </row>
    <row r="375" spans="1:26" ht="34.5" customHeight="1" x14ac:dyDescent="0.25">
      <c r="A375" s="5">
        <v>126</v>
      </c>
      <c r="B375" s="154" t="s">
        <v>4430</v>
      </c>
      <c r="C375" s="67" t="s">
        <v>46</v>
      </c>
      <c r="D375" s="12"/>
      <c r="E375" s="154" t="s">
        <v>1566</v>
      </c>
      <c r="F375" s="155">
        <v>31755</v>
      </c>
      <c r="G375" s="106" t="s">
        <v>4431</v>
      </c>
      <c r="H375" s="68" t="s">
        <v>4432</v>
      </c>
      <c r="I375" s="5" t="s">
        <v>1991</v>
      </c>
      <c r="J375" s="150">
        <v>43525</v>
      </c>
      <c r="K375" s="5">
        <v>0</v>
      </c>
      <c r="L375" s="5">
        <v>0</v>
      </c>
      <c r="M375" s="12" t="s">
        <v>1739</v>
      </c>
      <c r="N375" s="150">
        <v>45597</v>
      </c>
      <c r="O375" s="5" t="s">
        <v>982</v>
      </c>
      <c r="P375" s="160"/>
      <c r="Q375" s="160" t="s">
        <v>4433</v>
      </c>
      <c r="R375" s="12"/>
      <c r="S375" s="14"/>
      <c r="T375" s="20">
        <v>2009128603</v>
      </c>
      <c r="U375" s="155">
        <v>55519</v>
      </c>
      <c r="V375" s="11" t="s">
        <v>3610</v>
      </c>
      <c r="W375" s="160" t="s">
        <v>3489</v>
      </c>
      <c r="X375" s="11"/>
      <c r="Y375" s="5"/>
      <c r="Z375" s="154"/>
    </row>
    <row r="376" spans="1:26" ht="34.5" customHeight="1" x14ac:dyDescent="0.25">
      <c r="A376" s="5">
        <v>127</v>
      </c>
      <c r="B376" s="14" t="s">
        <v>4434</v>
      </c>
      <c r="C376" s="5" t="s">
        <v>18</v>
      </c>
      <c r="D376" s="10"/>
      <c r="E376" s="14" t="s">
        <v>4435</v>
      </c>
      <c r="F376" s="150">
        <v>33123</v>
      </c>
      <c r="G376" s="8" t="s">
        <v>4436</v>
      </c>
      <c r="H376" s="68" t="s">
        <v>4437</v>
      </c>
      <c r="I376" s="5" t="s">
        <v>1991</v>
      </c>
      <c r="J376" s="150">
        <v>43525</v>
      </c>
      <c r="K376" s="5">
        <v>0</v>
      </c>
      <c r="L376" s="5">
        <v>0</v>
      </c>
      <c r="M376" s="12" t="s">
        <v>1121</v>
      </c>
      <c r="N376" s="150">
        <v>44228</v>
      </c>
      <c r="O376" s="5" t="s">
        <v>982</v>
      </c>
      <c r="P376" s="11" t="s">
        <v>4438</v>
      </c>
      <c r="Q376" s="11" t="s">
        <v>4439</v>
      </c>
      <c r="R376" s="168"/>
      <c r="S376" s="162"/>
      <c r="T376" s="20">
        <v>2009079003</v>
      </c>
      <c r="U376" s="150">
        <v>56888</v>
      </c>
      <c r="V376" s="11" t="s">
        <v>3724</v>
      </c>
      <c r="W376" s="14" t="s">
        <v>4440</v>
      </c>
      <c r="X376" s="9" t="s">
        <v>4441</v>
      </c>
      <c r="Y376" s="51">
        <v>45586</v>
      </c>
      <c r="Z376" s="154"/>
    </row>
    <row r="377" spans="1:26" ht="34.5" customHeight="1" x14ac:dyDescent="0.25">
      <c r="A377" s="5">
        <v>128</v>
      </c>
      <c r="B377" s="14" t="s">
        <v>4442</v>
      </c>
      <c r="C377" s="5" t="s">
        <v>18</v>
      </c>
      <c r="D377" s="10"/>
      <c r="E377" s="14" t="s">
        <v>3614</v>
      </c>
      <c r="F377" s="150">
        <v>31748</v>
      </c>
      <c r="G377" s="8" t="s">
        <v>4443</v>
      </c>
      <c r="H377" s="68" t="s">
        <v>4444</v>
      </c>
      <c r="I377" s="5" t="s">
        <v>1717</v>
      </c>
      <c r="J377" s="150">
        <v>45627</v>
      </c>
      <c r="K377" s="5">
        <v>5</v>
      </c>
      <c r="L377" s="5">
        <v>9</v>
      </c>
      <c r="M377" s="12" t="s">
        <v>1739</v>
      </c>
      <c r="N377" s="150">
        <v>45536</v>
      </c>
      <c r="O377" s="5" t="s">
        <v>982</v>
      </c>
      <c r="P377" s="11" t="s">
        <v>4445</v>
      </c>
      <c r="Q377" s="11" t="s">
        <v>4446</v>
      </c>
      <c r="R377" s="168"/>
      <c r="S377" s="162"/>
      <c r="T377" s="20" t="s">
        <v>4447</v>
      </c>
      <c r="U377" s="150">
        <v>55519</v>
      </c>
      <c r="V377" s="11" t="s">
        <v>3724</v>
      </c>
      <c r="W377" s="14" t="s">
        <v>4448</v>
      </c>
      <c r="X377" s="11" t="s">
        <v>4449</v>
      </c>
      <c r="Y377" s="51">
        <v>45586</v>
      </c>
      <c r="Z377" s="154" t="s">
        <v>1084</v>
      </c>
    </row>
    <row r="378" spans="1:26" ht="34.5" customHeight="1" x14ac:dyDescent="0.25">
      <c r="A378" s="5">
        <v>129</v>
      </c>
      <c r="B378" s="9" t="s">
        <v>4450</v>
      </c>
      <c r="C378" s="10" t="s">
        <v>18</v>
      </c>
      <c r="D378" s="10"/>
      <c r="E378" s="9" t="s">
        <v>4451</v>
      </c>
      <c r="F378" s="161">
        <v>31958</v>
      </c>
      <c r="G378" s="151" t="s">
        <v>4452</v>
      </c>
      <c r="H378" s="68" t="s">
        <v>4453</v>
      </c>
      <c r="I378" s="10" t="s">
        <v>1717</v>
      </c>
      <c r="J378" s="150">
        <v>45627</v>
      </c>
      <c r="K378" s="5">
        <v>9</v>
      </c>
      <c r="L378" s="5">
        <v>9</v>
      </c>
      <c r="M378" s="12" t="s">
        <v>1739</v>
      </c>
      <c r="N378" s="150">
        <v>45536</v>
      </c>
      <c r="O378" s="5" t="s">
        <v>982</v>
      </c>
      <c r="P378" s="11" t="s">
        <v>4454</v>
      </c>
      <c r="Q378" s="9" t="s">
        <v>4455</v>
      </c>
      <c r="R378" s="168"/>
      <c r="S378" s="14"/>
      <c r="T378" s="20">
        <v>2030068702</v>
      </c>
      <c r="U378" s="150">
        <v>55701</v>
      </c>
      <c r="V378" s="11" t="s">
        <v>3659</v>
      </c>
      <c r="W378" s="9" t="s">
        <v>3932</v>
      </c>
      <c r="X378" s="11" t="s">
        <v>4456</v>
      </c>
      <c r="Y378" s="51">
        <v>45090</v>
      </c>
      <c r="Z378" s="154" t="s">
        <v>1084</v>
      </c>
    </row>
    <row r="379" spans="1:26" ht="34.5" customHeight="1" x14ac:dyDescent="0.25">
      <c r="A379" s="5">
        <v>130</v>
      </c>
      <c r="B379" s="9" t="s">
        <v>4457</v>
      </c>
      <c r="C379" s="10" t="s">
        <v>18</v>
      </c>
      <c r="D379" s="10"/>
      <c r="E379" s="9" t="s">
        <v>1519</v>
      </c>
      <c r="F379" s="161">
        <v>30032</v>
      </c>
      <c r="G379" s="151" t="s">
        <v>4458</v>
      </c>
      <c r="H379" s="68" t="s">
        <v>4459</v>
      </c>
      <c r="I379" s="10" t="s">
        <v>1991</v>
      </c>
      <c r="J379" s="150">
        <v>42064</v>
      </c>
      <c r="K379" s="5">
        <v>0</v>
      </c>
      <c r="L379" s="5">
        <v>0</v>
      </c>
      <c r="M379" s="12" t="s">
        <v>1121</v>
      </c>
      <c r="N379" s="150">
        <v>44105</v>
      </c>
      <c r="O379" s="5" t="s">
        <v>982</v>
      </c>
      <c r="P379" s="11" t="s">
        <v>4460</v>
      </c>
      <c r="Q379" s="11" t="s">
        <v>4461</v>
      </c>
      <c r="R379" s="168"/>
      <c r="S379" s="14" t="s">
        <v>4462</v>
      </c>
      <c r="T379" s="20" t="s">
        <v>4463</v>
      </c>
      <c r="U379" s="150">
        <v>53783</v>
      </c>
      <c r="V379" s="196" t="s">
        <v>3659</v>
      </c>
      <c r="W379" s="9" t="s">
        <v>4464</v>
      </c>
      <c r="X379" s="9"/>
      <c r="Y379" s="10"/>
      <c r="Z379" s="172"/>
    </row>
    <row r="380" spans="1:26" ht="34.5" customHeight="1" x14ac:dyDescent="0.25">
      <c r="A380" s="5">
        <v>131</v>
      </c>
      <c r="B380" s="40" t="s">
        <v>4465</v>
      </c>
      <c r="C380" s="39" t="s">
        <v>18</v>
      </c>
      <c r="D380" s="12"/>
      <c r="E380" s="40" t="s">
        <v>2941</v>
      </c>
      <c r="F380" s="170">
        <v>33363</v>
      </c>
      <c r="G380" s="156" t="s">
        <v>4466</v>
      </c>
      <c r="H380" s="68" t="s">
        <v>4467</v>
      </c>
      <c r="I380" s="5" t="s">
        <v>1991</v>
      </c>
      <c r="J380" s="161">
        <v>43525</v>
      </c>
      <c r="K380" s="5">
        <v>0</v>
      </c>
      <c r="L380" s="5">
        <v>0</v>
      </c>
      <c r="M380" s="12" t="s">
        <v>1121</v>
      </c>
      <c r="N380" s="161">
        <v>44470</v>
      </c>
      <c r="O380" s="5" t="s">
        <v>982</v>
      </c>
      <c r="P380" s="9" t="s">
        <v>4336</v>
      </c>
      <c r="Q380" s="160" t="s">
        <v>4337</v>
      </c>
      <c r="R380" s="9"/>
      <c r="S380" s="162"/>
      <c r="T380" s="171" t="s">
        <v>4468</v>
      </c>
      <c r="U380" s="150">
        <v>57132</v>
      </c>
      <c r="V380" s="196" t="s">
        <v>3610</v>
      </c>
      <c r="W380" s="160" t="s">
        <v>1516</v>
      </c>
      <c r="X380" s="9"/>
      <c r="Y380" s="10"/>
      <c r="Z380" s="153" t="s">
        <v>1965</v>
      </c>
    </row>
    <row r="381" spans="1:26" ht="34.5" customHeight="1" x14ac:dyDescent="0.25">
      <c r="A381" s="5">
        <v>132</v>
      </c>
      <c r="B381" s="160" t="s">
        <v>4469</v>
      </c>
      <c r="C381" s="67" t="s">
        <v>46</v>
      </c>
      <c r="D381" s="5"/>
      <c r="E381" s="154" t="s">
        <v>1519</v>
      </c>
      <c r="F381" s="155">
        <v>34307</v>
      </c>
      <c r="G381" s="156" t="s">
        <v>4470</v>
      </c>
      <c r="H381" s="68" t="s">
        <v>4471</v>
      </c>
      <c r="I381" s="5" t="s">
        <v>1717</v>
      </c>
      <c r="J381" s="161">
        <v>45627</v>
      </c>
      <c r="K381" s="5">
        <v>4</v>
      </c>
      <c r="L381" s="5">
        <v>0</v>
      </c>
      <c r="M381" s="12" t="s">
        <v>1739</v>
      </c>
      <c r="N381" s="150">
        <v>45536</v>
      </c>
      <c r="O381" s="5" t="s">
        <v>982</v>
      </c>
      <c r="P381" s="9"/>
      <c r="Q381" s="160" t="s">
        <v>4472</v>
      </c>
      <c r="R381" s="9"/>
      <c r="S381" s="162"/>
      <c r="T381" s="20" t="s">
        <v>4473</v>
      </c>
      <c r="U381" s="150">
        <v>58076</v>
      </c>
      <c r="V381" s="11" t="s">
        <v>3659</v>
      </c>
      <c r="W381" s="160" t="s">
        <v>4474</v>
      </c>
      <c r="X381" s="11" t="s">
        <v>4475</v>
      </c>
      <c r="Y381" s="51">
        <v>45586</v>
      </c>
      <c r="Z381" s="154"/>
    </row>
    <row r="382" spans="1:26" ht="34.5" customHeight="1" x14ac:dyDescent="0.25">
      <c r="A382" s="5">
        <v>133</v>
      </c>
      <c r="B382" s="160" t="s">
        <v>4476</v>
      </c>
      <c r="C382" s="67" t="s">
        <v>18</v>
      </c>
      <c r="D382" s="5"/>
      <c r="E382" s="154" t="s">
        <v>4477</v>
      </c>
      <c r="F382" s="155">
        <v>34146</v>
      </c>
      <c r="G382" s="156" t="s">
        <v>4478</v>
      </c>
      <c r="H382" s="68" t="s">
        <v>4479</v>
      </c>
      <c r="I382" s="5" t="s">
        <v>1717</v>
      </c>
      <c r="J382" s="161">
        <v>45627</v>
      </c>
      <c r="K382" s="5">
        <v>4</v>
      </c>
      <c r="L382" s="5">
        <v>0</v>
      </c>
      <c r="M382" s="12" t="s">
        <v>1739</v>
      </c>
      <c r="N382" s="161">
        <v>44713</v>
      </c>
      <c r="O382" s="5" t="s">
        <v>982</v>
      </c>
      <c r="P382" s="9"/>
      <c r="Q382" s="160" t="s">
        <v>4480</v>
      </c>
      <c r="R382" s="9"/>
      <c r="S382" s="162"/>
      <c r="T382" s="20" t="s">
        <v>4481</v>
      </c>
      <c r="U382" s="150">
        <v>57892</v>
      </c>
      <c r="V382" s="11" t="s">
        <v>4024</v>
      </c>
      <c r="W382" s="160" t="s">
        <v>4482</v>
      </c>
      <c r="X382" s="9"/>
      <c r="Y382" s="10"/>
      <c r="Z382" s="153"/>
    </row>
    <row r="383" spans="1:26" ht="34.5" customHeight="1" x14ac:dyDescent="0.25">
      <c r="A383" s="5">
        <v>134</v>
      </c>
      <c r="B383" s="160" t="s">
        <v>4483</v>
      </c>
      <c r="C383" s="67" t="s">
        <v>46</v>
      </c>
      <c r="D383" s="5"/>
      <c r="E383" s="154" t="s">
        <v>1519</v>
      </c>
      <c r="F383" s="155">
        <v>34450</v>
      </c>
      <c r="G383" s="156" t="s">
        <v>4484</v>
      </c>
      <c r="H383" s="68" t="s">
        <v>4485</v>
      </c>
      <c r="I383" s="5" t="s">
        <v>1991</v>
      </c>
      <c r="J383" s="161">
        <v>44166</v>
      </c>
      <c r="K383" s="5">
        <v>0</v>
      </c>
      <c r="L383" s="5">
        <v>0</v>
      </c>
      <c r="M383" s="12" t="s">
        <v>1121</v>
      </c>
      <c r="N383" s="161">
        <v>44713</v>
      </c>
      <c r="O383" s="5" t="s">
        <v>982</v>
      </c>
      <c r="P383" s="9"/>
      <c r="Q383" s="160" t="s">
        <v>4486</v>
      </c>
      <c r="R383" s="9"/>
      <c r="S383" s="162"/>
      <c r="T383" s="20">
        <v>2026049401</v>
      </c>
      <c r="U383" s="150">
        <v>58196</v>
      </c>
      <c r="V383" s="11" t="s">
        <v>3989</v>
      </c>
      <c r="W383" s="160" t="s">
        <v>4482</v>
      </c>
      <c r="X383" s="9"/>
      <c r="Y383" s="10"/>
      <c r="Z383" s="153" t="s">
        <v>1965</v>
      </c>
    </row>
    <row r="384" spans="1:26" ht="34.5" customHeight="1" x14ac:dyDescent="0.25">
      <c r="A384" s="5">
        <v>135</v>
      </c>
      <c r="B384" s="160" t="s">
        <v>4487</v>
      </c>
      <c r="C384" s="67" t="s">
        <v>46</v>
      </c>
      <c r="D384" s="5"/>
      <c r="E384" s="154" t="s">
        <v>1519</v>
      </c>
      <c r="F384" s="155">
        <v>33603</v>
      </c>
      <c r="G384" s="156" t="s">
        <v>4488</v>
      </c>
      <c r="H384" s="68" t="s">
        <v>4489</v>
      </c>
      <c r="I384" s="5" t="s">
        <v>1991</v>
      </c>
      <c r="J384" s="161">
        <v>44166</v>
      </c>
      <c r="K384" s="5">
        <v>0</v>
      </c>
      <c r="L384" s="5">
        <v>0</v>
      </c>
      <c r="M384" s="12" t="s">
        <v>1121</v>
      </c>
      <c r="N384" s="161">
        <v>44713</v>
      </c>
      <c r="O384" s="5" t="s">
        <v>982</v>
      </c>
      <c r="P384" s="9"/>
      <c r="Q384" s="160" t="s">
        <v>4490</v>
      </c>
      <c r="R384" s="9"/>
      <c r="S384" s="162"/>
      <c r="T384" s="20" t="s">
        <v>4491</v>
      </c>
      <c r="U384" s="150">
        <v>57346</v>
      </c>
      <c r="V384" s="11" t="s">
        <v>3798</v>
      </c>
      <c r="W384" s="160" t="s">
        <v>4492</v>
      </c>
      <c r="X384" s="89"/>
      <c r="Y384" s="89"/>
      <c r="Z384" s="153" t="s">
        <v>1965</v>
      </c>
    </row>
    <row r="385" spans="1:26" ht="34.5" customHeight="1" x14ac:dyDescent="0.25">
      <c r="A385" s="5">
        <v>136</v>
      </c>
      <c r="B385" s="160" t="s">
        <v>4493</v>
      </c>
      <c r="C385" s="67" t="s">
        <v>18</v>
      </c>
      <c r="D385" s="5"/>
      <c r="E385" s="154" t="s">
        <v>2144</v>
      </c>
      <c r="F385" s="155">
        <v>33758</v>
      </c>
      <c r="G385" s="156" t="s">
        <v>4494</v>
      </c>
      <c r="H385" s="68" t="s">
        <v>4495</v>
      </c>
      <c r="I385" s="5" t="s">
        <v>1717</v>
      </c>
      <c r="J385" s="161">
        <v>45627</v>
      </c>
      <c r="K385" s="5">
        <v>4</v>
      </c>
      <c r="L385" s="5">
        <v>0</v>
      </c>
      <c r="M385" s="12" t="s">
        <v>1739</v>
      </c>
      <c r="N385" s="161">
        <v>45536</v>
      </c>
      <c r="O385" s="5" t="s">
        <v>982</v>
      </c>
      <c r="P385" s="9"/>
      <c r="Q385" s="160" t="s">
        <v>4496</v>
      </c>
      <c r="R385" s="9"/>
      <c r="S385" s="162"/>
      <c r="T385" s="20" t="s">
        <v>4497</v>
      </c>
      <c r="U385" s="150">
        <v>57527</v>
      </c>
      <c r="V385" s="11" t="s">
        <v>999</v>
      </c>
      <c r="W385" s="160" t="s">
        <v>4498</v>
      </c>
      <c r="X385" s="9"/>
      <c r="Y385" s="10"/>
      <c r="Z385" s="153"/>
    </row>
    <row r="386" spans="1:26" ht="34.5" customHeight="1" x14ac:dyDescent="0.25">
      <c r="A386" s="5">
        <v>137</v>
      </c>
      <c r="B386" s="160" t="s">
        <v>4499</v>
      </c>
      <c r="C386" s="67" t="s">
        <v>18</v>
      </c>
      <c r="D386" s="5"/>
      <c r="E386" s="154" t="s">
        <v>1638</v>
      </c>
      <c r="F386" s="155">
        <v>34093</v>
      </c>
      <c r="G386" s="156" t="s">
        <v>4500</v>
      </c>
      <c r="H386" s="68" t="s">
        <v>4501</v>
      </c>
      <c r="I386" s="5" t="s">
        <v>1991</v>
      </c>
      <c r="J386" s="161">
        <v>44166</v>
      </c>
      <c r="K386" s="5">
        <v>0</v>
      </c>
      <c r="L386" s="5">
        <v>0</v>
      </c>
      <c r="M386" s="12" t="s">
        <v>1121</v>
      </c>
      <c r="N386" s="161">
        <v>44866</v>
      </c>
      <c r="O386" s="5" t="s">
        <v>982</v>
      </c>
      <c r="P386" s="9"/>
      <c r="Q386" s="160" t="s">
        <v>4502</v>
      </c>
      <c r="R386" s="9"/>
      <c r="S386" s="162"/>
      <c r="T386" s="20" t="s">
        <v>4503</v>
      </c>
      <c r="U386" s="150">
        <v>57862</v>
      </c>
      <c r="V386" s="11" t="s">
        <v>3894</v>
      </c>
      <c r="W386" s="160" t="s">
        <v>4504</v>
      </c>
      <c r="X386" s="9"/>
      <c r="Y386" s="10"/>
      <c r="Z386" s="153"/>
    </row>
    <row r="387" spans="1:26" ht="34.5" customHeight="1" x14ac:dyDescent="0.25">
      <c r="A387" s="5">
        <v>138</v>
      </c>
      <c r="B387" s="160" t="s">
        <v>4505</v>
      </c>
      <c r="C387" s="67" t="s">
        <v>46</v>
      </c>
      <c r="D387" s="5"/>
      <c r="E387" s="154" t="s">
        <v>1934</v>
      </c>
      <c r="F387" s="155">
        <v>33459</v>
      </c>
      <c r="G387" s="156" t="s">
        <v>4506</v>
      </c>
      <c r="H387" s="68" t="s">
        <v>4507</v>
      </c>
      <c r="I387" s="5" t="s">
        <v>1717</v>
      </c>
      <c r="J387" s="161">
        <v>45627</v>
      </c>
      <c r="K387" s="5">
        <v>4</v>
      </c>
      <c r="L387" s="5">
        <v>0</v>
      </c>
      <c r="M387" s="12" t="s">
        <v>1739</v>
      </c>
      <c r="N387" s="161">
        <v>45536</v>
      </c>
      <c r="O387" s="5" t="s">
        <v>982</v>
      </c>
      <c r="P387" s="9"/>
      <c r="Q387" s="160" t="s">
        <v>4508</v>
      </c>
      <c r="R387" s="9"/>
      <c r="S387" s="162"/>
      <c r="T387" s="20" t="s">
        <v>4509</v>
      </c>
      <c r="U387" s="150">
        <v>57224</v>
      </c>
      <c r="V387" s="11" t="s">
        <v>3798</v>
      </c>
      <c r="W387" s="160" t="s">
        <v>3925</v>
      </c>
      <c r="X387" s="9"/>
      <c r="Y387" s="10"/>
      <c r="Z387" s="153"/>
    </row>
    <row r="388" spans="1:26" ht="34.5" customHeight="1" x14ac:dyDescent="0.25">
      <c r="A388" s="5">
        <v>139</v>
      </c>
      <c r="B388" s="160" t="s">
        <v>4510</v>
      </c>
      <c r="C388" s="67" t="s">
        <v>46</v>
      </c>
      <c r="D388" s="5"/>
      <c r="E388" s="154" t="s">
        <v>1648</v>
      </c>
      <c r="F388" s="155">
        <v>31128</v>
      </c>
      <c r="G388" s="156" t="s">
        <v>4511</v>
      </c>
      <c r="H388" s="68" t="s">
        <v>4512</v>
      </c>
      <c r="I388" s="5" t="s">
        <v>1991</v>
      </c>
      <c r="J388" s="161">
        <v>44166</v>
      </c>
      <c r="K388" s="5">
        <v>0</v>
      </c>
      <c r="L388" s="5">
        <v>0</v>
      </c>
      <c r="M388" s="12" t="s">
        <v>1121</v>
      </c>
      <c r="N388" s="161">
        <v>44713</v>
      </c>
      <c r="O388" s="5" t="s">
        <v>982</v>
      </c>
      <c r="P388" s="9"/>
      <c r="Q388" s="160" t="s">
        <v>4513</v>
      </c>
      <c r="R388" s="9"/>
      <c r="S388" s="162"/>
      <c r="T388" s="20" t="s">
        <v>4514</v>
      </c>
      <c r="U388" s="150">
        <v>54879</v>
      </c>
      <c r="V388" s="11" t="s">
        <v>3798</v>
      </c>
      <c r="W388" s="160" t="s">
        <v>4515</v>
      </c>
      <c r="X388" s="11" t="s">
        <v>4516</v>
      </c>
      <c r="Y388" s="51">
        <v>45090</v>
      </c>
      <c r="Z388" s="153"/>
    </row>
    <row r="389" spans="1:26" ht="34.5" customHeight="1" x14ac:dyDescent="0.25">
      <c r="A389" s="5">
        <v>140</v>
      </c>
      <c r="B389" s="160" t="s">
        <v>4517</v>
      </c>
      <c r="C389" s="67" t="s">
        <v>18</v>
      </c>
      <c r="D389" s="5"/>
      <c r="E389" s="154" t="s">
        <v>2874</v>
      </c>
      <c r="F389" s="155">
        <v>34359</v>
      </c>
      <c r="G389" s="156" t="s">
        <v>4518</v>
      </c>
      <c r="H389" s="68" t="s">
        <v>4519</v>
      </c>
      <c r="I389" s="5" t="s">
        <v>1717</v>
      </c>
      <c r="J389" s="161">
        <v>45627</v>
      </c>
      <c r="K389" s="5">
        <v>4</v>
      </c>
      <c r="L389" s="5">
        <v>0</v>
      </c>
      <c r="M389" s="12" t="s">
        <v>1739</v>
      </c>
      <c r="N389" s="161">
        <v>45536</v>
      </c>
      <c r="O389" s="5" t="s">
        <v>982</v>
      </c>
      <c r="P389" s="9"/>
      <c r="Q389" s="160" t="s">
        <v>4520</v>
      </c>
      <c r="R389" s="9"/>
      <c r="S389" s="162"/>
      <c r="T389" s="20" t="s">
        <v>4521</v>
      </c>
      <c r="U389" s="150">
        <v>58107</v>
      </c>
      <c r="V389" s="11" t="s">
        <v>3798</v>
      </c>
      <c r="W389" s="160" t="s">
        <v>3925</v>
      </c>
      <c r="X389" s="9"/>
      <c r="Y389" s="10"/>
      <c r="Z389" s="153"/>
    </row>
    <row r="390" spans="1:26" ht="34.5" customHeight="1" x14ac:dyDescent="0.25">
      <c r="A390" s="5">
        <v>141</v>
      </c>
      <c r="B390" s="154" t="s">
        <v>4522</v>
      </c>
      <c r="C390" s="67" t="s">
        <v>18</v>
      </c>
      <c r="D390" s="12"/>
      <c r="E390" s="154" t="s">
        <v>2428</v>
      </c>
      <c r="F390" s="155">
        <v>32296</v>
      </c>
      <c r="G390" s="106" t="s">
        <v>4523</v>
      </c>
      <c r="H390" s="68" t="s">
        <v>4524</v>
      </c>
      <c r="I390" s="5" t="s">
        <v>1991</v>
      </c>
      <c r="J390" s="150">
        <v>43525</v>
      </c>
      <c r="K390" s="5">
        <v>0</v>
      </c>
      <c r="L390" s="5">
        <v>0</v>
      </c>
      <c r="M390" s="12" t="s">
        <v>1121</v>
      </c>
      <c r="N390" s="161">
        <v>44927</v>
      </c>
      <c r="O390" s="5" t="s">
        <v>982</v>
      </c>
      <c r="P390" s="160" t="s">
        <v>2681</v>
      </c>
      <c r="Q390" s="160" t="s">
        <v>4525</v>
      </c>
      <c r="R390" s="12"/>
      <c r="S390" s="14"/>
      <c r="T390" s="183">
        <v>2002068803</v>
      </c>
      <c r="U390" s="155">
        <v>56066</v>
      </c>
      <c r="V390" s="11" t="s">
        <v>3659</v>
      </c>
      <c r="W390" s="160" t="s">
        <v>4526</v>
      </c>
      <c r="X390" s="11" t="s">
        <v>2099</v>
      </c>
      <c r="Y390" s="51">
        <v>45632</v>
      </c>
      <c r="Z390" s="172"/>
    </row>
    <row r="391" spans="1:26" ht="34.5" customHeight="1" x14ac:dyDescent="0.25">
      <c r="A391" s="5">
        <v>142</v>
      </c>
      <c r="B391" s="160" t="s">
        <v>4527</v>
      </c>
      <c r="C391" s="67" t="s">
        <v>46</v>
      </c>
      <c r="D391" s="5"/>
      <c r="E391" s="154" t="s">
        <v>1934</v>
      </c>
      <c r="F391" s="155">
        <v>31378</v>
      </c>
      <c r="G391" s="156" t="s">
        <v>4528</v>
      </c>
      <c r="H391" s="68" t="s">
        <v>4529</v>
      </c>
      <c r="I391" s="5" t="s">
        <v>1991</v>
      </c>
      <c r="J391" s="161">
        <v>44166</v>
      </c>
      <c r="K391" s="5">
        <v>0</v>
      </c>
      <c r="L391" s="5">
        <v>0</v>
      </c>
      <c r="M391" s="12" t="s">
        <v>1121</v>
      </c>
      <c r="N391" s="161">
        <v>44927</v>
      </c>
      <c r="O391" s="5" t="s">
        <v>982</v>
      </c>
      <c r="P391" s="9"/>
      <c r="Q391" s="160" t="s">
        <v>4530</v>
      </c>
      <c r="R391" s="9"/>
      <c r="S391" s="162"/>
      <c r="T391" s="20" t="s">
        <v>4531</v>
      </c>
      <c r="U391" s="150">
        <v>55123</v>
      </c>
      <c r="V391" s="11" t="s">
        <v>3894</v>
      </c>
      <c r="W391" s="160" t="s">
        <v>4532</v>
      </c>
      <c r="X391" s="9"/>
      <c r="Y391" s="10"/>
      <c r="Z391" s="153"/>
    </row>
    <row r="392" spans="1:26" ht="34.5" customHeight="1" x14ac:dyDescent="0.25">
      <c r="A392" s="5">
        <v>143</v>
      </c>
      <c r="B392" s="160" t="s">
        <v>4533</v>
      </c>
      <c r="C392" s="67"/>
      <c r="D392" s="5"/>
      <c r="E392" s="154" t="s">
        <v>3342</v>
      </c>
      <c r="F392" s="155" t="s">
        <v>4534</v>
      </c>
      <c r="G392" s="156" t="s">
        <v>4535</v>
      </c>
      <c r="H392" s="68" t="s">
        <v>4536</v>
      </c>
      <c r="I392" s="5" t="s">
        <v>1717</v>
      </c>
      <c r="J392" s="161">
        <v>43191</v>
      </c>
      <c r="K392" s="5">
        <v>10</v>
      </c>
      <c r="L392" s="5">
        <v>3</v>
      </c>
      <c r="M392" s="12" t="s">
        <v>1739</v>
      </c>
      <c r="N392" s="161">
        <v>45536</v>
      </c>
      <c r="O392" s="5" t="s">
        <v>1028</v>
      </c>
      <c r="P392" s="9"/>
      <c r="Q392" s="160"/>
      <c r="R392" s="9" t="s">
        <v>4537</v>
      </c>
      <c r="S392" s="162"/>
      <c r="T392" s="20"/>
      <c r="U392" s="150">
        <v>53236</v>
      </c>
      <c r="V392" s="11"/>
      <c r="W392" s="160"/>
      <c r="X392" s="11" t="s">
        <v>4538</v>
      </c>
      <c r="Y392" s="51">
        <v>45586</v>
      </c>
      <c r="Z392" s="154"/>
    </row>
    <row r="393" spans="1:26" ht="34.5" customHeight="1" x14ac:dyDescent="0.25">
      <c r="A393" s="173" t="s">
        <v>4539</v>
      </c>
      <c r="B393" s="173"/>
      <c r="C393" s="174"/>
      <c r="D393" s="174"/>
      <c r="E393" s="173"/>
      <c r="F393" s="174"/>
      <c r="G393" s="175"/>
      <c r="H393" s="12"/>
      <c r="I393" s="205"/>
      <c r="J393" s="205"/>
      <c r="K393" s="206"/>
      <c r="L393" s="48"/>
      <c r="M393" s="200"/>
      <c r="N393" s="200"/>
      <c r="O393" s="207"/>
      <c r="P393" s="89"/>
      <c r="Q393" s="89"/>
      <c r="R393" s="89"/>
      <c r="S393" s="199"/>
      <c r="T393" s="202"/>
      <c r="U393" s="202"/>
      <c r="V393" s="208"/>
      <c r="W393" s="200"/>
      <c r="X393" s="89"/>
      <c r="Y393" s="89"/>
      <c r="Z393" s="202"/>
    </row>
    <row r="394" spans="1:26" ht="34.5" customHeight="1" x14ac:dyDescent="0.25">
      <c r="A394" s="5">
        <v>1</v>
      </c>
      <c r="B394" s="14" t="s">
        <v>4540</v>
      </c>
      <c r="C394" s="5" t="s">
        <v>18</v>
      </c>
      <c r="D394" s="5" t="s">
        <v>4541</v>
      </c>
      <c r="E394" s="11" t="s">
        <v>1489</v>
      </c>
      <c r="F394" s="150">
        <v>21685</v>
      </c>
      <c r="G394" s="151" t="s">
        <v>4542</v>
      </c>
      <c r="H394" s="68" t="s">
        <v>4543</v>
      </c>
      <c r="I394" s="5" t="s">
        <v>1423</v>
      </c>
      <c r="J394" s="150">
        <v>45383</v>
      </c>
      <c r="K394" s="10">
        <v>34</v>
      </c>
      <c r="L394" s="10">
        <v>3</v>
      </c>
      <c r="M394" s="12" t="s">
        <v>1424</v>
      </c>
      <c r="N394" s="161">
        <v>38869</v>
      </c>
      <c r="O394" s="5" t="s">
        <v>1028</v>
      </c>
      <c r="P394" s="157" t="s">
        <v>4544</v>
      </c>
      <c r="Q394" s="157" t="s">
        <v>3569</v>
      </c>
      <c r="R394" s="152" t="s">
        <v>4545</v>
      </c>
      <c r="S394" s="33" t="s">
        <v>4546</v>
      </c>
      <c r="T394" s="183">
        <v>2015055901</v>
      </c>
      <c r="U394" s="161">
        <v>47270</v>
      </c>
      <c r="V394" s="11" t="s">
        <v>4547</v>
      </c>
      <c r="W394" s="11" t="s">
        <v>2208</v>
      </c>
      <c r="X394" s="11"/>
      <c r="Y394" s="10"/>
      <c r="Z394" s="154"/>
    </row>
    <row r="395" spans="1:26" ht="34.5" customHeight="1" x14ac:dyDescent="0.25">
      <c r="A395" s="5">
        <v>2</v>
      </c>
      <c r="B395" s="14" t="s">
        <v>4548</v>
      </c>
      <c r="C395" s="5" t="s">
        <v>46</v>
      </c>
      <c r="D395" s="5" t="s">
        <v>4549</v>
      </c>
      <c r="E395" s="11" t="s">
        <v>1844</v>
      </c>
      <c r="F395" s="150">
        <v>23278</v>
      </c>
      <c r="G395" s="151" t="s">
        <v>4550</v>
      </c>
      <c r="H395" s="68" t="s">
        <v>4551</v>
      </c>
      <c r="I395" s="5" t="s">
        <v>1423</v>
      </c>
      <c r="J395" s="150">
        <v>45383</v>
      </c>
      <c r="K395" s="10">
        <v>35</v>
      </c>
      <c r="L395" s="10">
        <v>1</v>
      </c>
      <c r="M395" s="12" t="s">
        <v>1424</v>
      </c>
      <c r="N395" s="161">
        <v>41913</v>
      </c>
      <c r="O395" s="5" t="s">
        <v>1028</v>
      </c>
      <c r="P395" s="157" t="s">
        <v>4552</v>
      </c>
      <c r="Q395" s="157" t="s">
        <v>3569</v>
      </c>
      <c r="R395" s="152" t="s">
        <v>4553</v>
      </c>
      <c r="S395" s="14" t="s">
        <v>4554</v>
      </c>
      <c r="T395" s="20">
        <v>2024096302</v>
      </c>
      <c r="U395" s="161">
        <v>48853</v>
      </c>
      <c r="V395" s="11" t="s">
        <v>4555</v>
      </c>
      <c r="W395" s="11" t="s">
        <v>4556</v>
      </c>
      <c r="X395" s="11"/>
      <c r="Y395" s="10"/>
      <c r="Z395" s="154"/>
    </row>
    <row r="396" spans="1:26" ht="34.5" customHeight="1" x14ac:dyDescent="0.25">
      <c r="A396" s="5">
        <v>3</v>
      </c>
      <c r="B396" s="11" t="s">
        <v>4557</v>
      </c>
      <c r="C396" s="5" t="s">
        <v>18</v>
      </c>
      <c r="D396" s="5" t="s">
        <v>4558</v>
      </c>
      <c r="E396" s="11" t="s">
        <v>2486</v>
      </c>
      <c r="F396" s="150">
        <v>26554</v>
      </c>
      <c r="G396" s="151" t="s">
        <v>4559</v>
      </c>
      <c r="H396" s="68" t="s">
        <v>4560</v>
      </c>
      <c r="I396" s="10" t="s">
        <v>1423</v>
      </c>
      <c r="J396" s="161">
        <v>45566</v>
      </c>
      <c r="K396" s="10">
        <v>22</v>
      </c>
      <c r="L396" s="10">
        <v>10</v>
      </c>
      <c r="M396" s="12" t="s">
        <v>1424</v>
      </c>
      <c r="N396" s="161">
        <v>43160</v>
      </c>
      <c r="O396" s="5" t="s">
        <v>1028</v>
      </c>
      <c r="P396" s="157" t="s">
        <v>4561</v>
      </c>
      <c r="Q396" s="157" t="s">
        <v>4562</v>
      </c>
      <c r="R396" s="152" t="s">
        <v>4563</v>
      </c>
      <c r="S396" s="162">
        <v>112100511000001</v>
      </c>
      <c r="T396" s="20">
        <v>2012097202</v>
      </c>
      <c r="U396" s="161">
        <v>52140</v>
      </c>
      <c r="V396" s="11" t="s">
        <v>4564</v>
      </c>
      <c r="W396" s="11" t="s">
        <v>4565</v>
      </c>
      <c r="X396" s="89"/>
      <c r="Y396" s="89"/>
      <c r="Z396" s="164"/>
    </row>
    <row r="397" spans="1:26" ht="34.5" customHeight="1" x14ac:dyDescent="0.25">
      <c r="A397" s="5">
        <v>4</v>
      </c>
      <c r="B397" s="14" t="s">
        <v>4566</v>
      </c>
      <c r="C397" s="5" t="s">
        <v>18</v>
      </c>
      <c r="D397" s="5" t="s">
        <v>4567</v>
      </c>
      <c r="E397" s="11" t="s">
        <v>2055</v>
      </c>
      <c r="F397" s="150">
        <v>26637</v>
      </c>
      <c r="G397" s="151" t="s">
        <v>4568</v>
      </c>
      <c r="H397" s="68" t="s">
        <v>4569</v>
      </c>
      <c r="I397" s="10" t="s">
        <v>1447</v>
      </c>
      <c r="J397" s="161">
        <v>43922</v>
      </c>
      <c r="K397" s="10">
        <v>23</v>
      </c>
      <c r="L397" s="10">
        <v>1</v>
      </c>
      <c r="M397" s="12" t="s">
        <v>1424</v>
      </c>
      <c r="N397" s="161">
        <v>43709</v>
      </c>
      <c r="O397" s="5" t="s">
        <v>1028</v>
      </c>
      <c r="P397" s="157" t="s">
        <v>4561</v>
      </c>
      <c r="Q397" s="157" t="s">
        <v>4570</v>
      </c>
      <c r="R397" s="152" t="s">
        <v>2806</v>
      </c>
      <c r="S397" s="14" t="s">
        <v>4571</v>
      </c>
      <c r="T397" s="20">
        <v>2004127201</v>
      </c>
      <c r="U397" s="161">
        <v>51867</v>
      </c>
      <c r="V397" s="11" t="s">
        <v>4547</v>
      </c>
      <c r="W397" s="11" t="s">
        <v>4572</v>
      </c>
      <c r="X397" s="89"/>
      <c r="Y397" s="89"/>
      <c r="Z397" s="89"/>
    </row>
    <row r="398" spans="1:26" ht="34.5" customHeight="1" x14ac:dyDescent="0.25">
      <c r="A398" s="5">
        <v>5</v>
      </c>
      <c r="B398" s="14" t="s">
        <v>4573</v>
      </c>
      <c r="C398" s="5" t="s">
        <v>46</v>
      </c>
      <c r="D398" s="5" t="s">
        <v>4574</v>
      </c>
      <c r="E398" s="11" t="s">
        <v>2400</v>
      </c>
      <c r="F398" s="150">
        <v>21902</v>
      </c>
      <c r="G398" s="151" t="s">
        <v>4575</v>
      </c>
      <c r="H398" s="68" t="s">
        <v>4576</v>
      </c>
      <c r="I398" s="5" t="s">
        <v>1423</v>
      </c>
      <c r="J398" s="150">
        <v>45383</v>
      </c>
      <c r="K398" s="10">
        <v>37</v>
      </c>
      <c r="L398" s="10">
        <v>1</v>
      </c>
      <c r="M398" s="12" t="s">
        <v>1424</v>
      </c>
      <c r="N398" s="161">
        <v>44044</v>
      </c>
      <c r="O398" s="5" t="s">
        <v>1028</v>
      </c>
      <c r="P398" s="157" t="s">
        <v>4577</v>
      </c>
      <c r="Q398" s="157" t="s">
        <v>4578</v>
      </c>
      <c r="R398" s="152" t="s">
        <v>4579</v>
      </c>
      <c r="S398" s="14" t="s">
        <v>4580</v>
      </c>
      <c r="T398" s="20">
        <v>2018125901</v>
      </c>
      <c r="U398" s="161">
        <v>47119</v>
      </c>
      <c r="V398" s="11" t="s">
        <v>4555</v>
      </c>
      <c r="W398" s="11" t="s">
        <v>4581</v>
      </c>
      <c r="X398" s="11"/>
      <c r="Y398" s="10"/>
      <c r="Z398" s="154"/>
    </row>
    <row r="399" spans="1:26" ht="34.5" customHeight="1" x14ac:dyDescent="0.25">
      <c r="A399" s="5">
        <v>6</v>
      </c>
      <c r="B399" s="11" t="s">
        <v>4582</v>
      </c>
      <c r="C399" s="5" t="s">
        <v>18</v>
      </c>
      <c r="D399" s="5" t="s">
        <v>4583</v>
      </c>
      <c r="E399" s="11" t="s">
        <v>1934</v>
      </c>
      <c r="F399" s="150">
        <v>25223</v>
      </c>
      <c r="G399" s="151" t="s">
        <v>4584</v>
      </c>
      <c r="H399" s="68" t="s">
        <v>4585</v>
      </c>
      <c r="I399" s="10" t="s">
        <v>1423</v>
      </c>
      <c r="J399" s="161">
        <v>45566</v>
      </c>
      <c r="K399" s="10">
        <v>27</v>
      </c>
      <c r="L399" s="10">
        <v>7</v>
      </c>
      <c r="M399" s="12" t="s">
        <v>1424</v>
      </c>
      <c r="N399" s="161">
        <v>44652</v>
      </c>
      <c r="O399" s="5" t="s">
        <v>1028</v>
      </c>
      <c r="P399" s="11" t="s">
        <v>4586</v>
      </c>
      <c r="Q399" s="157" t="s">
        <v>1512</v>
      </c>
      <c r="R399" s="152" t="s">
        <v>4587</v>
      </c>
      <c r="S399" s="14" t="s">
        <v>4588</v>
      </c>
      <c r="T399" s="20">
        <v>2020016901</v>
      </c>
      <c r="U399" s="161">
        <v>50802</v>
      </c>
      <c r="V399" s="11" t="s">
        <v>4547</v>
      </c>
      <c r="W399" s="11" t="s">
        <v>4589</v>
      </c>
      <c r="X399" s="12"/>
      <c r="Y399" s="12"/>
      <c r="Z399" s="154"/>
    </row>
    <row r="400" spans="1:26" ht="34.5" customHeight="1" x14ac:dyDescent="0.25">
      <c r="A400" s="5">
        <v>7</v>
      </c>
      <c r="B400" s="11" t="s">
        <v>4590</v>
      </c>
      <c r="C400" s="5" t="s">
        <v>46</v>
      </c>
      <c r="D400" s="5" t="s">
        <v>4591</v>
      </c>
      <c r="E400" s="11" t="s">
        <v>1950</v>
      </c>
      <c r="F400" s="150">
        <v>24060</v>
      </c>
      <c r="G400" s="151" t="s">
        <v>4592</v>
      </c>
      <c r="H400" s="68" t="s">
        <v>4593</v>
      </c>
      <c r="I400" s="10" t="s">
        <v>1447</v>
      </c>
      <c r="J400" s="161">
        <v>45017</v>
      </c>
      <c r="K400" s="10">
        <v>30</v>
      </c>
      <c r="L400" s="10">
        <v>7</v>
      </c>
      <c r="M400" s="12" t="s">
        <v>1424</v>
      </c>
      <c r="N400" s="161">
        <v>44774</v>
      </c>
      <c r="O400" s="5" t="s">
        <v>1028</v>
      </c>
      <c r="P400" s="157" t="s">
        <v>4594</v>
      </c>
      <c r="Q400" s="157" t="s">
        <v>4595</v>
      </c>
      <c r="R400" s="152" t="s">
        <v>4596</v>
      </c>
      <c r="S400" s="14" t="s">
        <v>4597</v>
      </c>
      <c r="T400" s="20">
        <v>2014116501</v>
      </c>
      <c r="U400" s="161">
        <v>49644</v>
      </c>
      <c r="V400" s="11" t="s">
        <v>4564</v>
      </c>
      <c r="W400" s="11" t="s">
        <v>4598</v>
      </c>
      <c r="X400" s="11"/>
      <c r="Y400" s="10"/>
      <c r="Z400" s="154"/>
    </row>
    <row r="401" spans="1:26" ht="34.5" customHeight="1" x14ac:dyDescent="0.25">
      <c r="A401" s="5">
        <v>8</v>
      </c>
      <c r="B401" s="14" t="s">
        <v>4599</v>
      </c>
      <c r="C401" s="5" t="s">
        <v>46</v>
      </c>
      <c r="D401" s="5" t="s">
        <v>4600</v>
      </c>
      <c r="E401" s="11" t="s">
        <v>1575</v>
      </c>
      <c r="F401" s="150">
        <v>26225</v>
      </c>
      <c r="G401" s="151" t="s">
        <v>4601</v>
      </c>
      <c r="H401" s="68" t="s">
        <v>4602</v>
      </c>
      <c r="I401" s="10" t="s">
        <v>1558</v>
      </c>
      <c r="J401" s="161">
        <v>45200</v>
      </c>
      <c r="K401" s="10">
        <v>27</v>
      </c>
      <c r="L401" s="10">
        <v>7</v>
      </c>
      <c r="M401" s="12" t="s">
        <v>1424</v>
      </c>
      <c r="N401" s="161">
        <v>44774</v>
      </c>
      <c r="O401" s="5" t="s">
        <v>1028</v>
      </c>
      <c r="P401" s="157" t="s">
        <v>4586</v>
      </c>
      <c r="Q401" s="157" t="s">
        <v>4603</v>
      </c>
      <c r="R401" s="9" t="s">
        <v>4604</v>
      </c>
      <c r="S401" s="14" t="s">
        <v>4605</v>
      </c>
      <c r="T401" s="20">
        <v>2019107101</v>
      </c>
      <c r="U401" s="161">
        <v>51806</v>
      </c>
      <c r="V401" s="11" t="s">
        <v>4547</v>
      </c>
      <c r="W401" s="11" t="s">
        <v>2282</v>
      </c>
      <c r="X401" s="89"/>
      <c r="Y401" s="89"/>
      <c r="Z401" s="89"/>
    </row>
    <row r="402" spans="1:26" ht="34.5" customHeight="1" x14ac:dyDescent="0.25">
      <c r="A402" s="5">
        <v>9</v>
      </c>
      <c r="B402" s="11" t="s">
        <v>4606</v>
      </c>
      <c r="C402" s="5" t="s">
        <v>18</v>
      </c>
      <c r="D402" s="5" t="s">
        <v>4607</v>
      </c>
      <c r="E402" s="11" t="s">
        <v>1536</v>
      </c>
      <c r="F402" s="150">
        <v>24994</v>
      </c>
      <c r="G402" s="151" t="s">
        <v>4608</v>
      </c>
      <c r="H402" s="68" t="s">
        <v>4609</v>
      </c>
      <c r="I402" s="10" t="s">
        <v>1469</v>
      </c>
      <c r="J402" s="161">
        <v>45566</v>
      </c>
      <c r="K402" s="10">
        <v>30</v>
      </c>
      <c r="L402" s="10">
        <v>7</v>
      </c>
      <c r="M402" s="12" t="s">
        <v>1424</v>
      </c>
      <c r="N402" s="161">
        <v>44652</v>
      </c>
      <c r="O402" s="5" t="s">
        <v>1028</v>
      </c>
      <c r="P402" s="157" t="s">
        <v>4610</v>
      </c>
      <c r="Q402" s="157" t="s">
        <v>4611</v>
      </c>
      <c r="R402" s="152" t="s">
        <v>4612</v>
      </c>
      <c r="S402" s="14" t="s">
        <v>4613</v>
      </c>
      <c r="T402" s="20">
        <v>2005066801</v>
      </c>
      <c r="U402" s="161">
        <v>50587</v>
      </c>
      <c r="V402" s="11" t="s">
        <v>4547</v>
      </c>
      <c r="W402" s="11" t="s">
        <v>1088</v>
      </c>
      <c r="X402" s="12"/>
      <c r="Y402" s="51"/>
      <c r="Z402" s="209" t="s">
        <v>4614</v>
      </c>
    </row>
    <row r="403" spans="1:26" ht="34.5" customHeight="1" x14ac:dyDescent="0.25">
      <c r="A403" s="5">
        <v>10</v>
      </c>
      <c r="B403" s="14" t="s">
        <v>4615</v>
      </c>
      <c r="C403" s="5" t="s">
        <v>46</v>
      </c>
      <c r="D403" s="5" t="s">
        <v>4616</v>
      </c>
      <c r="E403" s="11" t="s">
        <v>1942</v>
      </c>
      <c r="F403" s="150">
        <v>25549</v>
      </c>
      <c r="G403" s="151" t="s">
        <v>4617</v>
      </c>
      <c r="H403" s="68" t="s">
        <v>4618</v>
      </c>
      <c r="I403" s="5" t="s">
        <v>1447</v>
      </c>
      <c r="J403" s="150">
        <v>45383</v>
      </c>
      <c r="K403" s="10">
        <v>31</v>
      </c>
      <c r="L403" s="10">
        <v>1</v>
      </c>
      <c r="M403" s="12" t="s">
        <v>1424</v>
      </c>
      <c r="N403" s="161">
        <v>45078</v>
      </c>
      <c r="O403" s="5" t="s">
        <v>1028</v>
      </c>
      <c r="P403" s="157" t="s">
        <v>4619</v>
      </c>
      <c r="Q403" s="157" t="s">
        <v>1642</v>
      </c>
      <c r="R403" s="152" t="s">
        <v>4620</v>
      </c>
      <c r="S403" s="14" t="s">
        <v>4621</v>
      </c>
      <c r="T403" s="20">
        <v>2012126902</v>
      </c>
      <c r="U403" s="161">
        <v>50771</v>
      </c>
      <c r="V403" s="11" t="s">
        <v>4622</v>
      </c>
      <c r="W403" s="11" t="s">
        <v>4623</v>
      </c>
      <c r="X403" s="11"/>
      <c r="Y403" s="10"/>
      <c r="Z403" s="210"/>
    </row>
    <row r="404" spans="1:26" ht="34.5" customHeight="1" x14ac:dyDescent="0.25">
      <c r="A404" s="5">
        <v>11</v>
      </c>
      <c r="B404" s="14" t="s">
        <v>4624</v>
      </c>
      <c r="C404" s="5" t="s">
        <v>18</v>
      </c>
      <c r="D404" s="5" t="s">
        <v>4625</v>
      </c>
      <c r="E404" s="11" t="s">
        <v>1536</v>
      </c>
      <c r="F404" s="150">
        <v>25760</v>
      </c>
      <c r="G404" s="151" t="s">
        <v>4626</v>
      </c>
      <c r="H404" s="68" t="s">
        <v>4627</v>
      </c>
      <c r="I404" s="10" t="s">
        <v>1469</v>
      </c>
      <c r="J404" s="161">
        <v>45383</v>
      </c>
      <c r="K404" s="10">
        <v>22</v>
      </c>
      <c r="L404" s="10">
        <v>4</v>
      </c>
      <c r="M404" s="12" t="s">
        <v>1424</v>
      </c>
      <c r="N404" s="161">
        <v>45078</v>
      </c>
      <c r="O404" s="5" t="s">
        <v>1028</v>
      </c>
      <c r="P404" s="157" t="s">
        <v>3207</v>
      </c>
      <c r="Q404" s="157" t="s">
        <v>4628</v>
      </c>
      <c r="R404" s="152" t="s">
        <v>2946</v>
      </c>
      <c r="S404" s="14" t="s">
        <v>4629</v>
      </c>
      <c r="T404" s="5">
        <v>2011077001</v>
      </c>
      <c r="U404" s="161">
        <v>51349</v>
      </c>
      <c r="V404" s="11" t="s">
        <v>4630</v>
      </c>
      <c r="W404" s="11" t="s">
        <v>4631</v>
      </c>
      <c r="X404" s="12" t="s">
        <v>4632</v>
      </c>
      <c r="Y404" s="31">
        <v>45588</v>
      </c>
      <c r="Z404" s="12"/>
    </row>
    <row r="405" spans="1:26" ht="34.5" customHeight="1" x14ac:dyDescent="0.25">
      <c r="A405" s="5">
        <v>12</v>
      </c>
      <c r="B405" s="12" t="s">
        <v>4633</v>
      </c>
      <c r="C405" s="5" t="s">
        <v>18</v>
      </c>
      <c r="D405" s="5" t="s">
        <v>4634</v>
      </c>
      <c r="E405" s="14" t="s">
        <v>1827</v>
      </c>
      <c r="F405" s="51" t="s">
        <v>4635</v>
      </c>
      <c r="G405" s="8" t="s">
        <v>4636</v>
      </c>
      <c r="H405" s="68" t="s">
        <v>4637</v>
      </c>
      <c r="I405" s="5" t="s">
        <v>1699</v>
      </c>
      <c r="J405" s="150" t="s">
        <v>4638</v>
      </c>
      <c r="K405" s="5">
        <v>14</v>
      </c>
      <c r="L405" s="5">
        <v>3</v>
      </c>
      <c r="M405" s="12" t="s">
        <v>1424</v>
      </c>
      <c r="N405" s="150">
        <v>45078</v>
      </c>
      <c r="O405" s="5" t="s">
        <v>1028</v>
      </c>
      <c r="P405" s="11" t="s">
        <v>4639</v>
      </c>
      <c r="Q405" s="9" t="s">
        <v>4640</v>
      </c>
      <c r="R405" s="9" t="s">
        <v>4641</v>
      </c>
      <c r="S405" s="162">
        <v>132100511989</v>
      </c>
      <c r="T405" s="20" t="s">
        <v>4642</v>
      </c>
      <c r="U405" s="51" t="s">
        <v>3508</v>
      </c>
      <c r="V405" s="11" t="s">
        <v>4547</v>
      </c>
      <c r="W405" s="14" t="s">
        <v>1053</v>
      </c>
      <c r="X405" s="11" t="s">
        <v>4643</v>
      </c>
      <c r="Y405" s="51">
        <v>45579</v>
      </c>
      <c r="Z405" s="154"/>
    </row>
    <row r="406" spans="1:26" ht="34.5" customHeight="1" x14ac:dyDescent="0.25">
      <c r="A406" s="5">
        <v>13</v>
      </c>
      <c r="B406" s="11" t="s">
        <v>4644</v>
      </c>
      <c r="C406" s="5" t="s">
        <v>18</v>
      </c>
      <c r="D406" s="5" t="s">
        <v>4645</v>
      </c>
      <c r="E406" s="11" t="s">
        <v>2276</v>
      </c>
      <c r="F406" s="150">
        <v>26081</v>
      </c>
      <c r="G406" s="151" t="s">
        <v>4646</v>
      </c>
      <c r="H406" s="68" t="s">
        <v>4647</v>
      </c>
      <c r="I406" s="10" t="s">
        <v>1469</v>
      </c>
      <c r="J406" s="161">
        <v>45383</v>
      </c>
      <c r="K406" s="10">
        <v>24</v>
      </c>
      <c r="L406" s="10">
        <v>1</v>
      </c>
      <c r="M406" s="12" t="s">
        <v>1501</v>
      </c>
      <c r="N406" s="161">
        <v>39264</v>
      </c>
      <c r="O406" s="5" t="s">
        <v>1028</v>
      </c>
      <c r="P406" s="157" t="s">
        <v>4648</v>
      </c>
      <c r="Q406" s="157" t="s">
        <v>4649</v>
      </c>
      <c r="R406" s="9" t="s">
        <v>1427</v>
      </c>
      <c r="S406" s="14" t="s">
        <v>4650</v>
      </c>
      <c r="T406" s="20">
        <v>2028057102</v>
      </c>
      <c r="U406" s="161">
        <v>49827</v>
      </c>
      <c r="V406" s="11" t="s">
        <v>4630</v>
      </c>
      <c r="W406" s="11" t="s">
        <v>2798</v>
      </c>
      <c r="X406" s="89"/>
      <c r="Y406" s="89"/>
      <c r="Z406" s="89"/>
    </row>
    <row r="407" spans="1:26" ht="34.5" customHeight="1" x14ac:dyDescent="0.25">
      <c r="A407" s="5">
        <v>14</v>
      </c>
      <c r="B407" s="11" t="s">
        <v>4651</v>
      </c>
      <c r="C407" s="5" t="s">
        <v>18</v>
      </c>
      <c r="D407" s="5" t="s">
        <v>4652</v>
      </c>
      <c r="E407" s="11" t="s">
        <v>1456</v>
      </c>
      <c r="F407" s="150">
        <v>24894</v>
      </c>
      <c r="G407" s="151" t="s">
        <v>4653</v>
      </c>
      <c r="H407" s="68" t="s">
        <v>4654</v>
      </c>
      <c r="I407" s="10" t="s">
        <v>1558</v>
      </c>
      <c r="J407" s="150">
        <v>45383</v>
      </c>
      <c r="K407" s="10">
        <v>29</v>
      </c>
      <c r="L407" s="10">
        <v>1</v>
      </c>
      <c r="M407" s="12" t="s">
        <v>1501</v>
      </c>
      <c r="N407" s="161">
        <v>39264</v>
      </c>
      <c r="O407" s="10" t="s">
        <v>982</v>
      </c>
      <c r="P407" s="157" t="s">
        <v>4655</v>
      </c>
      <c r="Q407" s="157" t="s">
        <v>4656</v>
      </c>
      <c r="R407" s="9"/>
      <c r="S407" s="14" t="s">
        <v>4657</v>
      </c>
      <c r="T407" s="20">
        <v>2026026802</v>
      </c>
      <c r="U407" s="161">
        <v>48639</v>
      </c>
      <c r="V407" s="11" t="s">
        <v>4658</v>
      </c>
      <c r="W407" s="11" t="s">
        <v>4659</v>
      </c>
      <c r="X407" s="11"/>
      <c r="Y407" s="10"/>
      <c r="Z407" s="154"/>
    </row>
    <row r="408" spans="1:26" ht="34.5" customHeight="1" x14ac:dyDescent="0.25">
      <c r="A408" s="5">
        <v>15</v>
      </c>
      <c r="B408" s="11" t="s">
        <v>4660</v>
      </c>
      <c r="C408" s="5" t="s">
        <v>18</v>
      </c>
      <c r="D408" s="5" t="s">
        <v>4661</v>
      </c>
      <c r="E408" s="11" t="s">
        <v>4662</v>
      </c>
      <c r="F408" s="150">
        <v>21953</v>
      </c>
      <c r="G408" s="151" t="s">
        <v>4663</v>
      </c>
      <c r="H408" s="68" t="s">
        <v>4664</v>
      </c>
      <c r="I408" s="10" t="s">
        <v>1558</v>
      </c>
      <c r="J408" s="161">
        <v>45383</v>
      </c>
      <c r="K408" s="10">
        <v>30</v>
      </c>
      <c r="L408" s="10">
        <v>1</v>
      </c>
      <c r="M408" s="12" t="s">
        <v>1501</v>
      </c>
      <c r="N408" s="161">
        <v>39508</v>
      </c>
      <c r="O408" s="5" t="s">
        <v>1028</v>
      </c>
      <c r="P408" s="157" t="s">
        <v>2962</v>
      </c>
      <c r="Q408" s="157" t="s">
        <v>4665</v>
      </c>
      <c r="R408" s="152" t="s">
        <v>4666</v>
      </c>
      <c r="S408" s="14" t="s">
        <v>4667</v>
      </c>
      <c r="T408" s="20">
        <v>2007026001</v>
      </c>
      <c r="U408" s="161">
        <v>45717</v>
      </c>
      <c r="V408" s="11" t="s">
        <v>4668</v>
      </c>
      <c r="W408" s="11" t="s">
        <v>4669</v>
      </c>
      <c r="X408" s="11"/>
      <c r="Y408" s="10"/>
      <c r="Z408" s="154"/>
    </row>
    <row r="409" spans="1:26" ht="39" customHeight="1" x14ac:dyDescent="0.25">
      <c r="A409" s="5">
        <v>16</v>
      </c>
      <c r="B409" s="14" t="s">
        <v>4670</v>
      </c>
      <c r="C409" s="5" t="s">
        <v>18</v>
      </c>
      <c r="D409" s="5" t="s">
        <v>4671</v>
      </c>
      <c r="E409" s="11" t="s">
        <v>3388</v>
      </c>
      <c r="F409" s="150">
        <v>25180</v>
      </c>
      <c r="G409" s="151" t="s">
        <v>4672</v>
      </c>
      <c r="H409" s="68" t="s">
        <v>4673</v>
      </c>
      <c r="I409" s="10" t="s">
        <v>1469</v>
      </c>
      <c r="J409" s="161">
        <v>45383</v>
      </c>
      <c r="K409" s="10">
        <v>26</v>
      </c>
      <c r="L409" s="10">
        <v>1</v>
      </c>
      <c r="M409" s="12" t="s">
        <v>1501</v>
      </c>
      <c r="N409" s="161">
        <v>39508</v>
      </c>
      <c r="O409" s="5" t="s">
        <v>1028</v>
      </c>
      <c r="P409" s="157" t="s">
        <v>4674</v>
      </c>
      <c r="Q409" s="157" t="s">
        <v>4675</v>
      </c>
      <c r="R409" s="152" t="s">
        <v>2806</v>
      </c>
      <c r="S409" s="14" t="s">
        <v>4676</v>
      </c>
      <c r="T409" s="20">
        <v>2008126802</v>
      </c>
      <c r="U409" s="161">
        <v>48945</v>
      </c>
      <c r="V409" s="11" t="s">
        <v>4564</v>
      </c>
      <c r="W409" s="11" t="s">
        <v>4565</v>
      </c>
      <c r="X409" s="12"/>
      <c r="Y409" s="12"/>
      <c r="Z409" s="154"/>
    </row>
    <row r="410" spans="1:26" ht="39" customHeight="1" x14ac:dyDescent="0.25">
      <c r="A410" s="5">
        <v>17</v>
      </c>
      <c r="B410" s="14" t="s">
        <v>4677</v>
      </c>
      <c r="C410" s="5" t="s">
        <v>18</v>
      </c>
      <c r="D410" s="5" t="s">
        <v>4678</v>
      </c>
      <c r="E410" s="11" t="s">
        <v>1519</v>
      </c>
      <c r="F410" s="150">
        <v>26406</v>
      </c>
      <c r="G410" s="151" t="s">
        <v>4679</v>
      </c>
      <c r="H410" s="68" t="s">
        <v>4680</v>
      </c>
      <c r="I410" s="10" t="s">
        <v>1469</v>
      </c>
      <c r="J410" s="161">
        <v>43922</v>
      </c>
      <c r="K410" s="10">
        <v>21</v>
      </c>
      <c r="L410" s="10">
        <v>1</v>
      </c>
      <c r="M410" s="12" t="s">
        <v>1501</v>
      </c>
      <c r="N410" s="161">
        <v>39539</v>
      </c>
      <c r="O410" s="5" t="s">
        <v>1028</v>
      </c>
      <c r="P410" s="157" t="s">
        <v>4681</v>
      </c>
      <c r="Q410" s="157" t="s">
        <v>4682</v>
      </c>
      <c r="R410" s="9" t="s">
        <v>4683</v>
      </c>
      <c r="S410" s="14" t="s">
        <v>4684</v>
      </c>
      <c r="T410" s="20">
        <v>2017047201</v>
      </c>
      <c r="U410" s="161">
        <v>50161</v>
      </c>
      <c r="V410" s="11" t="s">
        <v>4685</v>
      </c>
      <c r="W410" s="11" t="s">
        <v>4686</v>
      </c>
      <c r="X410" s="12"/>
      <c r="Y410" s="12"/>
      <c r="Z410" s="154"/>
    </row>
    <row r="411" spans="1:26" ht="39" customHeight="1" x14ac:dyDescent="0.25">
      <c r="A411" s="5">
        <v>18</v>
      </c>
      <c r="B411" s="14" t="s">
        <v>4687</v>
      </c>
      <c r="C411" s="5" t="s">
        <v>18</v>
      </c>
      <c r="D411" s="5" t="s">
        <v>4688</v>
      </c>
      <c r="E411" s="11" t="s">
        <v>4689</v>
      </c>
      <c r="F411" s="150">
        <v>27622</v>
      </c>
      <c r="G411" s="151" t="s">
        <v>4690</v>
      </c>
      <c r="H411" s="68" t="s">
        <v>4691</v>
      </c>
      <c r="I411" s="10" t="s">
        <v>1447</v>
      </c>
      <c r="J411" s="161">
        <v>45383</v>
      </c>
      <c r="K411" s="10">
        <v>24</v>
      </c>
      <c r="L411" s="10">
        <v>1</v>
      </c>
      <c r="M411" s="12" t="s">
        <v>1501</v>
      </c>
      <c r="N411" s="161">
        <v>39965</v>
      </c>
      <c r="O411" s="5" t="s">
        <v>1028</v>
      </c>
      <c r="P411" s="157" t="s">
        <v>2805</v>
      </c>
      <c r="Q411" s="157" t="s">
        <v>4692</v>
      </c>
      <c r="R411" s="9" t="s">
        <v>3012</v>
      </c>
      <c r="S411" s="162">
        <v>102100504659</v>
      </c>
      <c r="T411" s="20">
        <v>2016087501</v>
      </c>
      <c r="U411" s="161">
        <v>51380</v>
      </c>
      <c r="V411" s="11" t="s">
        <v>4564</v>
      </c>
      <c r="W411" s="11" t="s">
        <v>4693</v>
      </c>
      <c r="X411" s="12"/>
      <c r="Y411" s="163"/>
      <c r="Z411" s="154"/>
    </row>
    <row r="412" spans="1:26" ht="39" customHeight="1" x14ac:dyDescent="0.25">
      <c r="A412" s="5">
        <v>19</v>
      </c>
      <c r="B412" s="11" t="s">
        <v>4694</v>
      </c>
      <c r="C412" s="5" t="s">
        <v>18</v>
      </c>
      <c r="D412" s="5" t="s">
        <v>4695</v>
      </c>
      <c r="E412" s="11" t="s">
        <v>1659</v>
      </c>
      <c r="F412" s="150">
        <v>26403</v>
      </c>
      <c r="G412" s="151" t="s">
        <v>4696</v>
      </c>
      <c r="H412" s="68" t="s">
        <v>4697</v>
      </c>
      <c r="I412" s="10" t="s">
        <v>1469</v>
      </c>
      <c r="J412" s="161">
        <v>45505</v>
      </c>
      <c r="K412" s="10">
        <v>25</v>
      </c>
      <c r="L412" s="10">
        <v>5</v>
      </c>
      <c r="M412" s="12" t="s">
        <v>1424</v>
      </c>
      <c r="N412" s="161">
        <v>45200</v>
      </c>
      <c r="O412" s="5" t="s">
        <v>1028</v>
      </c>
      <c r="P412" s="157" t="s">
        <v>4698</v>
      </c>
      <c r="Q412" s="157" t="s">
        <v>4699</v>
      </c>
      <c r="R412" s="9" t="s">
        <v>4700</v>
      </c>
      <c r="S412" s="33">
        <v>122100509790</v>
      </c>
      <c r="T412" s="20">
        <v>2014047201</v>
      </c>
      <c r="U412" s="161">
        <v>51987</v>
      </c>
      <c r="V412" s="11" t="s">
        <v>4555</v>
      </c>
      <c r="W412" s="11" t="s">
        <v>1035</v>
      </c>
      <c r="X412" s="11"/>
      <c r="Y412" s="31"/>
      <c r="Z412" s="154"/>
    </row>
    <row r="413" spans="1:26" ht="39" customHeight="1" x14ac:dyDescent="0.25">
      <c r="A413" s="5">
        <v>20</v>
      </c>
      <c r="B413" s="11" t="s">
        <v>4701</v>
      </c>
      <c r="C413" s="5" t="s">
        <v>18</v>
      </c>
      <c r="D413" s="5" t="s">
        <v>4702</v>
      </c>
      <c r="E413" s="11" t="s">
        <v>1519</v>
      </c>
      <c r="F413" s="150">
        <v>27339</v>
      </c>
      <c r="G413" s="151" t="s">
        <v>4703</v>
      </c>
      <c r="H413" s="68" t="s">
        <v>4704</v>
      </c>
      <c r="I413" s="10" t="s">
        <v>1469</v>
      </c>
      <c r="J413" s="161">
        <v>45383</v>
      </c>
      <c r="K413" s="10">
        <v>24</v>
      </c>
      <c r="L413" s="10">
        <v>1</v>
      </c>
      <c r="M413" s="12" t="s">
        <v>1501</v>
      </c>
      <c r="N413" s="161">
        <v>40087</v>
      </c>
      <c r="O413" s="5" t="s">
        <v>1028</v>
      </c>
      <c r="P413" s="157" t="s">
        <v>4705</v>
      </c>
      <c r="Q413" s="157" t="s">
        <v>4706</v>
      </c>
      <c r="R413" s="9" t="s">
        <v>1461</v>
      </c>
      <c r="S413" s="162">
        <v>102100504769</v>
      </c>
      <c r="T413" s="20">
        <v>2006117402</v>
      </c>
      <c r="U413" s="161">
        <v>51105</v>
      </c>
      <c r="V413" s="11" t="s">
        <v>4555</v>
      </c>
      <c r="W413" s="11" t="s">
        <v>4707</v>
      </c>
      <c r="X413" s="9"/>
      <c r="Y413" s="31"/>
      <c r="Z413" s="154"/>
    </row>
    <row r="414" spans="1:26" ht="39" customHeight="1" x14ac:dyDescent="0.25">
      <c r="A414" s="5">
        <v>21</v>
      </c>
      <c r="B414" s="11" t="s">
        <v>4708</v>
      </c>
      <c r="C414" s="5" t="s">
        <v>18</v>
      </c>
      <c r="D414" s="5" t="s">
        <v>4709</v>
      </c>
      <c r="E414" s="11" t="s">
        <v>1566</v>
      </c>
      <c r="F414" s="150">
        <v>25055</v>
      </c>
      <c r="G414" s="151" t="s">
        <v>4710</v>
      </c>
      <c r="H414" s="68" t="s">
        <v>4711</v>
      </c>
      <c r="I414" s="10" t="s">
        <v>1558</v>
      </c>
      <c r="J414" s="161">
        <v>40634</v>
      </c>
      <c r="K414" s="10">
        <v>18</v>
      </c>
      <c r="L414" s="10">
        <v>1</v>
      </c>
      <c r="M414" s="12" t="s">
        <v>1501</v>
      </c>
      <c r="N414" s="161">
        <v>40299</v>
      </c>
      <c r="O414" s="5" t="s">
        <v>1028</v>
      </c>
      <c r="P414" s="157" t="s">
        <v>4619</v>
      </c>
      <c r="Q414" s="157" t="s">
        <v>2805</v>
      </c>
      <c r="R414" s="152" t="s">
        <v>4712</v>
      </c>
      <c r="S414" s="14" t="s">
        <v>4713</v>
      </c>
      <c r="T414" s="20">
        <v>2005086801</v>
      </c>
      <c r="U414" s="161">
        <v>48823</v>
      </c>
      <c r="V414" s="11" t="s">
        <v>4622</v>
      </c>
      <c r="W414" s="11" t="s">
        <v>4669</v>
      </c>
      <c r="X414" s="9" t="s">
        <v>4714</v>
      </c>
      <c r="Y414" s="31">
        <v>45588</v>
      </c>
      <c r="Z414" s="154"/>
    </row>
    <row r="415" spans="1:26" ht="39" customHeight="1" x14ac:dyDescent="0.25">
      <c r="A415" s="5">
        <v>22</v>
      </c>
      <c r="B415" s="14" t="s">
        <v>4715</v>
      </c>
      <c r="C415" s="5" t="s">
        <v>18</v>
      </c>
      <c r="D415" s="5" t="s">
        <v>4716</v>
      </c>
      <c r="E415" s="11" t="s">
        <v>1638</v>
      </c>
      <c r="F415" s="150">
        <v>26386</v>
      </c>
      <c r="G415" s="151" t="s">
        <v>4717</v>
      </c>
      <c r="H415" s="68" t="s">
        <v>4718</v>
      </c>
      <c r="I415" s="10" t="s">
        <v>1469</v>
      </c>
      <c r="J415" s="161">
        <v>45383</v>
      </c>
      <c r="K415" s="10">
        <v>25</v>
      </c>
      <c r="L415" s="10">
        <v>1</v>
      </c>
      <c r="M415" s="12" t="s">
        <v>1501</v>
      </c>
      <c r="N415" s="161">
        <v>40452</v>
      </c>
      <c r="O415" s="10" t="s">
        <v>982</v>
      </c>
      <c r="P415" s="157" t="s">
        <v>4719</v>
      </c>
      <c r="Q415" s="157" t="s">
        <v>4720</v>
      </c>
      <c r="R415" s="9" t="s">
        <v>1084</v>
      </c>
      <c r="S415" s="14" t="s">
        <v>4721</v>
      </c>
      <c r="T415" s="20">
        <v>2028037201</v>
      </c>
      <c r="U415" s="161">
        <v>50131</v>
      </c>
      <c r="V415" s="11" t="s">
        <v>4722</v>
      </c>
      <c r="W415" s="11" t="s">
        <v>4723</v>
      </c>
      <c r="X415" s="9" t="s">
        <v>4724</v>
      </c>
      <c r="Y415" s="31">
        <v>45588</v>
      </c>
      <c r="Z415" s="154"/>
    </row>
    <row r="416" spans="1:26" ht="39" customHeight="1" x14ac:dyDescent="0.25">
      <c r="A416" s="5">
        <v>23</v>
      </c>
      <c r="B416" s="14" t="s">
        <v>4725</v>
      </c>
      <c r="C416" s="5" t="s">
        <v>18</v>
      </c>
      <c r="D416" s="5" t="s">
        <v>4726</v>
      </c>
      <c r="E416" s="11" t="s">
        <v>4727</v>
      </c>
      <c r="F416" s="150">
        <v>27259</v>
      </c>
      <c r="G416" s="151" t="s">
        <v>4728</v>
      </c>
      <c r="H416" s="68" t="s">
        <v>4729</v>
      </c>
      <c r="I416" s="10" t="s">
        <v>1558</v>
      </c>
      <c r="J416" s="161">
        <v>45383</v>
      </c>
      <c r="K416" s="10">
        <v>25</v>
      </c>
      <c r="L416" s="10">
        <v>1</v>
      </c>
      <c r="M416" s="12" t="s">
        <v>1501</v>
      </c>
      <c r="N416" s="161">
        <v>41395</v>
      </c>
      <c r="O416" s="5" t="s">
        <v>1028</v>
      </c>
      <c r="P416" s="157" t="s">
        <v>4730</v>
      </c>
      <c r="Q416" s="157" t="s">
        <v>4731</v>
      </c>
      <c r="R416" s="9" t="s">
        <v>4732</v>
      </c>
      <c r="S416" s="162">
        <v>102100504636</v>
      </c>
      <c r="T416" s="20">
        <v>2018087401</v>
      </c>
      <c r="U416" s="161">
        <v>51014</v>
      </c>
      <c r="V416" s="11" t="s">
        <v>4668</v>
      </c>
      <c r="W416" s="11" t="s">
        <v>3572</v>
      </c>
      <c r="X416" s="89"/>
      <c r="Y416" s="89"/>
      <c r="Z416" s="89"/>
    </row>
    <row r="417" spans="1:26" ht="39" customHeight="1" x14ac:dyDescent="0.25">
      <c r="A417" s="5">
        <v>24</v>
      </c>
      <c r="B417" s="14" t="s">
        <v>4733</v>
      </c>
      <c r="C417" s="5" t="s">
        <v>18</v>
      </c>
      <c r="D417" s="5" t="s">
        <v>4734</v>
      </c>
      <c r="E417" s="14" t="s">
        <v>4735</v>
      </c>
      <c r="F417" s="150">
        <v>26100</v>
      </c>
      <c r="G417" s="8" t="s">
        <v>4736</v>
      </c>
      <c r="H417" s="68" t="s">
        <v>4737</v>
      </c>
      <c r="I417" s="5" t="s">
        <v>1699</v>
      </c>
      <c r="J417" s="150">
        <v>40634</v>
      </c>
      <c r="K417" s="10">
        <v>14</v>
      </c>
      <c r="L417" s="10">
        <v>1</v>
      </c>
      <c r="M417" s="12" t="s">
        <v>1501</v>
      </c>
      <c r="N417" s="161">
        <v>43709</v>
      </c>
      <c r="O417" s="5" t="s">
        <v>1028</v>
      </c>
      <c r="P417" s="157" t="s">
        <v>4738</v>
      </c>
      <c r="Q417" s="9" t="s">
        <v>4739</v>
      </c>
      <c r="R417" s="9" t="s">
        <v>1550</v>
      </c>
      <c r="S417" s="162">
        <v>142100512839</v>
      </c>
      <c r="T417" s="20">
        <v>2016067102</v>
      </c>
      <c r="U417" s="161">
        <v>50041</v>
      </c>
      <c r="V417" s="11" t="s">
        <v>4564</v>
      </c>
      <c r="W417" s="11" t="s">
        <v>4565</v>
      </c>
      <c r="X417" s="89"/>
      <c r="Y417" s="89"/>
      <c r="Z417" s="89"/>
    </row>
    <row r="418" spans="1:26" ht="39" customHeight="1" x14ac:dyDescent="0.25">
      <c r="A418" s="5">
        <v>25</v>
      </c>
      <c r="B418" s="14" t="s">
        <v>4740</v>
      </c>
      <c r="C418" s="5" t="s">
        <v>18</v>
      </c>
      <c r="D418" s="5" t="s">
        <v>4741</v>
      </c>
      <c r="E418" s="11" t="s">
        <v>3178</v>
      </c>
      <c r="F418" s="150">
        <v>25505</v>
      </c>
      <c r="G418" s="151" t="s">
        <v>4742</v>
      </c>
      <c r="H418" s="68" t="s">
        <v>4743</v>
      </c>
      <c r="I418" s="10" t="s">
        <v>1558</v>
      </c>
      <c r="J418" s="150">
        <v>45444</v>
      </c>
      <c r="K418" s="5">
        <v>28</v>
      </c>
      <c r="L418" s="5">
        <v>0</v>
      </c>
      <c r="M418" s="12" t="s">
        <v>1501</v>
      </c>
      <c r="N418" s="161">
        <v>43709</v>
      </c>
      <c r="O418" s="5" t="s">
        <v>1028</v>
      </c>
      <c r="P418" s="157" t="s">
        <v>1530</v>
      </c>
      <c r="Q418" s="157" t="s">
        <v>4744</v>
      </c>
      <c r="R418" s="157" t="s">
        <v>4745</v>
      </c>
      <c r="S418" s="162">
        <v>102100504687</v>
      </c>
      <c r="T418" s="20">
        <v>2029106902</v>
      </c>
      <c r="U418" s="161">
        <v>49249</v>
      </c>
      <c r="V418" s="11" t="s">
        <v>4685</v>
      </c>
      <c r="W418" s="11" t="s">
        <v>2282</v>
      </c>
      <c r="X418" s="12"/>
      <c r="Y418" s="12"/>
      <c r="Z418" s="154"/>
    </row>
    <row r="419" spans="1:26" ht="39" customHeight="1" x14ac:dyDescent="0.25">
      <c r="A419" s="5">
        <v>26</v>
      </c>
      <c r="B419" s="12" t="s">
        <v>4746</v>
      </c>
      <c r="C419" s="5" t="s">
        <v>18</v>
      </c>
      <c r="D419" s="5" t="s">
        <v>4747</v>
      </c>
      <c r="E419" s="14" t="s">
        <v>2435</v>
      </c>
      <c r="F419" s="51" t="s">
        <v>4748</v>
      </c>
      <c r="G419" s="8" t="s">
        <v>4749</v>
      </c>
      <c r="H419" s="68" t="s">
        <v>4750</v>
      </c>
      <c r="I419" s="5" t="s">
        <v>1558</v>
      </c>
      <c r="J419" s="150" t="s">
        <v>4751</v>
      </c>
      <c r="K419" s="5">
        <v>15</v>
      </c>
      <c r="L419" s="5">
        <v>9</v>
      </c>
      <c r="M419" s="12" t="s">
        <v>1501</v>
      </c>
      <c r="N419" s="150">
        <v>43800</v>
      </c>
      <c r="O419" s="5" t="s">
        <v>1028</v>
      </c>
      <c r="P419" s="9" t="s">
        <v>4752</v>
      </c>
      <c r="Q419" s="9" t="s">
        <v>4753</v>
      </c>
      <c r="R419" s="9" t="s">
        <v>4754</v>
      </c>
      <c r="S419" s="162">
        <v>122100509795</v>
      </c>
      <c r="T419" s="20">
        <v>2005047802</v>
      </c>
      <c r="U419" s="51" t="s">
        <v>4755</v>
      </c>
      <c r="V419" s="11" t="s">
        <v>4658</v>
      </c>
      <c r="W419" s="14" t="s">
        <v>4756</v>
      </c>
      <c r="X419" s="11" t="s">
        <v>4757</v>
      </c>
      <c r="Y419" s="51">
        <v>45579</v>
      </c>
      <c r="Z419" s="154"/>
    </row>
    <row r="420" spans="1:26" ht="39" customHeight="1" x14ac:dyDescent="0.25">
      <c r="A420" s="5">
        <v>27</v>
      </c>
      <c r="B420" s="12" t="s">
        <v>4758</v>
      </c>
      <c r="C420" s="5" t="s">
        <v>18</v>
      </c>
      <c r="D420" s="5" t="s">
        <v>4759</v>
      </c>
      <c r="E420" s="14" t="s">
        <v>2184</v>
      </c>
      <c r="F420" s="150">
        <v>27276</v>
      </c>
      <c r="G420" s="151" t="s">
        <v>4760</v>
      </c>
      <c r="H420" s="68" t="s">
        <v>4761</v>
      </c>
      <c r="I420" s="5" t="s">
        <v>1699</v>
      </c>
      <c r="J420" s="161">
        <v>45383</v>
      </c>
      <c r="K420" s="5">
        <v>18</v>
      </c>
      <c r="L420" s="5">
        <v>0</v>
      </c>
      <c r="M420" s="12" t="s">
        <v>1501</v>
      </c>
      <c r="N420" s="161">
        <v>44835</v>
      </c>
      <c r="O420" s="5" t="s">
        <v>1028</v>
      </c>
      <c r="P420" s="11" t="s">
        <v>4762</v>
      </c>
      <c r="Q420" s="157" t="s">
        <v>4763</v>
      </c>
      <c r="R420" s="9" t="s">
        <v>4604</v>
      </c>
      <c r="S420" s="162">
        <v>102100504733</v>
      </c>
      <c r="T420" s="20">
        <v>2004097402</v>
      </c>
      <c r="U420" s="161">
        <v>51044</v>
      </c>
      <c r="V420" s="11" t="s">
        <v>4764</v>
      </c>
      <c r="W420" s="14" t="s">
        <v>4765</v>
      </c>
      <c r="X420" s="11"/>
      <c r="Y420" s="51"/>
      <c r="Z420" s="154"/>
    </row>
    <row r="421" spans="1:26" ht="39" customHeight="1" x14ac:dyDescent="0.25">
      <c r="A421" s="5">
        <v>28</v>
      </c>
      <c r="B421" s="14" t="s">
        <v>4766</v>
      </c>
      <c r="C421" s="5" t="s">
        <v>46</v>
      </c>
      <c r="D421" s="5" t="s">
        <v>4767</v>
      </c>
      <c r="E421" s="11" t="s">
        <v>2004</v>
      </c>
      <c r="F421" s="150">
        <v>27291</v>
      </c>
      <c r="G421" s="151" t="s">
        <v>4768</v>
      </c>
      <c r="H421" s="68" t="s">
        <v>4769</v>
      </c>
      <c r="I421" s="10" t="s">
        <v>1558</v>
      </c>
      <c r="J421" s="150">
        <v>45017</v>
      </c>
      <c r="K421" s="5">
        <v>18</v>
      </c>
      <c r="L421" s="5">
        <v>3</v>
      </c>
      <c r="M421" s="12" t="s">
        <v>1501</v>
      </c>
      <c r="N421" s="161">
        <v>44166</v>
      </c>
      <c r="O421" s="5" t="s">
        <v>1028</v>
      </c>
      <c r="P421" s="10"/>
      <c r="Q421" s="152" t="s">
        <v>4770</v>
      </c>
      <c r="R421" s="38" t="s">
        <v>4771</v>
      </c>
      <c r="S421" s="162">
        <v>112100511000002</v>
      </c>
      <c r="T421" s="20">
        <v>2019097402</v>
      </c>
      <c r="U421" s="161">
        <v>51044</v>
      </c>
      <c r="V421" s="11" t="s">
        <v>4685</v>
      </c>
      <c r="W421" s="11" t="s">
        <v>4261</v>
      </c>
      <c r="X421" s="11"/>
      <c r="Y421" s="31"/>
      <c r="Z421" s="154"/>
    </row>
    <row r="422" spans="1:26" ht="39" customHeight="1" x14ac:dyDescent="0.25">
      <c r="A422" s="5">
        <v>29</v>
      </c>
      <c r="B422" s="12" t="s">
        <v>4772</v>
      </c>
      <c r="C422" s="5" t="s">
        <v>18</v>
      </c>
      <c r="D422" s="10" t="s">
        <v>4773</v>
      </c>
      <c r="E422" s="14" t="s">
        <v>2759</v>
      </c>
      <c r="F422" s="51" t="s">
        <v>4774</v>
      </c>
      <c r="G422" s="8" t="s">
        <v>4775</v>
      </c>
      <c r="H422" s="68" t="s">
        <v>4776</v>
      </c>
      <c r="I422" s="5" t="s">
        <v>1558</v>
      </c>
      <c r="J422" s="150">
        <v>45383</v>
      </c>
      <c r="K422" s="5">
        <v>19</v>
      </c>
      <c r="L422" s="5">
        <v>5</v>
      </c>
      <c r="M422" s="12" t="s">
        <v>1501</v>
      </c>
      <c r="N422" s="161">
        <v>44197</v>
      </c>
      <c r="O422" s="5" t="s">
        <v>1028</v>
      </c>
      <c r="P422" s="9" t="s">
        <v>4777</v>
      </c>
      <c r="Q422" s="9" t="s">
        <v>4778</v>
      </c>
      <c r="R422" s="11" t="s">
        <v>4779</v>
      </c>
      <c r="S422" s="162">
        <v>112100511180006</v>
      </c>
      <c r="T422" s="20">
        <v>2023037804</v>
      </c>
      <c r="U422" s="5" t="s">
        <v>4780</v>
      </c>
      <c r="V422" s="11" t="s">
        <v>4630</v>
      </c>
      <c r="W422" s="14" t="s">
        <v>4781</v>
      </c>
      <c r="X422" s="11" t="s">
        <v>4782</v>
      </c>
      <c r="Y422" s="51">
        <v>45553</v>
      </c>
      <c r="Z422" s="154"/>
    </row>
    <row r="423" spans="1:26" ht="39" customHeight="1" x14ac:dyDescent="0.25">
      <c r="A423" s="5">
        <v>30</v>
      </c>
      <c r="B423" s="14" t="s">
        <v>4783</v>
      </c>
      <c r="C423" s="5" t="s">
        <v>18</v>
      </c>
      <c r="D423" s="5" t="s">
        <v>4784</v>
      </c>
      <c r="E423" s="11" t="s">
        <v>2004</v>
      </c>
      <c r="F423" s="150">
        <v>24861</v>
      </c>
      <c r="G423" s="151" t="s">
        <v>4785</v>
      </c>
      <c r="H423" s="68" t="s">
        <v>4786</v>
      </c>
      <c r="I423" s="5" t="s">
        <v>1699</v>
      </c>
      <c r="J423" s="150">
        <v>45383</v>
      </c>
      <c r="K423" s="10">
        <v>30</v>
      </c>
      <c r="L423" s="10">
        <v>1</v>
      </c>
      <c r="M423" s="12" t="s">
        <v>1501</v>
      </c>
      <c r="N423" s="161">
        <v>45139</v>
      </c>
      <c r="O423" s="5" t="s">
        <v>1028</v>
      </c>
      <c r="P423" s="157" t="s">
        <v>4610</v>
      </c>
      <c r="Q423" s="157" t="s">
        <v>4787</v>
      </c>
      <c r="R423" s="9" t="s">
        <v>4788</v>
      </c>
      <c r="S423" s="14" t="s">
        <v>4789</v>
      </c>
      <c r="T423" s="20">
        <v>2024016801</v>
      </c>
      <c r="U423" s="161">
        <v>48611</v>
      </c>
      <c r="V423" s="11" t="s">
        <v>4622</v>
      </c>
      <c r="W423" s="11" t="s">
        <v>4669</v>
      </c>
      <c r="X423" s="11"/>
      <c r="Y423" s="10"/>
      <c r="Z423" s="154"/>
    </row>
    <row r="424" spans="1:26" ht="39" customHeight="1" x14ac:dyDescent="0.25">
      <c r="A424" s="5">
        <v>31</v>
      </c>
      <c r="B424" s="11" t="s">
        <v>4790</v>
      </c>
      <c r="C424" s="5" t="s">
        <v>18</v>
      </c>
      <c r="D424" s="5" t="s">
        <v>4791</v>
      </c>
      <c r="E424" s="11" t="s">
        <v>1456</v>
      </c>
      <c r="F424" s="150">
        <v>24865</v>
      </c>
      <c r="G424" s="151" t="s">
        <v>4792</v>
      </c>
      <c r="H424" s="68" t="s">
        <v>4793</v>
      </c>
      <c r="I424" s="10" t="s">
        <v>1738</v>
      </c>
      <c r="J424" s="161">
        <v>43009</v>
      </c>
      <c r="K424" s="10">
        <v>24</v>
      </c>
      <c r="L424" s="10">
        <v>7</v>
      </c>
      <c r="M424" s="12" t="s">
        <v>1739</v>
      </c>
      <c r="N424" s="161">
        <v>37895</v>
      </c>
      <c r="O424" s="10" t="s">
        <v>982</v>
      </c>
      <c r="P424" s="157" t="s">
        <v>4619</v>
      </c>
      <c r="Q424" s="157" t="s">
        <v>4794</v>
      </c>
      <c r="R424" s="9"/>
      <c r="S424" s="162">
        <v>102100504697</v>
      </c>
      <c r="T424" s="20">
        <v>2028016801</v>
      </c>
      <c r="U424" s="161">
        <v>48611</v>
      </c>
      <c r="V424" s="11" t="s">
        <v>4668</v>
      </c>
      <c r="W424" s="11" t="s">
        <v>2208</v>
      </c>
      <c r="X424" s="11"/>
      <c r="Y424" s="10"/>
      <c r="Z424" s="154"/>
    </row>
    <row r="425" spans="1:26" ht="39" customHeight="1" x14ac:dyDescent="0.25">
      <c r="A425" s="5">
        <v>32</v>
      </c>
      <c r="B425" s="11" t="s">
        <v>4795</v>
      </c>
      <c r="C425" s="5" t="s">
        <v>18</v>
      </c>
      <c r="D425" s="5" t="s">
        <v>4796</v>
      </c>
      <c r="E425" s="11" t="s">
        <v>1545</v>
      </c>
      <c r="F425" s="150">
        <v>26279</v>
      </c>
      <c r="G425" s="151" t="s">
        <v>4797</v>
      </c>
      <c r="H425" s="68" t="s">
        <v>4798</v>
      </c>
      <c r="I425" s="10" t="s">
        <v>1738</v>
      </c>
      <c r="J425" s="161">
        <v>39722</v>
      </c>
      <c r="K425" s="10">
        <v>11</v>
      </c>
      <c r="L425" s="10">
        <v>7</v>
      </c>
      <c r="M425" s="12" t="s">
        <v>1739</v>
      </c>
      <c r="N425" s="161">
        <v>38261</v>
      </c>
      <c r="O425" s="10" t="s">
        <v>982</v>
      </c>
      <c r="P425" s="157" t="s">
        <v>4561</v>
      </c>
      <c r="Q425" s="157" t="s">
        <v>4799</v>
      </c>
      <c r="R425" s="9"/>
      <c r="S425" s="14" t="s">
        <v>4800</v>
      </c>
      <c r="T425" s="20">
        <v>2012127103</v>
      </c>
      <c r="U425" s="161">
        <v>50041</v>
      </c>
      <c r="V425" s="11" t="s">
        <v>4622</v>
      </c>
      <c r="W425" s="11" t="s">
        <v>2242</v>
      </c>
      <c r="X425" s="11"/>
      <c r="Y425" s="31"/>
      <c r="Z425" s="154"/>
    </row>
    <row r="426" spans="1:26" ht="39" customHeight="1" x14ac:dyDescent="0.25">
      <c r="A426" s="5">
        <v>33</v>
      </c>
      <c r="B426" s="14" t="s">
        <v>4801</v>
      </c>
      <c r="C426" s="5" t="s">
        <v>18</v>
      </c>
      <c r="D426" s="5" t="s">
        <v>4802</v>
      </c>
      <c r="E426" s="11" t="s">
        <v>1648</v>
      </c>
      <c r="F426" s="150">
        <v>26177</v>
      </c>
      <c r="G426" s="151" t="s">
        <v>4803</v>
      </c>
      <c r="H426" s="68" t="s">
        <v>4804</v>
      </c>
      <c r="I426" s="10" t="s">
        <v>1717</v>
      </c>
      <c r="J426" s="161">
        <v>39173</v>
      </c>
      <c r="K426" s="10">
        <v>8</v>
      </c>
      <c r="L426" s="10">
        <v>7</v>
      </c>
      <c r="M426" s="12" t="s">
        <v>1739</v>
      </c>
      <c r="N426" s="161">
        <v>39326</v>
      </c>
      <c r="O426" s="10" t="s">
        <v>982</v>
      </c>
      <c r="P426" s="157" t="s">
        <v>4805</v>
      </c>
      <c r="Q426" s="11" t="s">
        <v>4656</v>
      </c>
      <c r="R426" s="9"/>
      <c r="S426" s="162">
        <v>102100504696</v>
      </c>
      <c r="T426" s="20">
        <v>2001097101</v>
      </c>
      <c r="U426" s="161">
        <v>49949</v>
      </c>
      <c r="V426" s="11" t="s">
        <v>4668</v>
      </c>
      <c r="W426" s="11" t="s">
        <v>4806</v>
      </c>
      <c r="X426" s="11"/>
      <c r="Y426" s="10"/>
      <c r="Z426" s="154"/>
    </row>
    <row r="427" spans="1:26" ht="39" customHeight="1" x14ac:dyDescent="0.25">
      <c r="A427" s="5">
        <v>34</v>
      </c>
      <c r="B427" s="14" t="s">
        <v>4807</v>
      </c>
      <c r="C427" s="5" t="s">
        <v>18</v>
      </c>
      <c r="D427" s="5" t="s">
        <v>4808</v>
      </c>
      <c r="E427" s="11" t="s">
        <v>2400</v>
      </c>
      <c r="F427" s="150">
        <v>25493</v>
      </c>
      <c r="G427" s="151" t="s">
        <v>4809</v>
      </c>
      <c r="H427" s="68" t="s">
        <v>4810</v>
      </c>
      <c r="I427" s="10" t="s">
        <v>1738</v>
      </c>
      <c r="J427" s="161">
        <v>40817</v>
      </c>
      <c r="K427" s="10">
        <v>8</v>
      </c>
      <c r="L427" s="10">
        <v>10</v>
      </c>
      <c r="M427" s="12" t="s">
        <v>1739</v>
      </c>
      <c r="N427" s="161">
        <v>39965</v>
      </c>
      <c r="O427" s="5" t="s">
        <v>1028</v>
      </c>
      <c r="P427" s="157" t="s">
        <v>4811</v>
      </c>
      <c r="Q427" s="157" t="s">
        <v>4812</v>
      </c>
      <c r="R427" s="152" t="s">
        <v>4813</v>
      </c>
      <c r="S427" s="162">
        <v>102100504707</v>
      </c>
      <c r="T427" s="20">
        <v>2017106902</v>
      </c>
      <c r="U427" s="161">
        <v>49249</v>
      </c>
      <c r="V427" s="11" t="s">
        <v>4555</v>
      </c>
      <c r="W427" s="11" t="s">
        <v>3160</v>
      </c>
      <c r="X427" s="11" t="s">
        <v>4814</v>
      </c>
      <c r="Y427" s="51">
        <v>45579</v>
      </c>
      <c r="Z427" s="154"/>
    </row>
    <row r="428" spans="1:26" ht="39" customHeight="1" x14ac:dyDescent="0.25">
      <c r="A428" s="5">
        <v>35</v>
      </c>
      <c r="B428" s="12" t="s">
        <v>4815</v>
      </c>
      <c r="C428" s="5" t="s">
        <v>46</v>
      </c>
      <c r="D428" s="5" t="s">
        <v>4816</v>
      </c>
      <c r="E428" s="14" t="s">
        <v>1489</v>
      </c>
      <c r="F428" s="150" t="s">
        <v>4817</v>
      </c>
      <c r="G428" s="151" t="s">
        <v>4818</v>
      </c>
      <c r="H428" s="68" t="s">
        <v>4819</v>
      </c>
      <c r="I428" s="10" t="s">
        <v>1699</v>
      </c>
      <c r="J428" s="150">
        <v>45444</v>
      </c>
      <c r="K428" s="5">
        <v>18</v>
      </c>
      <c r="L428" s="5">
        <v>2</v>
      </c>
      <c r="M428" s="12" t="s">
        <v>1501</v>
      </c>
      <c r="N428" s="161">
        <v>41244</v>
      </c>
      <c r="O428" s="5" t="s">
        <v>1028</v>
      </c>
      <c r="P428" s="11" t="s">
        <v>4820</v>
      </c>
      <c r="Q428" s="157" t="s">
        <v>4821</v>
      </c>
      <c r="R428" s="157" t="s">
        <v>4822</v>
      </c>
      <c r="S428" s="162">
        <v>102100504634</v>
      </c>
      <c r="T428" s="20">
        <v>2015017802</v>
      </c>
      <c r="U428" s="161">
        <v>52263</v>
      </c>
      <c r="V428" s="11" t="s">
        <v>4685</v>
      </c>
      <c r="W428" s="14" t="s">
        <v>4823</v>
      </c>
      <c r="X428" s="89"/>
      <c r="Y428" s="89"/>
      <c r="Z428" s="89"/>
    </row>
    <row r="429" spans="1:26" ht="39" customHeight="1" x14ac:dyDescent="0.25">
      <c r="A429" s="5">
        <v>36</v>
      </c>
      <c r="B429" s="14" t="s">
        <v>4824</v>
      </c>
      <c r="C429" s="5" t="s">
        <v>18</v>
      </c>
      <c r="D429" s="5" t="s">
        <v>4825</v>
      </c>
      <c r="E429" s="14" t="s">
        <v>1776</v>
      </c>
      <c r="F429" s="150" t="s">
        <v>4826</v>
      </c>
      <c r="G429" s="151" t="s">
        <v>4827</v>
      </c>
      <c r="H429" s="68" t="s">
        <v>4828</v>
      </c>
      <c r="I429" s="10" t="s">
        <v>1738</v>
      </c>
      <c r="J429" s="150">
        <v>45383</v>
      </c>
      <c r="K429" s="5">
        <v>18</v>
      </c>
      <c r="L429" s="5">
        <v>0</v>
      </c>
      <c r="M429" s="12" t="s">
        <v>1739</v>
      </c>
      <c r="N429" s="161">
        <v>40878</v>
      </c>
      <c r="O429" s="5" t="s">
        <v>1028</v>
      </c>
      <c r="P429" s="157" t="s">
        <v>4829</v>
      </c>
      <c r="Q429" s="152" t="s">
        <v>4830</v>
      </c>
      <c r="R429" s="152" t="s">
        <v>3601</v>
      </c>
      <c r="S429" s="162">
        <v>102100504712</v>
      </c>
      <c r="T429" s="20">
        <v>2013127902</v>
      </c>
      <c r="U429" s="161">
        <v>52963</v>
      </c>
      <c r="V429" s="11" t="s">
        <v>4630</v>
      </c>
      <c r="W429" s="14" t="s">
        <v>4831</v>
      </c>
      <c r="X429" s="11" t="s">
        <v>4832</v>
      </c>
      <c r="Y429" s="31">
        <v>45588</v>
      </c>
      <c r="Z429" s="154"/>
    </row>
    <row r="430" spans="1:26" ht="39" customHeight="1" x14ac:dyDescent="0.25">
      <c r="A430" s="5">
        <v>37</v>
      </c>
      <c r="B430" s="11" t="s">
        <v>4833</v>
      </c>
      <c r="C430" s="5" t="s">
        <v>18</v>
      </c>
      <c r="D430" s="5" t="s">
        <v>4834</v>
      </c>
      <c r="E430" s="11" t="s">
        <v>4835</v>
      </c>
      <c r="F430" s="150">
        <v>27174</v>
      </c>
      <c r="G430" s="151" t="s">
        <v>4836</v>
      </c>
      <c r="H430" s="68" t="s">
        <v>4837</v>
      </c>
      <c r="I430" s="10" t="s">
        <v>1738</v>
      </c>
      <c r="J430" s="161">
        <v>45566</v>
      </c>
      <c r="K430" s="10">
        <v>26</v>
      </c>
      <c r="L430" s="10">
        <v>7</v>
      </c>
      <c r="M430" s="12" t="s">
        <v>1739</v>
      </c>
      <c r="N430" s="161">
        <v>41091</v>
      </c>
      <c r="O430" s="10" t="s">
        <v>982</v>
      </c>
      <c r="P430" s="157" t="s">
        <v>4838</v>
      </c>
      <c r="Q430" s="157" t="s">
        <v>4839</v>
      </c>
      <c r="R430" s="9"/>
      <c r="S430" s="162">
        <v>102100504675</v>
      </c>
      <c r="T430" s="20">
        <v>2025057401</v>
      </c>
      <c r="U430" s="161">
        <v>50922</v>
      </c>
      <c r="V430" s="11" t="s">
        <v>4658</v>
      </c>
      <c r="W430" s="11" t="s">
        <v>4840</v>
      </c>
      <c r="X430" s="9" t="s">
        <v>4841</v>
      </c>
      <c r="Y430" s="31">
        <v>45588</v>
      </c>
      <c r="Z430" s="154"/>
    </row>
    <row r="431" spans="1:26" ht="39" customHeight="1" x14ac:dyDescent="0.25">
      <c r="A431" s="5">
        <v>38</v>
      </c>
      <c r="B431" s="12" t="s">
        <v>4842</v>
      </c>
      <c r="C431" s="5" t="s">
        <v>18</v>
      </c>
      <c r="D431" s="5" t="s">
        <v>4843</v>
      </c>
      <c r="E431" s="14" t="s">
        <v>1704</v>
      </c>
      <c r="F431" s="51" t="s">
        <v>4844</v>
      </c>
      <c r="G431" s="8" t="s">
        <v>4845</v>
      </c>
      <c r="H431" s="68" t="s">
        <v>4846</v>
      </c>
      <c r="I431" s="5" t="s">
        <v>1738</v>
      </c>
      <c r="J431" s="150">
        <v>43374</v>
      </c>
      <c r="K431" s="5">
        <v>10</v>
      </c>
      <c r="L431" s="5">
        <v>9</v>
      </c>
      <c r="M431" s="12" t="s">
        <v>1739</v>
      </c>
      <c r="N431" s="150">
        <v>41334</v>
      </c>
      <c r="O431" s="5" t="s">
        <v>1028</v>
      </c>
      <c r="P431" s="11" t="s">
        <v>4847</v>
      </c>
      <c r="Q431" s="9" t="s">
        <v>4848</v>
      </c>
      <c r="R431" s="9" t="s">
        <v>1532</v>
      </c>
      <c r="S431" s="162">
        <v>112100511180005</v>
      </c>
      <c r="T431" s="20">
        <v>2029067802</v>
      </c>
      <c r="U431" s="5" t="s">
        <v>4849</v>
      </c>
      <c r="V431" s="11" t="s">
        <v>4630</v>
      </c>
      <c r="W431" s="14" t="s">
        <v>4850</v>
      </c>
      <c r="X431" s="11"/>
      <c r="Y431" s="31"/>
      <c r="Z431" s="154"/>
    </row>
    <row r="432" spans="1:26" ht="39" customHeight="1" x14ac:dyDescent="0.25">
      <c r="A432" s="5">
        <v>39</v>
      </c>
      <c r="B432" s="12" t="s">
        <v>4851</v>
      </c>
      <c r="C432" s="5" t="s">
        <v>46</v>
      </c>
      <c r="D432" s="5" t="s">
        <v>4852</v>
      </c>
      <c r="E432" s="14" t="s">
        <v>1934</v>
      </c>
      <c r="F432" s="5" t="s">
        <v>4853</v>
      </c>
      <c r="G432" s="8" t="s">
        <v>4854</v>
      </c>
      <c r="H432" s="68" t="s">
        <v>4855</v>
      </c>
      <c r="I432" s="5" t="s">
        <v>1738</v>
      </c>
      <c r="J432" s="150" t="s">
        <v>1728</v>
      </c>
      <c r="K432" s="5">
        <v>19</v>
      </c>
      <c r="L432" s="5">
        <v>7</v>
      </c>
      <c r="M432" s="12" t="s">
        <v>1739</v>
      </c>
      <c r="N432" s="161">
        <v>42186</v>
      </c>
      <c r="O432" s="5" t="s">
        <v>1028</v>
      </c>
      <c r="P432" s="157" t="s">
        <v>4856</v>
      </c>
      <c r="Q432" s="9" t="s">
        <v>4857</v>
      </c>
      <c r="R432" s="9" t="s">
        <v>3807</v>
      </c>
      <c r="S432" s="162">
        <v>112100513420026</v>
      </c>
      <c r="T432" s="20">
        <v>2016037602</v>
      </c>
      <c r="U432" s="5" t="s">
        <v>4858</v>
      </c>
      <c r="V432" s="11" t="s">
        <v>4658</v>
      </c>
      <c r="W432" s="14" t="s">
        <v>1035</v>
      </c>
      <c r="X432" s="11" t="s">
        <v>4859</v>
      </c>
      <c r="Y432" s="31">
        <v>45588</v>
      </c>
      <c r="Z432" s="154"/>
    </row>
    <row r="433" spans="1:26" ht="39" customHeight="1" x14ac:dyDescent="0.25">
      <c r="A433" s="5">
        <v>40</v>
      </c>
      <c r="B433" s="14" t="s">
        <v>4860</v>
      </c>
      <c r="C433" s="5" t="s">
        <v>18</v>
      </c>
      <c r="D433" s="10" t="s">
        <v>4861</v>
      </c>
      <c r="E433" s="14" t="s">
        <v>2927</v>
      </c>
      <c r="F433" s="150">
        <v>29279</v>
      </c>
      <c r="G433" s="8" t="s">
        <v>4862</v>
      </c>
      <c r="H433" s="68" t="s">
        <v>4863</v>
      </c>
      <c r="I433" s="5" t="s">
        <v>1738</v>
      </c>
      <c r="J433" s="150">
        <v>43556</v>
      </c>
      <c r="K433" s="5">
        <v>8</v>
      </c>
      <c r="L433" s="5">
        <v>3</v>
      </c>
      <c r="M433" s="12" t="s">
        <v>1739</v>
      </c>
      <c r="N433" s="150">
        <v>42217</v>
      </c>
      <c r="O433" s="5" t="s">
        <v>982</v>
      </c>
      <c r="P433" s="11" t="s">
        <v>4864</v>
      </c>
      <c r="Q433" s="11" t="s">
        <v>4865</v>
      </c>
      <c r="R433" s="168" t="s">
        <v>1084</v>
      </c>
      <c r="S433" s="162">
        <v>132100511988</v>
      </c>
      <c r="T433" s="20">
        <v>2028028001</v>
      </c>
      <c r="U433" s="150">
        <v>53022</v>
      </c>
      <c r="V433" s="11" t="s">
        <v>4658</v>
      </c>
      <c r="W433" s="14" t="s">
        <v>4581</v>
      </c>
      <c r="X433" s="9" t="s">
        <v>4866</v>
      </c>
      <c r="Y433" s="31">
        <v>45588</v>
      </c>
      <c r="Z433" s="154"/>
    </row>
    <row r="434" spans="1:26" ht="39" customHeight="1" x14ac:dyDescent="0.25">
      <c r="A434" s="5">
        <v>41</v>
      </c>
      <c r="B434" s="9" t="s">
        <v>4867</v>
      </c>
      <c r="C434" s="10" t="s">
        <v>46</v>
      </c>
      <c r="D434" s="10" t="s">
        <v>4868</v>
      </c>
      <c r="E434" s="9" t="s">
        <v>2125</v>
      </c>
      <c r="F434" s="150">
        <v>29606</v>
      </c>
      <c r="G434" s="151" t="s">
        <v>4869</v>
      </c>
      <c r="H434" s="68" t="s">
        <v>4870</v>
      </c>
      <c r="I434" s="5" t="s">
        <v>1738</v>
      </c>
      <c r="J434" s="161">
        <v>44835</v>
      </c>
      <c r="K434" s="5">
        <v>7</v>
      </c>
      <c r="L434" s="5">
        <v>7</v>
      </c>
      <c r="M434" s="12" t="s">
        <v>1739</v>
      </c>
      <c r="N434" s="150">
        <v>43525</v>
      </c>
      <c r="O434" s="5" t="s">
        <v>982</v>
      </c>
      <c r="P434" s="11" t="s">
        <v>4847</v>
      </c>
      <c r="Q434" s="11" t="s">
        <v>4871</v>
      </c>
      <c r="R434" s="9"/>
      <c r="S434" s="162" t="s">
        <v>4872</v>
      </c>
      <c r="T434" s="20">
        <v>2020018103</v>
      </c>
      <c r="U434" s="5" t="s">
        <v>4873</v>
      </c>
      <c r="V434" s="11" t="s">
        <v>4622</v>
      </c>
      <c r="W434" s="9" t="s">
        <v>4874</v>
      </c>
      <c r="X434" s="9"/>
      <c r="Y434" s="10"/>
      <c r="Z434" s="40" t="s">
        <v>1965</v>
      </c>
    </row>
    <row r="435" spans="1:26" ht="39" customHeight="1" x14ac:dyDescent="0.25">
      <c r="A435" s="5">
        <v>42</v>
      </c>
      <c r="B435" s="9" t="s">
        <v>4875</v>
      </c>
      <c r="C435" s="10" t="s">
        <v>46</v>
      </c>
      <c r="D435" s="10" t="s">
        <v>1084</v>
      </c>
      <c r="E435" s="9" t="s">
        <v>2608</v>
      </c>
      <c r="F435" s="150">
        <v>31203</v>
      </c>
      <c r="G435" s="151" t="s">
        <v>4876</v>
      </c>
      <c r="H435" s="68" t="s">
        <v>4877</v>
      </c>
      <c r="I435" s="5" t="s">
        <v>1717</v>
      </c>
      <c r="J435" s="150">
        <v>44105</v>
      </c>
      <c r="K435" s="5">
        <v>5</v>
      </c>
      <c r="L435" s="5">
        <v>7</v>
      </c>
      <c r="M435" s="12" t="s">
        <v>1739</v>
      </c>
      <c r="N435" s="150">
        <v>43525</v>
      </c>
      <c r="O435" s="5" t="s">
        <v>982</v>
      </c>
      <c r="P435" s="11" t="s">
        <v>4878</v>
      </c>
      <c r="Q435" s="9" t="s">
        <v>4879</v>
      </c>
      <c r="R435" s="9"/>
      <c r="S435" s="79">
        <v>192100517416</v>
      </c>
      <c r="T435" s="20" t="s">
        <v>4880</v>
      </c>
      <c r="U435" s="5" t="s">
        <v>4881</v>
      </c>
      <c r="V435" s="11" t="s">
        <v>4668</v>
      </c>
      <c r="W435" s="11" t="s">
        <v>4882</v>
      </c>
      <c r="X435" s="11"/>
      <c r="Y435" s="51"/>
      <c r="Z435" s="40" t="s">
        <v>1965</v>
      </c>
    </row>
    <row r="436" spans="1:26" ht="39" customHeight="1" x14ac:dyDescent="0.25">
      <c r="A436" s="5">
        <v>43</v>
      </c>
      <c r="B436" s="14" t="s">
        <v>4883</v>
      </c>
      <c r="C436" s="5" t="s">
        <v>18</v>
      </c>
      <c r="D436" s="10" t="s">
        <v>4884</v>
      </c>
      <c r="E436" s="14" t="s">
        <v>2184</v>
      </c>
      <c r="F436" s="150">
        <v>30260</v>
      </c>
      <c r="G436" s="8" t="s">
        <v>4885</v>
      </c>
      <c r="H436" s="68" t="s">
        <v>4886</v>
      </c>
      <c r="I436" s="5" t="s">
        <v>1738</v>
      </c>
      <c r="J436" s="161">
        <v>44835</v>
      </c>
      <c r="K436" s="5">
        <v>12</v>
      </c>
      <c r="L436" s="5">
        <v>10</v>
      </c>
      <c r="M436" s="12" t="s">
        <v>1739</v>
      </c>
      <c r="N436" s="150">
        <v>43952</v>
      </c>
      <c r="O436" s="5" t="s">
        <v>1028</v>
      </c>
      <c r="P436" s="11" t="s">
        <v>4887</v>
      </c>
      <c r="Q436" s="11" t="s">
        <v>4888</v>
      </c>
      <c r="R436" s="168" t="s">
        <v>4889</v>
      </c>
      <c r="S436" s="162">
        <v>132100511942</v>
      </c>
      <c r="T436" s="20" t="s">
        <v>4890</v>
      </c>
      <c r="U436" s="150">
        <v>54027</v>
      </c>
      <c r="V436" s="11" t="s">
        <v>4622</v>
      </c>
      <c r="W436" s="14" t="s">
        <v>4891</v>
      </c>
      <c r="X436" s="11" t="s">
        <v>4892</v>
      </c>
      <c r="Y436" s="31">
        <v>45588</v>
      </c>
      <c r="Z436" s="154"/>
    </row>
    <row r="437" spans="1:26" ht="39" customHeight="1" x14ac:dyDescent="0.25">
      <c r="A437" s="5">
        <v>44</v>
      </c>
      <c r="B437" s="40" t="s">
        <v>4893</v>
      </c>
      <c r="C437" s="39" t="s">
        <v>18</v>
      </c>
      <c r="D437" s="12"/>
      <c r="E437" s="40" t="s">
        <v>4894</v>
      </c>
      <c r="F437" s="170">
        <v>31881</v>
      </c>
      <c r="G437" s="156" t="s">
        <v>4895</v>
      </c>
      <c r="H437" s="68" t="s">
        <v>4896</v>
      </c>
      <c r="I437" s="39" t="s">
        <v>1738</v>
      </c>
      <c r="J437" s="150">
        <v>45383</v>
      </c>
      <c r="K437" s="5">
        <v>5</v>
      </c>
      <c r="L437" s="5">
        <v>1</v>
      </c>
      <c r="M437" s="12" t="s">
        <v>1739</v>
      </c>
      <c r="N437" s="150">
        <v>44075</v>
      </c>
      <c r="O437" s="5" t="s">
        <v>1028</v>
      </c>
      <c r="P437" s="160" t="s">
        <v>4897</v>
      </c>
      <c r="Q437" s="160" t="s">
        <v>4898</v>
      </c>
      <c r="R437" s="160" t="s">
        <v>4899</v>
      </c>
      <c r="S437" s="14" t="s">
        <v>4900</v>
      </c>
      <c r="T437" s="20" t="s">
        <v>4901</v>
      </c>
      <c r="U437" s="170">
        <v>55640</v>
      </c>
      <c r="V437" s="11" t="s">
        <v>4668</v>
      </c>
      <c r="W437" s="160" t="s">
        <v>4902</v>
      </c>
      <c r="X437" s="9" t="s">
        <v>4903</v>
      </c>
      <c r="Y437" s="31">
        <v>45588</v>
      </c>
      <c r="Z437" s="154"/>
    </row>
    <row r="438" spans="1:26" ht="39" customHeight="1" x14ac:dyDescent="0.25">
      <c r="A438" s="5">
        <v>45</v>
      </c>
      <c r="B438" s="12" t="s">
        <v>4904</v>
      </c>
      <c r="C438" s="5" t="s">
        <v>18</v>
      </c>
      <c r="D438" s="5" t="s">
        <v>4905</v>
      </c>
      <c r="E438" s="14" t="s">
        <v>1942</v>
      </c>
      <c r="F438" s="51" t="s">
        <v>4906</v>
      </c>
      <c r="G438" s="8" t="s">
        <v>4907</v>
      </c>
      <c r="H438" s="68" t="s">
        <v>4908</v>
      </c>
      <c r="I438" s="5" t="s">
        <v>1717</v>
      </c>
      <c r="J438" s="150" t="s">
        <v>4909</v>
      </c>
      <c r="K438" s="5">
        <v>14</v>
      </c>
      <c r="L438" s="5">
        <v>3</v>
      </c>
      <c r="M438" s="12" t="s">
        <v>1739</v>
      </c>
      <c r="N438" s="161">
        <v>44440</v>
      </c>
      <c r="O438" s="5" t="s">
        <v>1028</v>
      </c>
      <c r="P438" s="11" t="s">
        <v>4910</v>
      </c>
      <c r="Q438" s="9" t="s">
        <v>4778</v>
      </c>
      <c r="R438" s="9" t="s">
        <v>4911</v>
      </c>
      <c r="S438" s="162" t="s">
        <v>4912</v>
      </c>
      <c r="T438" s="20">
        <v>2014117401</v>
      </c>
      <c r="U438" s="5" t="s">
        <v>4913</v>
      </c>
      <c r="V438" s="11" t="s">
        <v>4722</v>
      </c>
      <c r="W438" s="14" t="s">
        <v>4914</v>
      </c>
      <c r="X438" s="11" t="s">
        <v>4915</v>
      </c>
      <c r="Y438" s="31">
        <v>45588</v>
      </c>
      <c r="Z438" s="154"/>
    </row>
    <row r="439" spans="1:26" ht="39" customHeight="1" x14ac:dyDescent="0.25">
      <c r="A439" s="5">
        <v>46</v>
      </c>
      <c r="B439" s="9" t="s">
        <v>4916</v>
      </c>
      <c r="C439" s="10" t="s">
        <v>46</v>
      </c>
      <c r="D439" s="10" t="s">
        <v>1084</v>
      </c>
      <c r="E439" s="9" t="s">
        <v>2486</v>
      </c>
      <c r="F439" s="150">
        <v>30720</v>
      </c>
      <c r="G439" s="151" t="s">
        <v>4917</v>
      </c>
      <c r="H439" s="68" t="s">
        <v>4918</v>
      </c>
      <c r="I439" s="5" t="s">
        <v>1717</v>
      </c>
      <c r="J439" s="150">
        <v>44652</v>
      </c>
      <c r="K439" s="5">
        <v>7</v>
      </c>
      <c r="L439" s="5">
        <v>1</v>
      </c>
      <c r="M439" s="12" t="s">
        <v>1739</v>
      </c>
      <c r="N439" s="150">
        <v>44593</v>
      </c>
      <c r="O439" s="5" t="s">
        <v>982</v>
      </c>
      <c r="P439" s="11" t="s">
        <v>4919</v>
      </c>
      <c r="Q439" s="11" t="s">
        <v>4920</v>
      </c>
      <c r="R439" s="9"/>
      <c r="S439" s="14" t="s">
        <v>4921</v>
      </c>
      <c r="T439" s="20" t="s">
        <v>4922</v>
      </c>
      <c r="U439" s="5" t="s">
        <v>4923</v>
      </c>
      <c r="V439" s="11" t="s">
        <v>4668</v>
      </c>
      <c r="W439" s="11" t="s">
        <v>2390</v>
      </c>
      <c r="X439" s="89"/>
      <c r="Y439" s="89"/>
      <c r="Z439" s="89"/>
    </row>
    <row r="440" spans="1:26" ht="39" customHeight="1" x14ac:dyDescent="0.25">
      <c r="A440" s="5">
        <v>47</v>
      </c>
      <c r="B440" s="9" t="s">
        <v>4924</v>
      </c>
      <c r="C440" s="10" t="s">
        <v>46</v>
      </c>
      <c r="D440" s="10" t="s">
        <v>1084</v>
      </c>
      <c r="E440" s="9" t="s">
        <v>3614</v>
      </c>
      <c r="F440" s="150">
        <v>32286</v>
      </c>
      <c r="G440" s="151" t="s">
        <v>4925</v>
      </c>
      <c r="H440" s="68" t="s">
        <v>4926</v>
      </c>
      <c r="I440" s="5" t="s">
        <v>1717</v>
      </c>
      <c r="J440" s="150">
        <v>44652</v>
      </c>
      <c r="K440" s="5">
        <v>7</v>
      </c>
      <c r="L440" s="5">
        <v>1</v>
      </c>
      <c r="M440" s="12" t="s">
        <v>1739</v>
      </c>
      <c r="N440" s="150">
        <v>44440</v>
      </c>
      <c r="O440" s="5" t="s">
        <v>982</v>
      </c>
      <c r="P440" s="11" t="s">
        <v>4927</v>
      </c>
      <c r="Q440" s="11" t="s">
        <v>4928</v>
      </c>
      <c r="R440" s="9"/>
      <c r="S440" s="79">
        <v>192100517424</v>
      </c>
      <c r="T440" s="20" t="s">
        <v>4929</v>
      </c>
      <c r="U440" s="5" t="s">
        <v>4930</v>
      </c>
      <c r="V440" s="11" t="s">
        <v>4668</v>
      </c>
      <c r="W440" s="11" t="s">
        <v>4882</v>
      </c>
      <c r="X440" s="11" t="s">
        <v>4931</v>
      </c>
      <c r="Y440" s="31">
        <v>45588</v>
      </c>
      <c r="Z440" s="154"/>
    </row>
    <row r="441" spans="1:26" ht="39" customHeight="1" x14ac:dyDescent="0.25">
      <c r="A441" s="5">
        <v>48</v>
      </c>
      <c r="B441" s="9" t="s">
        <v>4932</v>
      </c>
      <c r="C441" s="10" t="s">
        <v>18</v>
      </c>
      <c r="D441" s="10"/>
      <c r="E441" s="9" t="s">
        <v>4894</v>
      </c>
      <c r="F441" s="150">
        <v>32762</v>
      </c>
      <c r="G441" s="151" t="s">
        <v>4933</v>
      </c>
      <c r="H441" s="169" t="s">
        <v>4934</v>
      </c>
      <c r="I441" s="5" t="s">
        <v>1738</v>
      </c>
      <c r="J441" s="161">
        <v>45566</v>
      </c>
      <c r="K441" s="5">
        <v>6</v>
      </c>
      <c r="L441" s="5">
        <v>9</v>
      </c>
      <c r="M441" s="12" t="s">
        <v>1739</v>
      </c>
      <c r="N441" s="150">
        <v>44621</v>
      </c>
      <c r="O441" s="5" t="s">
        <v>982</v>
      </c>
      <c r="P441" s="11" t="s">
        <v>4935</v>
      </c>
      <c r="Q441" s="11" t="s">
        <v>4936</v>
      </c>
      <c r="R441" s="9"/>
      <c r="S441" s="14" t="s">
        <v>4937</v>
      </c>
      <c r="T441" s="20" t="s">
        <v>4938</v>
      </c>
      <c r="U441" s="51">
        <v>56523</v>
      </c>
      <c r="V441" s="11" t="s">
        <v>4685</v>
      </c>
      <c r="W441" s="9" t="s">
        <v>2282</v>
      </c>
      <c r="X441" s="9"/>
      <c r="Y441" s="10"/>
      <c r="Z441" s="154"/>
    </row>
    <row r="442" spans="1:26" ht="39" customHeight="1" x14ac:dyDescent="0.25">
      <c r="A442" s="5">
        <v>49</v>
      </c>
      <c r="B442" s="9" t="s">
        <v>4939</v>
      </c>
      <c r="C442" s="10" t="s">
        <v>46</v>
      </c>
      <c r="D442" s="10"/>
      <c r="E442" s="9" t="s">
        <v>1934</v>
      </c>
      <c r="F442" s="150">
        <v>33326</v>
      </c>
      <c r="G442" s="151" t="s">
        <v>4940</v>
      </c>
      <c r="H442" s="169" t="s">
        <v>4941</v>
      </c>
      <c r="I442" s="5" t="s">
        <v>1738</v>
      </c>
      <c r="J442" s="150">
        <v>45383</v>
      </c>
      <c r="K442" s="5">
        <v>6</v>
      </c>
      <c r="L442" s="5">
        <v>3</v>
      </c>
      <c r="M442" s="12" t="s">
        <v>1739</v>
      </c>
      <c r="N442" s="150">
        <v>44470</v>
      </c>
      <c r="O442" s="5" t="s">
        <v>982</v>
      </c>
      <c r="P442" s="11" t="s">
        <v>1084</v>
      </c>
      <c r="Q442" s="11" t="s">
        <v>4942</v>
      </c>
      <c r="R442" s="9"/>
      <c r="S442" s="14" t="s">
        <v>4943</v>
      </c>
      <c r="T442" s="20" t="s">
        <v>4944</v>
      </c>
      <c r="U442" s="51">
        <v>57040</v>
      </c>
      <c r="V442" s="11" t="s">
        <v>4685</v>
      </c>
      <c r="W442" s="9" t="s">
        <v>2282</v>
      </c>
      <c r="X442" s="11"/>
      <c r="Y442" s="31"/>
      <c r="Z442" s="154"/>
    </row>
    <row r="443" spans="1:26" ht="39" customHeight="1" x14ac:dyDescent="0.25">
      <c r="A443" s="5">
        <v>50</v>
      </c>
      <c r="B443" s="40" t="s">
        <v>4945</v>
      </c>
      <c r="C443" s="39" t="s">
        <v>18</v>
      </c>
      <c r="D443" s="10"/>
      <c r="E443" s="40" t="s">
        <v>1887</v>
      </c>
      <c r="F443" s="170">
        <v>32941</v>
      </c>
      <c r="G443" s="156" t="s">
        <v>4946</v>
      </c>
      <c r="H443" s="68" t="s">
        <v>4947</v>
      </c>
      <c r="I443" s="5" t="s">
        <v>1717</v>
      </c>
      <c r="J443" s="150">
        <v>45383</v>
      </c>
      <c r="K443" s="5">
        <v>5</v>
      </c>
      <c r="L443" s="5">
        <v>1</v>
      </c>
      <c r="M443" s="12" t="s">
        <v>1739</v>
      </c>
      <c r="N443" s="150">
        <v>44896</v>
      </c>
      <c r="O443" s="5" t="s">
        <v>982</v>
      </c>
      <c r="P443" s="11" t="s">
        <v>2593</v>
      </c>
      <c r="Q443" s="160" t="s">
        <v>4948</v>
      </c>
      <c r="R443" s="9"/>
      <c r="S443" s="14"/>
      <c r="T443" s="171" t="s">
        <v>4949</v>
      </c>
      <c r="U443" s="51">
        <v>56705</v>
      </c>
      <c r="V443" s="11" t="s">
        <v>4950</v>
      </c>
      <c r="W443" s="160" t="s">
        <v>4951</v>
      </c>
      <c r="X443" s="9"/>
      <c r="Y443" s="10"/>
      <c r="Z443" s="153" t="s">
        <v>1965</v>
      </c>
    </row>
    <row r="444" spans="1:26" ht="39" customHeight="1" x14ac:dyDescent="0.25">
      <c r="A444" s="5">
        <v>51</v>
      </c>
      <c r="B444" s="154" t="s">
        <v>4952</v>
      </c>
      <c r="C444" s="67" t="s">
        <v>18</v>
      </c>
      <c r="D444" s="10"/>
      <c r="E444" s="154" t="s">
        <v>4953</v>
      </c>
      <c r="F444" s="155">
        <v>31697</v>
      </c>
      <c r="G444" s="106" t="s">
        <v>4954</v>
      </c>
      <c r="H444" s="68" t="s">
        <v>4955</v>
      </c>
      <c r="I444" s="5" t="s">
        <v>1717</v>
      </c>
      <c r="J444" s="161">
        <v>45200</v>
      </c>
      <c r="K444" s="5">
        <v>7</v>
      </c>
      <c r="L444" s="5">
        <v>10</v>
      </c>
      <c r="M444" s="12" t="s">
        <v>1739</v>
      </c>
      <c r="N444" s="150">
        <v>44927</v>
      </c>
      <c r="O444" s="5" t="s">
        <v>982</v>
      </c>
      <c r="P444" s="11" t="s">
        <v>4956</v>
      </c>
      <c r="Q444" s="160" t="s">
        <v>4957</v>
      </c>
      <c r="R444" s="9"/>
      <c r="S444" s="14"/>
      <c r="T444" s="171" t="s">
        <v>4958</v>
      </c>
      <c r="U444" s="51">
        <v>55458</v>
      </c>
      <c r="V444" s="11" t="s">
        <v>4764</v>
      </c>
      <c r="W444" s="160" t="s">
        <v>4959</v>
      </c>
      <c r="X444" s="11" t="s">
        <v>4960</v>
      </c>
      <c r="Y444" s="31">
        <v>45588</v>
      </c>
      <c r="Z444" s="154"/>
    </row>
    <row r="445" spans="1:26" ht="39" customHeight="1" x14ac:dyDescent="0.25">
      <c r="A445" s="5">
        <v>52</v>
      </c>
      <c r="B445" s="154" t="s">
        <v>4961</v>
      </c>
      <c r="C445" s="67" t="s">
        <v>46</v>
      </c>
      <c r="D445" s="10"/>
      <c r="E445" s="154" t="s">
        <v>4451</v>
      </c>
      <c r="F445" s="155">
        <v>33522</v>
      </c>
      <c r="G445" s="106" t="s">
        <v>4962</v>
      </c>
      <c r="H445" s="68" t="s">
        <v>4963</v>
      </c>
      <c r="I445" s="5" t="s">
        <v>1717</v>
      </c>
      <c r="J445" s="150">
        <v>45383</v>
      </c>
      <c r="K445" s="5">
        <v>5</v>
      </c>
      <c r="L445" s="5">
        <v>1</v>
      </c>
      <c r="M445" s="12" t="s">
        <v>1739</v>
      </c>
      <c r="N445" s="150">
        <v>44927</v>
      </c>
      <c r="O445" s="5" t="s">
        <v>982</v>
      </c>
      <c r="P445" s="11" t="s">
        <v>2593</v>
      </c>
      <c r="Q445" s="160" t="s">
        <v>4964</v>
      </c>
      <c r="R445" s="9"/>
      <c r="S445" s="14"/>
      <c r="T445" s="183" t="s">
        <v>4965</v>
      </c>
      <c r="U445" s="51">
        <v>57285</v>
      </c>
      <c r="V445" s="11" t="s">
        <v>4685</v>
      </c>
      <c r="W445" s="160" t="s">
        <v>4966</v>
      </c>
      <c r="X445" s="9"/>
      <c r="Y445" s="10"/>
      <c r="Z445" s="154"/>
    </row>
    <row r="446" spans="1:26" ht="39" customHeight="1" x14ac:dyDescent="0.25">
      <c r="A446" s="5">
        <v>53</v>
      </c>
      <c r="B446" s="154" t="s">
        <v>4967</v>
      </c>
      <c r="C446" s="67" t="s">
        <v>18</v>
      </c>
      <c r="D446" s="10"/>
      <c r="E446" s="154" t="s">
        <v>3233</v>
      </c>
      <c r="F446" s="155">
        <v>33217</v>
      </c>
      <c r="G446" s="106" t="s">
        <v>4968</v>
      </c>
      <c r="H446" s="68" t="s">
        <v>4969</v>
      </c>
      <c r="I446" s="5" t="s">
        <v>1717</v>
      </c>
      <c r="J446" s="150">
        <v>45017</v>
      </c>
      <c r="K446" s="5">
        <v>4</v>
      </c>
      <c r="L446" s="5">
        <v>1</v>
      </c>
      <c r="M446" s="12" t="s">
        <v>1739</v>
      </c>
      <c r="N446" s="150">
        <v>44805</v>
      </c>
      <c r="O446" s="5" t="s">
        <v>1028</v>
      </c>
      <c r="P446" s="11" t="s">
        <v>4970</v>
      </c>
      <c r="Q446" s="160" t="s">
        <v>4964</v>
      </c>
      <c r="R446" s="9" t="s">
        <v>4971</v>
      </c>
      <c r="S446" s="14" t="s">
        <v>4972</v>
      </c>
      <c r="T446" s="171" t="s">
        <v>4973</v>
      </c>
      <c r="U446" s="51">
        <v>56980</v>
      </c>
      <c r="V446" s="11" t="s">
        <v>4685</v>
      </c>
      <c r="W446" s="160" t="s">
        <v>4974</v>
      </c>
      <c r="X446" s="11" t="s">
        <v>4975</v>
      </c>
      <c r="Y446" s="31">
        <v>45588</v>
      </c>
      <c r="Z446" s="154"/>
    </row>
    <row r="447" spans="1:26" ht="39" customHeight="1" x14ac:dyDescent="0.25">
      <c r="A447" s="5">
        <v>54</v>
      </c>
      <c r="B447" s="154" t="s">
        <v>4976</v>
      </c>
      <c r="C447" s="67" t="s">
        <v>18</v>
      </c>
      <c r="D447" s="10"/>
      <c r="E447" s="154" t="s">
        <v>4977</v>
      </c>
      <c r="F447" s="155">
        <v>31268</v>
      </c>
      <c r="G447" s="106" t="s">
        <v>4978</v>
      </c>
      <c r="H447" s="68" t="s">
        <v>4979</v>
      </c>
      <c r="I447" s="5" t="s">
        <v>1717</v>
      </c>
      <c r="J447" s="150">
        <v>45200</v>
      </c>
      <c r="K447" s="5">
        <v>4</v>
      </c>
      <c r="L447" s="5">
        <v>7</v>
      </c>
      <c r="M447" s="12" t="s">
        <v>1739</v>
      </c>
      <c r="N447" s="150">
        <v>44927</v>
      </c>
      <c r="O447" s="5" t="s">
        <v>982</v>
      </c>
      <c r="P447" s="11" t="s">
        <v>4980</v>
      </c>
      <c r="Q447" s="160" t="s">
        <v>4981</v>
      </c>
      <c r="R447" s="9"/>
      <c r="S447" s="14"/>
      <c r="T447" s="171" t="s">
        <v>4982</v>
      </c>
      <c r="U447" s="51">
        <v>55032</v>
      </c>
      <c r="V447" s="11" t="s">
        <v>4622</v>
      </c>
      <c r="W447" s="160" t="s">
        <v>4983</v>
      </c>
      <c r="X447" s="9" t="s">
        <v>4984</v>
      </c>
      <c r="Y447" s="31">
        <v>45588</v>
      </c>
      <c r="Z447" s="154"/>
    </row>
    <row r="448" spans="1:26" ht="39" customHeight="1" x14ac:dyDescent="0.25">
      <c r="A448" s="5">
        <v>55</v>
      </c>
      <c r="B448" s="40" t="s">
        <v>4985</v>
      </c>
      <c r="C448" s="39" t="s">
        <v>18</v>
      </c>
      <c r="D448" s="10"/>
      <c r="E448" s="40" t="s">
        <v>2400</v>
      </c>
      <c r="F448" s="170">
        <v>33957</v>
      </c>
      <c r="G448" s="156" t="s">
        <v>4986</v>
      </c>
      <c r="H448" s="68" t="s">
        <v>4987</v>
      </c>
      <c r="I448" s="5" t="s">
        <v>1717</v>
      </c>
      <c r="J448" s="150">
        <v>45383</v>
      </c>
      <c r="K448" s="5">
        <v>5</v>
      </c>
      <c r="L448" s="5">
        <v>1</v>
      </c>
      <c r="M448" s="12" t="s">
        <v>1739</v>
      </c>
      <c r="N448" s="150">
        <v>44927</v>
      </c>
      <c r="O448" s="5" t="s">
        <v>982</v>
      </c>
      <c r="P448" s="11" t="s">
        <v>4336</v>
      </c>
      <c r="Q448" s="40" t="s">
        <v>4988</v>
      </c>
      <c r="R448" s="9"/>
      <c r="S448" s="14"/>
      <c r="T448" s="171" t="s">
        <v>4989</v>
      </c>
      <c r="U448" s="51">
        <v>57711</v>
      </c>
      <c r="V448" s="11" t="s">
        <v>4990</v>
      </c>
      <c r="W448" s="160" t="s">
        <v>2558</v>
      </c>
      <c r="X448" s="9" t="s">
        <v>4991</v>
      </c>
      <c r="Y448" s="163">
        <v>45588</v>
      </c>
      <c r="Z448" s="154"/>
    </row>
    <row r="449" spans="1:26" ht="39" customHeight="1" x14ac:dyDescent="0.25">
      <c r="A449" s="5">
        <v>56</v>
      </c>
      <c r="B449" s="40" t="s">
        <v>4992</v>
      </c>
      <c r="C449" s="39" t="s">
        <v>18</v>
      </c>
      <c r="D449" s="10"/>
      <c r="E449" s="40" t="s">
        <v>1894</v>
      </c>
      <c r="F449" s="170">
        <v>27934</v>
      </c>
      <c r="G449" s="156" t="s">
        <v>4993</v>
      </c>
      <c r="H449" s="68" t="s">
        <v>4994</v>
      </c>
      <c r="I449" s="5" t="s">
        <v>1558</v>
      </c>
      <c r="J449" s="150">
        <v>45505</v>
      </c>
      <c r="K449" s="5">
        <v>18</v>
      </c>
      <c r="L449" s="5">
        <v>4</v>
      </c>
      <c r="M449" s="12" t="s">
        <v>1501</v>
      </c>
      <c r="N449" s="150">
        <v>45292</v>
      </c>
      <c r="O449" s="5" t="s">
        <v>1028</v>
      </c>
      <c r="P449" s="211" t="s">
        <v>4995</v>
      </c>
      <c r="Q449" s="40" t="s">
        <v>4996</v>
      </c>
      <c r="R449" s="40" t="s">
        <v>1550</v>
      </c>
      <c r="S449" s="14"/>
      <c r="T449" s="171" t="s">
        <v>4997</v>
      </c>
      <c r="U449" s="51">
        <v>51683</v>
      </c>
      <c r="V449" s="11" t="s">
        <v>4722</v>
      </c>
      <c r="W449" s="160" t="s">
        <v>4998</v>
      </c>
      <c r="X449" s="9"/>
      <c r="Y449" s="10"/>
      <c r="Z449" s="154"/>
    </row>
    <row r="450" spans="1:26" ht="39" customHeight="1" x14ac:dyDescent="0.25">
      <c r="A450" s="5">
        <v>57</v>
      </c>
      <c r="B450" s="160" t="s">
        <v>4999</v>
      </c>
      <c r="C450" s="39" t="s">
        <v>18</v>
      </c>
      <c r="D450" s="11"/>
      <c r="E450" s="160" t="s">
        <v>1555</v>
      </c>
      <c r="F450" s="158">
        <v>22251</v>
      </c>
      <c r="G450" s="212" t="s">
        <v>5000</v>
      </c>
      <c r="H450" s="213" t="s">
        <v>5001</v>
      </c>
      <c r="I450" s="14" t="s">
        <v>1699</v>
      </c>
      <c r="J450" s="214">
        <v>37712</v>
      </c>
      <c r="K450" s="14"/>
      <c r="L450" s="14"/>
      <c r="M450" s="14" t="s">
        <v>1739</v>
      </c>
      <c r="N450" s="214">
        <v>43221</v>
      </c>
      <c r="O450" s="5" t="s">
        <v>1028</v>
      </c>
      <c r="P450" s="215"/>
      <c r="Q450" s="160" t="s">
        <v>5002</v>
      </c>
      <c r="R450" s="160" t="s">
        <v>5003</v>
      </c>
      <c r="S450" s="14"/>
      <c r="T450" s="216" t="s">
        <v>5004</v>
      </c>
      <c r="U450" s="217">
        <v>46023</v>
      </c>
      <c r="V450" s="11" t="s">
        <v>4990</v>
      </c>
      <c r="W450" s="160"/>
      <c r="X450" s="11"/>
      <c r="Y450" s="11"/>
      <c r="Z450" s="153"/>
    </row>
    <row r="451" spans="1:26" ht="39" customHeight="1" x14ac:dyDescent="0.25">
      <c r="A451" s="5">
        <v>58</v>
      </c>
      <c r="B451" s="154" t="s">
        <v>5005</v>
      </c>
      <c r="C451" s="67" t="s">
        <v>18</v>
      </c>
      <c r="D451" s="12"/>
      <c r="E451" s="154" t="s">
        <v>1776</v>
      </c>
      <c r="F451" s="155">
        <v>30792</v>
      </c>
      <c r="G451" s="106" t="s">
        <v>5006</v>
      </c>
      <c r="H451" s="68" t="s">
        <v>5007</v>
      </c>
      <c r="I451" s="5" t="s">
        <v>1717</v>
      </c>
      <c r="J451" s="150">
        <v>45383</v>
      </c>
      <c r="K451" s="5">
        <v>5</v>
      </c>
      <c r="L451" s="5">
        <v>1</v>
      </c>
      <c r="M451" s="12" t="s">
        <v>1739</v>
      </c>
      <c r="N451" s="150">
        <v>44927</v>
      </c>
      <c r="O451" s="5" t="s">
        <v>982</v>
      </c>
      <c r="P451" s="160" t="s">
        <v>4093</v>
      </c>
      <c r="Q451" s="160" t="s">
        <v>5008</v>
      </c>
      <c r="R451" s="12"/>
      <c r="S451" s="14" t="s">
        <v>5009</v>
      </c>
      <c r="T451" s="20" t="s">
        <v>5010</v>
      </c>
      <c r="U451" s="155">
        <v>54544</v>
      </c>
      <c r="V451" s="11" t="s">
        <v>4722</v>
      </c>
      <c r="W451" s="160" t="s">
        <v>2181</v>
      </c>
      <c r="X451" s="9"/>
      <c r="Y451" s="10"/>
      <c r="Z451" s="154"/>
    </row>
    <row r="452" spans="1:26" ht="39" customHeight="1" x14ac:dyDescent="0.25">
      <c r="A452" s="5">
        <v>59</v>
      </c>
      <c r="B452" s="154" t="s">
        <v>5011</v>
      </c>
      <c r="C452" s="67" t="s">
        <v>46</v>
      </c>
      <c r="D452" s="12"/>
      <c r="E452" s="154" t="s">
        <v>2125</v>
      </c>
      <c r="F452" s="155">
        <v>33711</v>
      </c>
      <c r="G452" s="106" t="s">
        <v>5012</v>
      </c>
      <c r="H452" s="68" t="s">
        <v>5013</v>
      </c>
      <c r="I452" s="5" t="s">
        <v>1717</v>
      </c>
      <c r="J452" s="150">
        <v>45383</v>
      </c>
      <c r="K452" s="5">
        <v>5</v>
      </c>
      <c r="L452" s="5">
        <v>1</v>
      </c>
      <c r="M452" s="12" t="s">
        <v>1739</v>
      </c>
      <c r="N452" s="150">
        <v>45017</v>
      </c>
      <c r="O452" s="5" t="s">
        <v>1028</v>
      </c>
      <c r="P452" s="160" t="s">
        <v>2593</v>
      </c>
      <c r="Q452" s="160" t="s">
        <v>5014</v>
      </c>
      <c r="R452" s="9" t="s">
        <v>5015</v>
      </c>
      <c r="S452" s="14"/>
      <c r="T452" s="171" t="s">
        <v>5016</v>
      </c>
      <c r="U452" s="155">
        <v>57466</v>
      </c>
      <c r="V452" s="11" t="s">
        <v>4764</v>
      </c>
      <c r="W452" s="160" t="s">
        <v>1035</v>
      </c>
      <c r="X452" s="11" t="s">
        <v>5017</v>
      </c>
      <c r="Y452" s="31">
        <v>45588</v>
      </c>
      <c r="Z452" s="154"/>
    </row>
    <row r="453" spans="1:26" ht="39" customHeight="1" x14ac:dyDescent="0.25">
      <c r="A453" s="5">
        <v>60</v>
      </c>
      <c r="B453" s="14" t="s">
        <v>5018</v>
      </c>
      <c r="C453" s="5" t="s">
        <v>18</v>
      </c>
      <c r="D453" s="10" t="s">
        <v>5019</v>
      </c>
      <c r="E453" s="14" t="s">
        <v>1967</v>
      </c>
      <c r="F453" s="150">
        <v>28572</v>
      </c>
      <c r="G453" s="8" t="s">
        <v>5020</v>
      </c>
      <c r="H453" s="68" t="s">
        <v>5021</v>
      </c>
      <c r="I453" s="5" t="s">
        <v>1991</v>
      </c>
      <c r="J453" s="150">
        <v>40544</v>
      </c>
      <c r="K453" s="5">
        <v>0</v>
      </c>
      <c r="L453" s="5">
        <v>0</v>
      </c>
      <c r="M453" s="12" t="s">
        <v>1121</v>
      </c>
      <c r="N453" s="150">
        <v>41699</v>
      </c>
      <c r="O453" s="5" t="s">
        <v>982</v>
      </c>
      <c r="P453" s="11" t="s">
        <v>5022</v>
      </c>
      <c r="Q453" s="11" t="s">
        <v>5023</v>
      </c>
      <c r="R453" s="168" t="s">
        <v>1084</v>
      </c>
      <c r="S453" s="162" t="s">
        <v>5024</v>
      </c>
      <c r="T453" s="20">
        <v>2023037805</v>
      </c>
      <c r="U453" s="150">
        <v>52322</v>
      </c>
      <c r="V453" s="11" t="s">
        <v>4622</v>
      </c>
      <c r="W453" s="14" t="s">
        <v>4623</v>
      </c>
      <c r="X453" s="12"/>
      <c r="Y453" s="12"/>
      <c r="Z453" s="154"/>
    </row>
    <row r="454" spans="1:26" ht="39" customHeight="1" x14ac:dyDescent="0.25">
      <c r="A454" s="5">
        <v>61</v>
      </c>
      <c r="B454" s="9" t="s">
        <v>5025</v>
      </c>
      <c r="C454" s="10" t="s">
        <v>18</v>
      </c>
      <c r="D454" s="10"/>
      <c r="E454" s="9" t="s">
        <v>2747</v>
      </c>
      <c r="F454" s="150">
        <v>30589</v>
      </c>
      <c r="G454" s="151" t="s">
        <v>5026</v>
      </c>
      <c r="H454" s="68" t="s">
        <v>5027</v>
      </c>
      <c r="I454" s="5" t="s">
        <v>1991</v>
      </c>
      <c r="J454" s="150">
        <v>42064</v>
      </c>
      <c r="K454" s="5">
        <v>0</v>
      </c>
      <c r="L454" s="5">
        <v>0</v>
      </c>
      <c r="M454" s="12" t="s">
        <v>1121</v>
      </c>
      <c r="N454" s="150">
        <v>44075</v>
      </c>
      <c r="O454" s="5" t="s">
        <v>982</v>
      </c>
      <c r="P454" s="11" t="s">
        <v>1084</v>
      </c>
      <c r="Q454" s="11" t="s">
        <v>5028</v>
      </c>
      <c r="R454" s="9"/>
      <c r="S454" s="14" t="s">
        <v>5029</v>
      </c>
      <c r="T454" s="171" t="s">
        <v>5030</v>
      </c>
      <c r="U454" s="51">
        <v>54332</v>
      </c>
      <c r="V454" s="11" t="s">
        <v>4685</v>
      </c>
      <c r="W454" s="9" t="s">
        <v>1084</v>
      </c>
      <c r="X454" s="9"/>
      <c r="Y454" s="10"/>
      <c r="Z454" s="154"/>
    </row>
    <row r="455" spans="1:26" ht="39" customHeight="1" x14ac:dyDescent="0.25">
      <c r="A455" s="5">
        <v>62</v>
      </c>
      <c r="B455" s="40" t="s">
        <v>5031</v>
      </c>
      <c r="C455" s="39" t="s">
        <v>18</v>
      </c>
      <c r="D455" s="10"/>
      <c r="E455" s="40" t="s">
        <v>5032</v>
      </c>
      <c r="F455" s="170">
        <v>33041</v>
      </c>
      <c r="G455" s="156" t="s">
        <v>5033</v>
      </c>
      <c r="H455" s="68" t="s">
        <v>5034</v>
      </c>
      <c r="I455" s="5" t="s">
        <v>1991</v>
      </c>
      <c r="J455" s="150">
        <v>44166</v>
      </c>
      <c r="K455" s="5">
        <v>0</v>
      </c>
      <c r="L455" s="5">
        <v>0</v>
      </c>
      <c r="M455" s="12" t="s">
        <v>1121</v>
      </c>
      <c r="N455" s="150">
        <v>44805</v>
      </c>
      <c r="O455" s="5" t="s">
        <v>1028</v>
      </c>
      <c r="P455" s="11"/>
      <c r="Q455" s="40" t="s">
        <v>5035</v>
      </c>
      <c r="R455" s="9" t="s">
        <v>5036</v>
      </c>
      <c r="S455" s="14"/>
      <c r="T455" s="171" t="s">
        <v>5037</v>
      </c>
      <c r="U455" s="51">
        <v>56796</v>
      </c>
      <c r="V455" s="11" t="s">
        <v>4950</v>
      </c>
      <c r="W455" s="160" t="s">
        <v>5038</v>
      </c>
      <c r="X455" s="9"/>
      <c r="Y455" s="10"/>
      <c r="Z455" s="172" t="s">
        <v>5039</v>
      </c>
    </row>
    <row r="456" spans="1:26" ht="39" customHeight="1" x14ac:dyDescent="0.25">
      <c r="A456" s="5">
        <v>63</v>
      </c>
      <c r="B456" s="40" t="s">
        <v>5040</v>
      </c>
      <c r="C456" s="39" t="s">
        <v>46</v>
      </c>
      <c r="D456" s="10"/>
      <c r="E456" s="40" t="s">
        <v>1519</v>
      </c>
      <c r="F456" s="170">
        <v>34958</v>
      </c>
      <c r="G456" s="156" t="s">
        <v>5041</v>
      </c>
      <c r="H456" s="68" t="s">
        <v>5042</v>
      </c>
      <c r="I456" s="5" t="s">
        <v>1991</v>
      </c>
      <c r="J456" s="150">
        <v>44166</v>
      </c>
      <c r="K456" s="5">
        <v>0</v>
      </c>
      <c r="L456" s="5">
        <v>0</v>
      </c>
      <c r="M456" s="12" t="s">
        <v>1121</v>
      </c>
      <c r="N456" s="150">
        <v>44805</v>
      </c>
      <c r="O456" s="5" t="s">
        <v>982</v>
      </c>
      <c r="P456" s="11"/>
      <c r="Q456" s="40" t="s">
        <v>5043</v>
      </c>
      <c r="R456" s="9"/>
      <c r="S456" s="14"/>
      <c r="T456" s="171" t="s">
        <v>5044</v>
      </c>
      <c r="U456" s="51">
        <v>58715</v>
      </c>
      <c r="V456" s="11" t="s">
        <v>4722</v>
      </c>
      <c r="W456" s="160" t="s">
        <v>5045</v>
      </c>
      <c r="X456" s="9"/>
      <c r="Y456" s="10"/>
      <c r="Z456" s="154"/>
    </row>
    <row r="457" spans="1:26" ht="39" customHeight="1" x14ac:dyDescent="0.25">
      <c r="A457" s="5">
        <v>64</v>
      </c>
      <c r="B457" s="40" t="s">
        <v>5046</v>
      </c>
      <c r="C457" s="39" t="s">
        <v>18</v>
      </c>
      <c r="D457" s="10"/>
      <c r="E457" s="40" t="s">
        <v>2709</v>
      </c>
      <c r="F457" s="170">
        <v>32721</v>
      </c>
      <c r="G457" s="156" t="s">
        <v>5047</v>
      </c>
      <c r="H457" s="68" t="s">
        <v>5048</v>
      </c>
      <c r="I457" s="5" t="s">
        <v>1991</v>
      </c>
      <c r="J457" s="150">
        <v>44166</v>
      </c>
      <c r="K457" s="5">
        <v>0</v>
      </c>
      <c r="L457" s="5">
        <v>0</v>
      </c>
      <c r="M457" s="12" t="s">
        <v>1121</v>
      </c>
      <c r="N457" s="150">
        <v>44835</v>
      </c>
      <c r="O457" s="5" t="s">
        <v>982</v>
      </c>
      <c r="P457" s="11"/>
      <c r="Q457" s="40" t="s">
        <v>5043</v>
      </c>
      <c r="R457" s="9"/>
      <c r="S457" s="14"/>
      <c r="T457" s="171">
        <v>2001088902</v>
      </c>
      <c r="U457" s="51">
        <v>56462</v>
      </c>
      <c r="V457" s="11" t="s">
        <v>4722</v>
      </c>
      <c r="W457" s="160" t="s">
        <v>4850</v>
      </c>
      <c r="X457" s="9" t="s">
        <v>5049</v>
      </c>
      <c r="Y457" s="31">
        <v>45588</v>
      </c>
      <c r="Z457" s="154"/>
    </row>
    <row r="458" spans="1:26" ht="39" customHeight="1" x14ac:dyDescent="0.25">
      <c r="A458" s="5">
        <v>65</v>
      </c>
      <c r="B458" s="40" t="s">
        <v>5050</v>
      </c>
      <c r="C458" s="39" t="s">
        <v>18</v>
      </c>
      <c r="D458" s="10"/>
      <c r="E458" s="40" t="s">
        <v>5051</v>
      </c>
      <c r="F458" s="170">
        <v>33043</v>
      </c>
      <c r="G458" s="156" t="s">
        <v>5052</v>
      </c>
      <c r="H458" s="68" t="s">
        <v>5053</v>
      </c>
      <c r="I458" s="5" t="s">
        <v>1991</v>
      </c>
      <c r="J458" s="150">
        <v>44166</v>
      </c>
      <c r="K458" s="5">
        <v>0</v>
      </c>
      <c r="L458" s="5">
        <v>0</v>
      </c>
      <c r="M458" s="12" t="s">
        <v>1121</v>
      </c>
      <c r="N458" s="150">
        <v>44805</v>
      </c>
      <c r="O458" s="5" t="s">
        <v>982</v>
      </c>
      <c r="P458" s="11"/>
      <c r="Q458" s="40" t="s">
        <v>5054</v>
      </c>
      <c r="R458" s="9"/>
      <c r="S458" s="14"/>
      <c r="T458" s="171" t="s">
        <v>5055</v>
      </c>
      <c r="U458" s="51">
        <v>56796</v>
      </c>
      <c r="V458" s="11" t="s">
        <v>4764</v>
      </c>
      <c r="W458" s="160" t="s">
        <v>5056</v>
      </c>
      <c r="X458" s="9"/>
      <c r="Y458" s="10"/>
      <c r="Z458" s="153" t="s">
        <v>1965</v>
      </c>
    </row>
    <row r="459" spans="1:26" ht="39" customHeight="1" x14ac:dyDescent="0.25">
      <c r="A459" s="5">
        <v>66</v>
      </c>
      <c r="B459" s="40" t="s">
        <v>5057</v>
      </c>
      <c r="C459" s="39" t="s">
        <v>18</v>
      </c>
      <c r="D459" s="10"/>
      <c r="E459" s="40" t="s">
        <v>1967</v>
      </c>
      <c r="F459" s="170">
        <v>32853</v>
      </c>
      <c r="G459" s="156" t="s">
        <v>5058</v>
      </c>
      <c r="H459" s="68" t="s">
        <v>5059</v>
      </c>
      <c r="I459" s="5" t="s">
        <v>1991</v>
      </c>
      <c r="J459" s="150">
        <v>44166</v>
      </c>
      <c r="K459" s="5">
        <v>0</v>
      </c>
      <c r="L459" s="5">
        <v>0</v>
      </c>
      <c r="M459" s="12" t="s">
        <v>1121</v>
      </c>
      <c r="N459" s="150">
        <v>44805</v>
      </c>
      <c r="O459" s="5" t="s">
        <v>1028</v>
      </c>
      <c r="P459" s="11"/>
      <c r="Q459" s="40" t="s">
        <v>5060</v>
      </c>
      <c r="R459" s="9" t="s">
        <v>5061</v>
      </c>
      <c r="S459" s="14"/>
      <c r="T459" s="171" t="s">
        <v>5062</v>
      </c>
      <c r="U459" s="51">
        <v>56615</v>
      </c>
      <c r="V459" s="11" t="s">
        <v>4622</v>
      </c>
      <c r="W459" s="160" t="s">
        <v>5063</v>
      </c>
      <c r="X459" s="11" t="s">
        <v>5064</v>
      </c>
      <c r="Y459" s="31">
        <v>45588</v>
      </c>
      <c r="Z459" s="154"/>
    </row>
    <row r="460" spans="1:26" ht="39" customHeight="1" x14ac:dyDescent="0.25">
      <c r="A460" s="5">
        <v>67</v>
      </c>
      <c r="B460" s="40" t="s">
        <v>5065</v>
      </c>
      <c r="C460" s="39" t="s">
        <v>18</v>
      </c>
      <c r="D460" s="10"/>
      <c r="E460" s="40" t="s">
        <v>1967</v>
      </c>
      <c r="F460" s="170">
        <v>34170</v>
      </c>
      <c r="G460" s="156" t="s">
        <v>5066</v>
      </c>
      <c r="H460" s="68" t="s">
        <v>5067</v>
      </c>
      <c r="I460" s="5" t="s">
        <v>1991</v>
      </c>
      <c r="J460" s="150">
        <v>44166</v>
      </c>
      <c r="K460" s="5">
        <v>0</v>
      </c>
      <c r="L460" s="5">
        <v>0</v>
      </c>
      <c r="M460" s="12" t="s">
        <v>1121</v>
      </c>
      <c r="N460" s="150">
        <v>44805</v>
      </c>
      <c r="O460" s="5" t="s">
        <v>982</v>
      </c>
      <c r="P460" s="11"/>
      <c r="Q460" s="40" t="s">
        <v>5043</v>
      </c>
      <c r="R460" s="9"/>
      <c r="S460" s="14"/>
      <c r="T460" s="171" t="s">
        <v>5068</v>
      </c>
      <c r="U460" s="51">
        <v>57923</v>
      </c>
      <c r="V460" s="11" t="s">
        <v>4722</v>
      </c>
      <c r="W460" s="160" t="s">
        <v>5069</v>
      </c>
      <c r="X460" s="9"/>
      <c r="Y460" s="10"/>
      <c r="Z460" s="154"/>
    </row>
    <row r="461" spans="1:26" ht="39" customHeight="1" x14ac:dyDescent="0.25">
      <c r="A461" s="5">
        <v>68</v>
      </c>
      <c r="B461" s="40" t="s">
        <v>5070</v>
      </c>
      <c r="C461" s="39" t="s">
        <v>46</v>
      </c>
      <c r="D461" s="10"/>
      <c r="E461" s="40" t="s">
        <v>2103</v>
      </c>
      <c r="F461" s="170">
        <v>34782</v>
      </c>
      <c r="G461" s="156" t="s">
        <v>5071</v>
      </c>
      <c r="H461" s="68" t="s">
        <v>5072</v>
      </c>
      <c r="I461" s="5" t="s">
        <v>1991</v>
      </c>
      <c r="J461" s="150">
        <v>44166</v>
      </c>
      <c r="K461" s="5">
        <v>0</v>
      </c>
      <c r="L461" s="5">
        <v>0</v>
      </c>
      <c r="M461" s="12" t="s">
        <v>1121</v>
      </c>
      <c r="N461" s="150">
        <v>44805</v>
      </c>
      <c r="O461" s="5" t="s">
        <v>982</v>
      </c>
      <c r="P461" s="11"/>
      <c r="Q461" s="40" t="s">
        <v>1532</v>
      </c>
      <c r="R461" s="9"/>
      <c r="S461" s="14"/>
      <c r="T461" s="171" t="s">
        <v>5073</v>
      </c>
      <c r="U461" s="51">
        <v>58532</v>
      </c>
      <c r="V461" s="11" t="s">
        <v>4950</v>
      </c>
      <c r="W461" s="160" t="s">
        <v>4902</v>
      </c>
      <c r="X461" s="9"/>
      <c r="Y461" s="10"/>
      <c r="Z461" s="154"/>
    </row>
    <row r="462" spans="1:26" ht="39" customHeight="1" x14ac:dyDescent="0.25">
      <c r="A462" s="5">
        <v>69</v>
      </c>
      <c r="B462" s="154" t="s">
        <v>5074</v>
      </c>
      <c r="C462" s="67" t="s">
        <v>46</v>
      </c>
      <c r="D462" s="160"/>
      <c r="E462" s="154" t="s">
        <v>5075</v>
      </c>
      <c r="F462" s="155">
        <v>34663</v>
      </c>
      <c r="G462" s="106" t="s">
        <v>5076</v>
      </c>
      <c r="H462" s="68" t="s">
        <v>5077</v>
      </c>
      <c r="I462" s="10" t="s">
        <v>1991</v>
      </c>
      <c r="J462" s="161">
        <v>44166</v>
      </c>
      <c r="K462" s="5">
        <v>0</v>
      </c>
      <c r="L462" s="5">
        <v>0</v>
      </c>
      <c r="M462" s="12" t="s">
        <v>1121</v>
      </c>
      <c r="N462" s="161">
        <v>44927</v>
      </c>
      <c r="O462" s="5" t="s">
        <v>982</v>
      </c>
      <c r="P462" s="160"/>
      <c r="Q462" s="160" t="s">
        <v>5078</v>
      </c>
      <c r="R462" s="12"/>
      <c r="S462" s="14"/>
      <c r="T462" s="20">
        <v>2025119401</v>
      </c>
      <c r="U462" s="150">
        <v>58410</v>
      </c>
      <c r="V462" s="11" t="s">
        <v>4685</v>
      </c>
      <c r="W462" s="160" t="s">
        <v>2282</v>
      </c>
      <c r="X462" s="11" t="s">
        <v>5079</v>
      </c>
      <c r="Y462" s="31">
        <v>45588</v>
      </c>
      <c r="Z462" s="154"/>
    </row>
    <row r="463" spans="1:26" ht="39" customHeight="1" x14ac:dyDescent="0.25">
      <c r="A463" s="5">
        <v>70</v>
      </c>
      <c r="B463" s="40" t="s">
        <v>5080</v>
      </c>
      <c r="C463" s="39" t="s">
        <v>18</v>
      </c>
      <c r="D463" s="10"/>
      <c r="E463" s="40" t="s">
        <v>1687</v>
      </c>
      <c r="F463" s="170">
        <v>33727</v>
      </c>
      <c r="G463" s="156" t="s">
        <v>5081</v>
      </c>
      <c r="H463" s="68" t="s">
        <v>5082</v>
      </c>
      <c r="I463" s="5" t="s">
        <v>1991</v>
      </c>
      <c r="J463" s="150">
        <v>44621</v>
      </c>
      <c r="K463" s="5">
        <v>0</v>
      </c>
      <c r="L463" s="5">
        <v>0</v>
      </c>
      <c r="M463" s="12" t="s">
        <v>1121</v>
      </c>
      <c r="N463" s="150">
        <v>45017</v>
      </c>
      <c r="O463" s="5" t="s">
        <v>982</v>
      </c>
      <c r="P463" s="211"/>
      <c r="Q463" s="40" t="s">
        <v>5083</v>
      </c>
      <c r="R463" s="40"/>
      <c r="S463" s="14"/>
      <c r="T463" s="171"/>
      <c r="U463" s="51">
        <v>57497</v>
      </c>
      <c r="V463" s="11" t="s">
        <v>4950</v>
      </c>
      <c r="W463" s="160" t="s">
        <v>5084</v>
      </c>
      <c r="X463" s="9"/>
      <c r="Y463" s="10"/>
      <c r="Z463" s="154"/>
    </row>
    <row r="464" spans="1:26" ht="39" customHeight="1" x14ac:dyDescent="0.25">
      <c r="A464" s="5">
        <v>71</v>
      </c>
      <c r="B464" s="40" t="s">
        <v>5085</v>
      </c>
      <c r="C464" s="39" t="s">
        <v>18</v>
      </c>
      <c r="D464" s="10"/>
      <c r="E464" s="40" t="s">
        <v>5086</v>
      </c>
      <c r="F464" s="170">
        <v>34122</v>
      </c>
      <c r="G464" s="156" t="s">
        <v>5087</v>
      </c>
      <c r="H464" s="68" t="s">
        <v>5088</v>
      </c>
      <c r="I464" s="5" t="s">
        <v>1991</v>
      </c>
      <c r="J464" s="150">
        <v>44621</v>
      </c>
      <c r="K464" s="5">
        <v>0</v>
      </c>
      <c r="L464" s="5">
        <v>0</v>
      </c>
      <c r="M464" s="12" t="s">
        <v>1121</v>
      </c>
      <c r="N464" s="150">
        <v>45017</v>
      </c>
      <c r="O464" s="5" t="s">
        <v>982</v>
      </c>
      <c r="P464" s="211"/>
      <c r="Q464" s="40" t="s">
        <v>5089</v>
      </c>
      <c r="R464" s="40"/>
      <c r="S464" s="14"/>
      <c r="T464" s="171">
        <v>502069301</v>
      </c>
      <c r="U464" s="51">
        <v>57892</v>
      </c>
      <c r="V464" s="11" t="s">
        <v>4722</v>
      </c>
      <c r="W464" s="160" t="s">
        <v>5090</v>
      </c>
      <c r="X464" s="11" t="s">
        <v>2099</v>
      </c>
      <c r="Y464" s="51">
        <v>45632</v>
      </c>
      <c r="Z464" s="172"/>
    </row>
    <row r="465" spans="1:26" ht="39" customHeight="1" x14ac:dyDescent="0.25">
      <c r="A465" s="5">
        <v>72</v>
      </c>
      <c r="B465" s="40" t="s">
        <v>5091</v>
      </c>
      <c r="C465" s="39" t="s">
        <v>46</v>
      </c>
      <c r="D465" s="10"/>
      <c r="E465" s="40" t="s">
        <v>2428</v>
      </c>
      <c r="F465" s="170">
        <v>32699</v>
      </c>
      <c r="G465" s="156" t="s">
        <v>5092</v>
      </c>
      <c r="H465" s="68" t="s">
        <v>5093</v>
      </c>
      <c r="I465" s="5" t="s">
        <v>1991</v>
      </c>
      <c r="J465" s="150">
        <v>44166</v>
      </c>
      <c r="K465" s="5">
        <v>0</v>
      </c>
      <c r="L465" s="5">
        <v>0</v>
      </c>
      <c r="M465" s="12" t="s">
        <v>5094</v>
      </c>
      <c r="N465" s="150">
        <v>44166</v>
      </c>
      <c r="O465" s="5" t="s">
        <v>982</v>
      </c>
      <c r="P465" s="11"/>
      <c r="Q465" s="40" t="s">
        <v>5095</v>
      </c>
      <c r="R465" s="9"/>
      <c r="S465" s="14"/>
      <c r="T465" s="171">
        <v>2010078904</v>
      </c>
      <c r="U465" s="51">
        <v>56462</v>
      </c>
      <c r="V465" s="11" t="s">
        <v>4990</v>
      </c>
      <c r="W465" s="160" t="s">
        <v>5090</v>
      </c>
      <c r="X465" s="9"/>
      <c r="Y465" s="10"/>
      <c r="Z465" s="154"/>
    </row>
    <row r="466" spans="1:26" ht="39" customHeight="1" x14ac:dyDescent="0.25">
      <c r="A466" s="5">
        <v>73</v>
      </c>
      <c r="B466" s="40" t="s">
        <v>5096</v>
      </c>
      <c r="C466" s="39" t="s">
        <v>18</v>
      </c>
      <c r="D466" s="10"/>
      <c r="E466" s="40" t="s">
        <v>1638</v>
      </c>
      <c r="F466" s="170">
        <v>32763</v>
      </c>
      <c r="G466" s="156" t="s">
        <v>5097</v>
      </c>
      <c r="H466" s="68" t="s">
        <v>5098</v>
      </c>
      <c r="I466" s="5" t="s">
        <v>1991</v>
      </c>
      <c r="J466" s="150">
        <v>44166</v>
      </c>
      <c r="K466" s="5">
        <v>0</v>
      </c>
      <c r="L466" s="5">
        <v>0</v>
      </c>
      <c r="M466" s="12" t="s">
        <v>1121</v>
      </c>
      <c r="N466" s="150">
        <v>44927</v>
      </c>
      <c r="O466" s="5" t="s">
        <v>982</v>
      </c>
      <c r="P466" s="11"/>
      <c r="Q466" s="40" t="s">
        <v>5099</v>
      </c>
      <c r="R466" s="9"/>
      <c r="S466" s="14"/>
      <c r="T466" s="171">
        <v>2012098902</v>
      </c>
      <c r="U466" s="51">
        <v>56523</v>
      </c>
      <c r="V466" s="11" t="s">
        <v>4622</v>
      </c>
      <c r="W466" s="160" t="s">
        <v>4623</v>
      </c>
      <c r="X466" s="9"/>
      <c r="Y466" s="10"/>
      <c r="Z466" s="154"/>
    </row>
    <row r="467" spans="1:26" ht="39" customHeight="1" x14ac:dyDescent="0.25">
      <c r="A467" s="5">
        <v>74</v>
      </c>
      <c r="B467" s="40" t="s">
        <v>5100</v>
      </c>
      <c r="C467" s="39" t="s">
        <v>18</v>
      </c>
      <c r="D467" s="10"/>
      <c r="E467" s="40" t="s">
        <v>5101</v>
      </c>
      <c r="F467" s="170">
        <v>32691</v>
      </c>
      <c r="G467" s="156" t="s">
        <v>5102</v>
      </c>
      <c r="H467" s="68" t="s">
        <v>5103</v>
      </c>
      <c r="I467" s="5" t="s">
        <v>1991</v>
      </c>
      <c r="J467" s="150">
        <v>44621</v>
      </c>
      <c r="K467" s="5">
        <v>0</v>
      </c>
      <c r="L467" s="5">
        <v>0</v>
      </c>
      <c r="M467" s="12" t="s">
        <v>1121</v>
      </c>
      <c r="N467" s="150">
        <v>45017</v>
      </c>
      <c r="O467" s="5" t="s">
        <v>1028</v>
      </c>
      <c r="P467" s="211"/>
      <c r="Q467" s="40" t="s">
        <v>4094</v>
      </c>
      <c r="R467" s="40" t="s">
        <v>5104</v>
      </c>
      <c r="S467" s="14"/>
      <c r="T467" s="171"/>
      <c r="U467" s="51">
        <v>19937</v>
      </c>
      <c r="V467" s="11" t="s">
        <v>4764</v>
      </c>
      <c r="W467" s="160" t="s">
        <v>5056</v>
      </c>
      <c r="X467" s="9"/>
      <c r="Y467" s="10"/>
      <c r="Z467" s="154"/>
    </row>
    <row r="468" spans="1:26" ht="39" customHeight="1" x14ac:dyDescent="0.25">
      <c r="A468" s="5">
        <v>75</v>
      </c>
      <c r="B468" s="40" t="s">
        <v>5105</v>
      </c>
      <c r="C468" s="39" t="s">
        <v>18</v>
      </c>
      <c r="D468" s="10"/>
      <c r="E468" s="40" t="s">
        <v>5106</v>
      </c>
      <c r="F468" s="170" t="s">
        <v>5107</v>
      </c>
      <c r="G468" s="156" t="s">
        <v>5108</v>
      </c>
      <c r="H468" s="68"/>
      <c r="I468" s="5" t="s">
        <v>1991</v>
      </c>
      <c r="J468" s="150" t="s">
        <v>5109</v>
      </c>
      <c r="K468" s="5"/>
      <c r="L468" s="5"/>
      <c r="M468" s="12" t="s">
        <v>1121</v>
      </c>
      <c r="N468" s="150" t="s">
        <v>5109</v>
      </c>
      <c r="O468" s="5" t="s">
        <v>982</v>
      </c>
      <c r="P468" s="211"/>
      <c r="Q468" s="40" t="s">
        <v>5110</v>
      </c>
      <c r="R468" s="40"/>
      <c r="S468" s="14"/>
      <c r="T468" s="171"/>
      <c r="U468" s="51"/>
      <c r="V468" s="11"/>
      <c r="W468" s="160" t="s">
        <v>5056</v>
      </c>
      <c r="X468" s="9"/>
      <c r="Y468" s="10"/>
      <c r="Z468" s="154"/>
    </row>
    <row r="469" spans="1:26" ht="39" customHeight="1" x14ac:dyDescent="0.25">
      <c r="A469" s="173" t="s">
        <v>5111</v>
      </c>
      <c r="B469" s="173"/>
      <c r="C469" s="174"/>
      <c r="D469" s="174"/>
      <c r="E469" s="174"/>
      <c r="F469" s="174"/>
      <c r="G469" s="175"/>
      <c r="H469" s="12"/>
      <c r="I469" s="174"/>
      <c r="J469" s="177"/>
      <c r="K469" s="174"/>
      <c r="L469" s="174"/>
      <c r="M469" s="174"/>
      <c r="N469" s="177"/>
      <c r="O469" s="174"/>
      <c r="P469" s="63"/>
      <c r="Q469" s="63"/>
      <c r="R469" s="178"/>
      <c r="S469" s="179"/>
      <c r="T469" s="174"/>
      <c r="U469" s="174"/>
      <c r="V469" s="162"/>
      <c r="W469" s="179"/>
      <c r="X469" s="12"/>
      <c r="Y469" s="12"/>
      <c r="Z469" s="154"/>
    </row>
    <row r="470" spans="1:26" ht="39" customHeight="1" x14ac:dyDescent="0.25">
      <c r="A470" s="5">
        <v>1</v>
      </c>
      <c r="B470" s="12" t="s">
        <v>5112</v>
      </c>
      <c r="C470" s="5" t="s">
        <v>46</v>
      </c>
      <c r="D470" s="10" t="s">
        <v>5113</v>
      </c>
      <c r="E470" s="14" t="s">
        <v>2694</v>
      </c>
      <c r="F470" s="150" t="s">
        <v>5114</v>
      </c>
      <c r="G470" s="8" t="s">
        <v>5115</v>
      </c>
      <c r="H470" s="68" t="s">
        <v>5116</v>
      </c>
      <c r="I470" s="5" t="s">
        <v>1423</v>
      </c>
      <c r="J470" s="150">
        <v>45444</v>
      </c>
      <c r="K470" s="5">
        <v>40</v>
      </c>
      <c r="L470" s="5">
        <v>3</v>
      </c>
      <c r="M470" s="12" t="s">
        <v>1424</v>
      </c>
      <c r="N470" s="150" t="s">
        <v>5117</v>
      </c>
      <c r="O470" s="5" t="s">
        <v>1028</v>
      </c>
      <c r="P470" s="47" t="s">
        <v>5118</v>
      </c>
      <c r="Q470" s="47" t="s">
        <v>5119</v>
      </c>
      <c r="R470" s="9" t="s">
        <v>5120</v>
      </c>
      <c r="S470" s="14" t="s">
        <v>5121</v>
      </c>
      <c r="T470" s="20">
        <v>2027045501</v>
      </c>
      <c r="U470" s="150">
        <v>45778</v>
      </c>
      <c r="V470" s="14" t="s">
        <v>5122</v>
      </c>
      <c r="W470" s="14" t="s">
        <v>5123</v>
      </c>
      <c r="X470" s="12"/>
      <c r="Y470" s="12"/>
      <c r="Z470" s="154"/>
    </row>
    <row r="471" spans="1:26" ht="39" customHeight="1" x14ac:dyDescent="0.25">
      <c r="A471" s="5">
        <v>2</v>
      </c>
      <c r="B471" s="12" t="s">
        <v>5124</v>
      </c>
      <c r="C471" s="5" t="s">
        <v>46</v>
      </c>
      <c r="D471" s="10" t="s">
        <v>5125</v>
      </c>
      <c r="E471" s="14" t="s">
        <v>1519</v>
      </c>
      <c r="F471" s="150" t="s">
        <v>5126</v>
      </c>
      <c r="G471" s="8" t="s">
        <v>5127</v>
      </c>
      <c r="H471" s="68" t="s">
        <v>5128</v>
      </c>
      <c r="I471" s="5" t="s">
        <v>1447</v>
      </c>
      <c r="J471" s="150">
        <v>45566</v>
      </c>
      <c r="K471" s="5">
        <v>24</v>
      </c>
      <c r="L471" s="5">
        <v>7</v>
      </c>
      <c r="M471" s="12" t="s">
        <v>1424</v>
      </c>
      <c r="N471" s="150">
        <v>45078</v>
      </c>
      <c r="O471" s="5" t="s">
        <v>1028</v>
      </c>
      <c r="P471" s="47" t="s">
        <v>5129</v>
      </c>
      <c r="Q471" s="47" t="s">
        <v>3908</v>
      </c>
      <c r="R471" s="9" t="s">
        <v>5130</v>
      </c>
      <c r="S471" s="14" t="s">
        <v>5131</v>
      </c>
      <c r="T471" s="20">
        <v>2031076601</v>
      </c>
      <c r="U471" s="150">
        <v>49888</v>
      </c>
      <c r="V471" s="11" t="s">
        <v>5132</v>
      </c>
      <c r="W471" s="14" t="s">
        <v>5133</v>
      </c>
      <c r="X471" s="9" t="s">
        <v>5134</v>
      </c>
      <c r="Y471" s="51">
        <v>45553</v>
      </c>
      <c r="Z471" s="154"/>
    </row>
    <row r="472" spans="1:26" ht="39" customHeight="1" x14ac:dyDescent="0.25">
      <c r="A472" s="5">
        <v>3</v>
      </c>
      <c r="B472" s="14" t="s">
        <v>5135</v>
      </c>
      <c r="C472" s="5" t="s">
        <v>46</v>
      </c>
      <c r="D472" s="218" t="s">
        <v>5136</v>
      </c>
      <c r="E472" s="12" t="s">
        <v>2941</v>
      </c>
      <c r="F472" s="150">
        <v>30082</v>
      </c>
      <c r="G472" s="8" t="s">
        <v>5137</v>
      </c>
      <c r="H472" s="68" t="s">
        <v>5138</v>
      </c>
      <c r="I472" s="10" t="s">
        <v>1469</v>
      </c>
      <c r="J472" s="161">
        <v>45383</v>
      </c>
      <c r="K472" s="5">
        <v>18</v>
      </c>
      <c r="L472" s="5">
        <v>0</v>
      </c>
      <c r="M472" s="12" t="s">
        <v>1424</v>
      </c>
      <c r="N472" s="150" t="s">
        <v>5139</v>
      </c>
      <c r="O472" s="5" t="s">
        <v>1028</v>
      </c>
      <c r="P472" s="157" t="s">
        <v>5140</v>
      </c>
      <c r="Q472" s="157" t="s">
        <v>5141</v>
      </c>
      <c r="R472" s="157" t="s">
        <v>5142</v>
      </c>
      <c r="S472" s="162">
        <v>102100504738</v>
      </c>
      <c r="T472" s="166">
        <v>2011058201</v>
      </c>
      <c r="U472" s="150">
        <v>55671</v>
      </c>
      <c r="V472" s="14" t="s">
        <v>5143</v>
      </c>
      <c r="W472" s="14" t="s">
        <v>5144</v>
      </c>
      <c r="X472" s="9" t="s">
        <v>5145</v>
      </c>
      <c r="Y472" s="51">
        <v>45579</v>
      </c>
      <c r="Z472" s="154"/>
    </row>
    <row r="473" spans="1:26" ht="39" customHeight="1" x14ac:dyDescent="0.25">
      <c r="A473" s="5">
        <v>4</v>
      </c>
      <c r="B473" s="14" t="s">
        <v>5146</v>
      </c>
      <c r="C473" s="5" t="s">
        <v>46</v>
      </c>
      <c r="D473" s="10" t="s">
        <v>5147</v>
      </c>
      <c r="E473" s="12" t="s">
        <v>5148</v>
      </c>
      <c r="F473" s="150" t="s">
        <v>5149</v>
      </c>
      <c r="G473" s="8" t="s">
        <v>5150</v>
      </c>
      <c r="H473" s="68" t="s">
        <v>5151</v>
      </c>
      <c r="I473" s="5" t="s">
        <v>1699</v>
      </c>
      <c r="J473" s="150">
        <v>45383</v>
      </c>
      <c r="K473" s="5">
        <v>18</v>
      </c>
      <c r="L473" s="5">
        <v>0</v>
      </c>
      <c r="M473" s="12" t="s">
        <v>1424</v>
      </c>
      <c r="N473" s="150">
        <v>45170</v>
      </c>
      <c r="O473" s="5" t="s">
        <v>1028</v>
      </c>
      <c r="P473" s="157" t="s">
        <v>5152</v>
      </c>
      <c r="Q473" s="47" t="s">
        <v>5153</v>
      </c>
      <c r="R473" s="9" t="s">
        <v>5154</v>
      </c>
      <c r="S473" s="162">
        <v>102100504688</v>
      </c>
      <c r="T473" s="20">
        <v>2027068101</v>
      </c>
      <c r="U473" s="150">
        <v>55335</v>
      </c>
      <c r="V473" s="14" t="s">
        <v>5155</v>
      </c>
      <c r="W473" s="14" t="s">
        <v>5156</v>
      </c>
      <c r="X473" s="11" t="s">
        <v>5157</v>
      </c>
      <c r="Y473" s="51">
        <v>45588</v>
      </c>
      <c r="Z473" s="172"/>
    </row>
    <row r="474" spans="1:26" ht="39" customHeight="1" x14ac:dyDescent="0.25">
      <c r="A474" s="5"/>
      <c r="B474" s="14" t="s">
        <v>5158</v>
      </c>
      <c r="C474" s="5" t="s">
        <v>46</v>
      </c>
      <c r="D474" s="10" t="s">
        <v>5159</v>
      </c>
      <c r="E474" s="14" t="s">
        <v>1489</v>
      </c>
      <c r="F474" s="150">
        <v>29073</v>
      </c>
      <c r="G474" s="8" t="s">
        <v>5160</v>
      </c>
      <c r="H474" s="68" t="s">
        <v>5161</v>
      </c>
      <c r="I474" s="5" t="s">
        <v>1699</v>
      </c>
      <c r="J474" s="150">
        <v>45200</v>
      </c>
      <c r="K474" s="5">
        <v>17</v>
      </c>
      <c r="L474" s="5">
        <v>6</v>
      </c>
      <c r="M474" s="12" t="s">
        <v>1424</v>
      </c>
      <c r="N474" s="150">
        <v>45139</v>
      </c>
      <c r="O474" s="5" t="s">
        <v>1028</v>
      </c>
      <c r="P474" s="157" t="s">
        <v>5162</v>
      </c>
      <c r="Q474" s="11" t="s">
        <v>5163</v>
      </c>
      <c r="R474" s="9" t="s">
        <v>5164</v>
      </c>
      <c r="S474" s="165" t="s">
        <v>5165</v>
      </c>
      <c r="T474" s="20">
        <v>2006087901</v>
      </c>
      <c r="U474" s="150">
        <v>54667</v>
      </c>
      <c r="V474" s="14" t="s">
        <v>5166</v>
      </c>
      <c r="W474" s="14" t="s">
        <v>5167</v>
      </c>
      <c r="X474" s="11"/>
      <c r="Y474" s="51"/>
      <c r="Z474" s="154"/>
    </row>
    <row r="475" spans="1:26" ht="39" customHeight="1" x14ac:dyDescent="0.25">
      <c r="A475" s="5">
        <v>6</v>
      </c>
      <c r="B475" s="12" t="s">
        <v>5168</v>
      </c>
      <c r="C475" s="5" t="s">
        <v>18</v>
      </c>
      <c r="D475" s="10" t="s">
        <v>5169</v>
      </c>
      <c r="E475" s="14" t="s">
        <v>2428</v>
      </c>
      <c r="F475" s="150" t="s">
        <v>5170</v>
      </c>
      <c r="G475" s="8" t="s">
        <v>5171</v>
      </c>
      <c r="H475" s="68" t="s">
        <v>5172</v>
      </c>
      <c r="I475" s="5" t="s">
        <v>1699</v>
      </c>
      <c r="J475" s="150">
        <v>41365</v>
      </c>
      <c r="K475" s="5">
        <v>14</v>
      </c>
      <c r="L475" s="5">
        <v>1</v>
      </c>
      <c r="M475" s="12" t="s">
        <v>1501</v>
      </c>
      <c r="N475" s="150" t="s">
        <v>5173</v>
      </c>
      <c r="O475" s="5" t="s">
        <v>982</v>
      </c>
      <c r="P475" s="47" t="s">
        <v>5174</v>
      </c>
      <c r="Q475" s="47" t="s">
        <v>5175</v>
      </c>
      <c r="R475" s="9"/>
      <c r="S475" s="162">
        <v>102100504692</v>
      </c>
      <c r="T475" s="20">
        <v>2023047201</v>
      </c>
      <c r="U475" s="150">
        <v>50161</v>
      </c>
      <c r="V475" s="14" t="s">
        <v>5132</v>
      </c>
      <c r="W475" s="14" t="s">
        <v>3909</v>
      </c>
      <c r="X475" s="89"/>
      <c r="Y475" s="89"/>
      <c r="Z475" s="89"/>
    </row>
    <row r="476" spans="1:26" ht="39" customHeight="1" x14ac:dyDescent="0.25">
      <c r="A476" s="5">
        <v>7</v>
      </c>
      <c r="B476" s="12" t="s">
        <v>5176</v>
      </c>
      <c r="C476" s="5" t="s">
        <v>46</v>
      </c>
      <c r="D476" s="10" t="s">
        <v>5177</v>
      </c>
      <c r="E476" s="14" t="s">
        <v>5178</v>
      </c>
      <c r="F476" s="150">
        <v>27932</v>
      </c>
      <c r="G476" s="8" t="s">
        <v>5179</v>
      </c>
      <c r="H476" s="68" t="s">
        <v>5180</v>
      </c>
      <c r="I476" s="5" t="s">
        <v>1469</v>
      </c>
      <c r="J476" s="150">
        <v>44287</v>
      </c>
      <c r="K476" s="5">
        <v>22</v>
      </c>
      <c r="L476" s="5">
        <v>1</v>
      </c>
      <c r="M476" s="12" t="s">
        <v>1501</v>
      </c>
      <c r="N476" s="150" t="s">
        <v>5181</v>
      </c>
      <c r="O476" s="5" t="s">
        <v>1028</v>
      </c>
      <c r="P476" s="47" t="s">
        <v>5182</v>
      </c>
      <c r="Q476" s="47" t="s">
        <v>5183</v>
      </c>
      <c r="R476" s="47" t="s">
        <v>5184</v>
      </c>
      <c r="S476" s="162">
        <v>102100504762</v>
      </c>
      <c r="T476" s="20">
        <v>2021067601</v>
      </c>
      <c r="U476" s="150">
        <v>51683</v>
      </c>
      <c r="V476" s="14" t="s">
        <v>5155</v>
      </c>
      <c r="W476" s="14" t="s">
        <v>4344</v>
      </c>
      <c r="X476" s="89"/>
      <c r="Y476" s="89"/>
      <c r="Z476" s="89"/>
    </row>
    <row r="477" spans="1:26" ht="39" customHeight="1" x14ac:dyDescent="0.25">
      <c r="A477" s="5">
        <v>8</v>
      </c>
      <c r="B477" s="12" t="s">
        <v>5185</v>
      </c>
      <c r="C477" s="5" t="s">
        <v>18</v>
      </c>
      <c r="D477" s="10" t="s">
        <v>5186</v>
      </c>
      <c r="E477" s="14" t="s">
        <v>1786</v>
      </c>
      <c r="F477" s="150" t="s">
        <v>5187</v>
      </c>
      <c r="G477" s="8" t="s">
        <v>5188</v>
      </c>
      <c r="H477" s="68" t="s">
        <v>5189</v>
      </c>
      <c r="I477" s="5" t="s">
        <v>1558</v>
      </c>
      <c r="J477" s="150">
        <v>45383</v>
      </c>
      <c r="K477" s="5">
        <v>25</v>
      </c>
      <c r="L477" s="5">
        <v>1</v>
      </c>
      <c r="M477" s="12" t="s">
        <v>1501</v>
      </c>
      <c r="N477" s="150">
        <v>41518</v>
      </c>
      <c r="O477" s="5" t="s">
        <v>1028</v>
      </c>
      <c r="P477" s="47" t="s">
        <v>5190</v>
      </c>
      <c r="Q477" s="11" t="s">
        <v>5191</v>
      </c>
      <c r="R477" s="11" t="s">
        <v>5192</v>
      </c>
      <c r="S477" s="162">
        <v>102100504638</v>
      </c>
      <c r="T477" s="20">
        <v>2023087101</v>
      </c>
      <c r="U477" s="150">
        <v>49919</v>
      </c>
      <c r="V477" s="14" t="s">
        <v>5193</v>
      </c>
      <c r="W477" s="14" t="s">
        <v>5194</v>
      </c>
      <c r="X477" s="9" t="s">
        <v>5195</v>
      </c>
      <c r="Y477" s="51">
        <v>45579</v>
      </c>
      <c r="Z477" s="172"/>
    </row>
    <row r="478" spans="1:26" ht="39" customHeight="1" x14ac:dyDescent="0.25">
      <c r="A478" s="5">
        <v>9</v>
      </c>
      <c r="B478" s="14" t="s">
        <v>5196</v>
      </c>
      <c r="C478" s="5" t="s">
        <v>46</v>
      </c>
      <c r="D478" s="10" t="s">
        <v>5197</v>
      </c>
      <c r="E478" s="14" t="s">
        <v>2494</v>
      </c>
      <c r="F478" s="150">
        <v>27600</v>
      </c>
      <c r="G478" s="8" t="s">
        <v>5198</v>
      </c>
      <c r="H478" s="68" t="s">
        <v>5199</v>
      </c>
      <c r="I478" s="5" t="s">
        <v>1558</v>
      </c>
      <c r="J478" s="150">
        <v>45383</v>
      </c>
      <c r="K478" s="5">
        <v>24</v>
      </c>
      <c r="L478" s="5">
        <v>1</v>
      </c>
      <c r="M478" s="12" t="s">
        <v>1501</v>
      </c>
      <c r="N478" s="150">
        <v>42095</v>
      </c>
      <c r="O478" s="5" t="s">
        <v>1028</v>
      </c>
      <c r="P478" s="157" t="s">
        <v>5200</v>
      </c>
      <c r="Q478" s="157" t="s">
        <v>5201</v>
      </c>
      <c r="R478" s="9" t="s">
        <v>5154</v>
      </c>
      <c r="S478" s="162">
        <v>102100504665</v>
      </c>
      <c r="T478" s="20">
        <v>2025077501</v>
      </c>
      <c r="U478" s="150">
        <v>51349</v>
      </c>
      <c r="V478" s="14" t="s">
        <v>5155</v>
      </c>
      <c r="W478" s="14" t="s">
        <v>5202</v>
      </c>
      <c r="X478" s="11"/>
      <c r="Y478" s="51"/>
      <c r="Z478" s="172"/>
    </row>
    <row r="479" spans="1:26" ht="39" customHeight="1" x14ac:dyDescent="0.25">
      <c r="A479" s="5">
        <v>10</v>
      </c>
      <c r="B479" s="12" t="s">
        <v>5203</v>
      </c>
      <c r="C479" s="5" t="s">
        <v>18</v>
      </c>
      <c r="D479" s="10" t="s">
        <v>5204</v>
      </c>
      <c r="E479" s="14" t="s">
        <v>2004</v>
      </c>
      <c r="F479" s="150" t="s">
        <v>5205</v>
      </c>
      <c r="G479" s="8" t="s">
        <v>5206</v>
      </c>
      <c r="H479" s="68" t="s">
        <v>5207</v>
      </c>
      <c r="I479" s="5" t="s">
        <v>1699</v>
      </c>
      <c r="J479" s="150">
        <v>41548</v>
      </c>
      <c r="K479" s="5">
        <v>13</v>
      </c>
      <c r="L479" s="5">
        <v>7</v>
      </c>
      <c r="M479" s="12" t="s">
        <v>1501</v>
      </c>
      <c r="N479" s="150" t="s">
        <v>5208</v>
      </c>
      <c r="O479" s="5" t="s">
        <v>982</v>
      </c>
      <c r="P479" s="47" t="s">
        <v>5209</v>
      </c>
      <c r="Q479" s="47" t="s">
        <v>5210</v>
      </c>
      <c r="R479" s="9"/>
      <c r="S479" s="162">
        <v>102100504676</v>
      </c>
      <c r="T479" s="20">
        <v>2004116901</v>
      </c>
      <c r="U479" s="150">
        <v>49279</v>
      </c>
      <c r="V479" s="14" t="s">
        <v>5155</v>
      </c>
      <c r="W479" s="14" t="s">
        <v>4344</v>
      </c>
      <c r="X479" s="11"/>
      <c r="Y479" s="51"/>
      <c r="Z479" s="154"/>
    </row>
    <row r="480" spans="1:26" ht="39" customHeight="1" x14ac:dyDescent="0.25">
      <c r="A480" s="5">
        <v>11</v>
      </c>
      <c r="B480" s="14" t="s">
        <v>5211</v>
      </c>
      <c r="C480" s="5" t="s">
        <v>18</v>
      </c>
      <c r="D480" s="10" t="s">
        <v>5212</v>
      </c>
      <c r="E480" s="14" t="s">
        <v>1489</v>
      </c>
      <c r="F480" s="150">
        <v>29313</v>
      </c>
      <c r="G480" s="8" t="s">
        <v>5213</v>
      </c>
      <c r="H480" s="68" t="s">
        <v>5214</v>
      </c>
      <c r="I480" s="5" t="s">
        <v>1469</v>
      </c>
      <c r="J480" s="150">
        <v>45383</v>
      </c>
      <c r="K480" s="5">
        <v>19</v>
      </c>
      <c r="L480" s="5">
        <v>3</v>
      </c>
      <c r="M480" s="12" t="s">
        <v>1501</v>
      </c>
      <c r="N480" s="150">
        <v>42795</v>
      </c>
      <c r="O480" s="5" t="s">
        <v>1028</v>
      </c>
      <c r="P480" s="157" t="s">
        <v>5215</v>
      </c>
      <c r="Q480" s="157" t="s">
        <v>5216</v>
      </c>
      <c r="R480" s="9" t="s">
        <v>5130</v>
      </c>
      <c r="S480" s="162">
        <v>102100504703</v>
      </c>
      <c r="T480" s="20">
        <v>2002048001</v>
      </c>
      <c r="U480" s="150">
        <v>53083</v>
      </c>
      <c r="V480" s="14" t="s">
        <v>5217</v>
      </c>
      <c r="W480" s="14" t="s">
        <v>5218</v>
      </c>
      <c r="X480" s="11"/>
      <c r="Y480" s="51"/>
      <c r="Z480" s="172"/>
    </row>
    <row r="481" spans="1:26" ht="39" customHeight="1" x14ac:dyDescent="0.25">
      <c r="A481" s="5">
        <v>12</v>
      </c>
      <c r="B481" s="12" t="s">
        <v>5219</v>
      </c>
      <c r="C481" s="5" t="s">
        <v>46</v>
      </c>
      <c r="D481" s="5" t="s">
        <v>5220</v>
      </c>
      <c r="E481" s="12" t="s">
        <v>1687</v>
      </c>
      <c r="F481" s="150">
        <v>27649</v>
      </c>
      <c r="G481" s="8" t="s">
        <v>5221</v>
      </c>
      <c r="H481" s="68" t="s">
        <v>5222</v>
      </c>
      <c r="I481" s="5" t="s">
        <v>1558</v>
      </c>
      <c r="J481" s="150">
        <v>45566</v>
      </c>
      <c r="K481" s="5">
        <v>16</v>
      </c>
      <c r="L481" s="5">
        <v>9</v>
      </c>
      <c r="M481" s="12" t="s">
        <v>1501</v>
      </c>
      <c r="N481" s="150">
        <v>43922</v>
      </c>
      <c r="O481" s="5" t="s">
        <v>1028</v>
      </c>
      <c r="P481" s="11" t="s">
        <v>5223</v>
      </c>
      <c r="Q481" s="11" t="s">
        <v>5224</v>
      </c>
      <c r="R481" s="9" t="s">
        <v>5225</v>
      </c>
      <c r="S481" s="162">
        <v>112100515320038</v>
      </c>
      <c r="T481" s="20">
        <v>2012097501</v>
      </c>
      <c r="U481" s="150" t="s">
        <v>5226</v>
      </c>
      <c r="V481" s="14" t="s">
        <v>5132</v>
      </c>
      <c r="W481" s="14" t="s">
        <v>5227</v>
      </c>
      <c r="X481" s="11" t="s">
        <v>5228</v>
      </c>
      <c r="Y481" s="51">
        <v>45588</v>
      </c>
      <c r="Z481" s="154"/>
    </row>
    <row r="482" spans="1:26" ht="39" customHeight="1" x14ac:dyDescent="0.25">
      <c r="A482" s="5">
        <v>13</v>
      </c>
      <c r="B482" s="14" t="s">
        <v>5229</v>
      </c>
      <c r="C482" s="5" t="s">
        <v>46</v>
      </c>
      <c r="D482" s="10" t="s">
        <v>5230</v>
      </c>
      <c r="E482" s="12" t="s">
        <v>2202</v>
      </c>
      <c r="F482" s="150">
        <v>28496</v>
      </c>
      <c r="G482" s="8" t="s">
        <v>5231</v>
      </c>
      <c r="H482" s="68" t="s">
        <v>5232</v>
      </c>
      <c r="I482" s="5" t="s">
        <v>1558</v>
      </c>
      <c r="J482" s="150">
        <v>45566</v>
      </c>
      <c r="K482" s="5">
        <v>21</v>
      </c>
      <c r="L482" s="5">
        <v>10</v>
      </c>
      <c r="M482" s="12" t="s">
        <v>1501</v>
      </c>
      <c r="N482" s="150">
        <v>44682</v>
      </c>
      <c r="O482" s="5" t="s">
        <v>1028</v>
      </c>
      <c r="P482" s="157" t="s">
        <v>5233</v>
      </c>
      <c r="Q482" s="157" t="s">
        <v>5234</v>
      </c>
      <c r="R482" s="9" t="s">
        <v>5235</v>
      </c>
      <c r="S482" s="162">
        <v>102100504684</v>
      </c>
      <c r="T482" s="166">
        <v>2006017801</v>
      </c>
      <c r="U482" s="150">
        <v>52263</v>
      </c>
      <c r="V482" s="14" t="s">
        <v>5143</v>
      </c>
      <c r="W482" s="14" t="s">
        <v>5144</v>
      </c>
      <c r="X482" s="89"/>
      <c r="Y482" s="89"/>
      <c r="Z482" s="89"/>
    </row>
    <row r="483" spans="1:26" ht="39" customHeight="1" x14ac:dyDescent="0.25">
      <c r="A483" s="5">
        <v>14</v>
      </c>
      <c r="B483" s="14" t="s">
        <v>5236</v>
      </c>
      <c r="C483" s="5" t="s">
        <v>18</v>
      </c>
      <c r="D483" s="5" t="s">
        <v>5237</v>
      </c>
      <c r="E483" s="14" t="s">
        <v>1934</v>
      </c>
      <c r="F483" s="150">
        <v>27691</v>
      </c>
      <c r="G483" s="8" t="s">
        <v>5238</v>
      </c>
      <c r="H483" s="68" t="s">
        <v>5239</v>
      </c>
      <c r="I483" s="5" t="s">
        <v>1558</v>
      </c>
      <c r="J483" s="150">
        <v>45566</v>
      </c>
      <c r="K483" s="5">
        <v>17</v>
      </c>
      <c r="L483" s="5">
        <v>7</v>
      </c>
      <c r="M483" s="12" t="s">
        <v>1501</v>
      </c>
      <c r="N483" s="150">
        <v>44682</v>
      </c>
      <c r="O483" s="5" t="s">
        <v>1028</v>
      </c>
      <c r="P483" s="11" t="s">
        <v>5240</v>
      </c>
      <c r="Q483" s="11" t="s">
        <v>5241</v>
      </c>
      <c r="R483" s="168" t="s">
        <v>5242</v>
      </c>
      <c r="S483" s="162">
        <v>142100512843</v>
      </c>
      <c r="T483" s="20" t="s">
        <v>5243</v>
      </c>
      <c r="U483" s="150">
        <v>51441</v>
      </c>
      <c r="V483" s="14" t="s">
        <v>5143</v>
      </c>
      <c r="W483" s="14" t="s">
        <v>5244</v>
      </c>
      <c r="X483" s="89"/>
      <c r="Y483" s="89"/>
      <c r="Z483" s="89"/>
    </row>
    <row r="484" spans="1:26" ht="39" customHeight="1" x14ac:dyDescent="0.25">
      <c r="A484" s="5">
        <v>15</v>
      </c>
      <c r="B484" s="14" t="s">
        <v>5245</v>
      </c>
      <c r="C484" s="5" t="s">
        <v>18</v>
      </c>
      <c r="D484" s="10" t="s">
        <v>5246</v>
      </c>
      <c r="E484" s="14" t="s">
        <v>1696</v>
      </c>
      <c r="F484" s="150">
        <v>29177</v>
      </c>
      <c r="G484" s="8" t="s">
        <v>5247</v>
      </c>
      <c r="H484" s="68" t="s">
        <v>5248</v>
      </c>
      <c r="I484" s="5" t="s">
        <v>1699</v>
      </c>
      <c r="J484" s="150">
        <v>45383</v>
      </c>
      <c r="K484" s="5">
        <v>19</v>
      </c>
      <c r="L484" s="5">
        <v>3</v>
      </c>
      <c r="M484" s="12" t="s">
        <v>1501</v>
      </c>
      <c r="N484" s="150">
        <v>44470</v>
      </c>
      <c r="O484" s="5" t="s">
        <v>1028</v>
      </c>
      <c r="P484" s="157" t="s">
        <v>5249</v>
      </c>
      <c r="Q484" s="11" t="s">
        <v>5250</v>
      </c>
      <c r="R484" s="9" t="s">
        <v>5251</v>
      </c>
      <c r="S484" s="162">
        <v>122100509813</v>
      </c>
      <c r="T484" s="20">
        <v>2018117901</v>
      </c>
      <c r="U484" s="150">
        <v>52932</v>
      </c>
      <c r="V484" s="14" t="s">
        <v>5143</v>
      </c>
      <c r="W484" s="14" t="s">
        <v>5252</v>
      </c>
      <c r="X484" s="9" t="s">
        <v>5253</v>
      </c>
      <c r="Y484" s="51">
        <v>45579</v>
      </c>
      <c r="Z484" s="154"/>
    </row>
    <row r="485" spans="1:26" ht="39" customHeight="1" x14ac:dyDescent="0.25">
      <c r="A485" s="5">
        <v>16</v>
      </c>
      <c r="B485" s="14" t="s">
        <v>5254</v>
      </c>
      <c r="C485" s="5" t="s">
        <v>18</v>
      </c>
      <c r="D485" s="10" t="s">
        <v>5255</v>
      </c>
      <c r="E485" s="14" t="s">
        <v>1489</v>
      </c>
      <c r="F485" s="150">
        <v>29884</v>
      </c>
      <c r="G485" s="8" t="s">
        <v>5256</v>
      </c>
      <c r="H485" s="68" t="s">
        <v>5257</v>
      </c>
      <c r="I485" s="5" t="s">
        <v>1699</v>
      </c>
      <c r="J485" s="150">
        <v>44835</v>
      </c>
      <c r="K485" s="5">
        <v>12</v>
      </c>
      <c r="L485" s="5">
        <v>10</v>
      </c>
      <c r="M485" s="12" t="s">
        <v>1501</v>
      </c>
      <c r="N485" s="150">
        <v>44713</v>
      </c>
      <c r="O485" s="5" t="s">
        <v>1028</v>
      </c>
      <c r="P485" s="167" t="s">
        <v>5258</v>
      </c>
      <c r="Q485" s="167" t="s">
        <v>5259</v>
      </c>
      <c r="R485" s="168" t="s">
        <v>5260</v>
      </c>
      <c r="S485" s="162">
        <v>132100511998</v>
      </c>
      <c r="T485" s="20">
        <v>2025108101</v>
      </c>
      <c r="U485" s="150">
        <v>53632</v>
      </c>
      <c r="V485" s="14" t="s">
        <v>5166</v>
      </c>
      <c r="W485" s="14" t="s">
        <v>5261</v>
      </c>
      <c r="X485" s="89"/>
      <c r="Y485" s="89"/>
      <c r="Z485" s="89"/>
    </row>
    <row r="486" spans="1:26" ht="39" customHeight="1" x14ac:dyDescent="0.25">
      <c r="A486" s="5">
        <v>17</v>
      </c>
      <c r="B486" s="12" t="s">
        <v>5262</v>
      </c>
      <c r="C486" s="5" t="s">
        <v>46</v>
      </c>
      <c r="D486" s="10" t="s">
        <v>5263</v>
      </c>
      <c r="E486" s="14" t="s">
        <v>4451</v>
      </c>
      <c r="F486" s="150">
        <v>28002</v>
      </c>
      <c r="G486" s="8" t="s">
        <v>5264</v>
      </c>
      <c r="H486" s="68" t="s">
        <v>5265</v>
      </c>
      <c r="I486" s="5" t="s">
        <v>1738</v>
      </c>
      <c r="J486" s="150">
        <v>45383</v>
      </c>
      <c r="K486" s="5">
        <v>20</v>
      </c>
      <c r="L486" s="5">
        <v>4</v>
      </c>
      <c r="M486" s="12" t="s">
        <v>1739</v>
      </c>
      <c r="N486" s="150" t="s">
        <v>3906</v>
      </c>
      <c r="O486" s="5" t="s">
        <v>1028</v>
      </c>
      <c r="P486" s="47" t="s">
        <v>5266</v>
      </c>
      <c r="Q486" s="47" t="s">
        <v>5267</v>
      </c>
      <c r="R486" s="9" t="s">
        <v>5268</v>
      </c>
      <c r="S486" s="162">
        <v>102100504656</v>
      </c>
      <c r="T486" s="20">
        <v>2030087501</v>
      </c>
      <c r="U486" s="150">
        <v>51745</v>
      </c>
      <c r="V486" s="14" t="s">
        <v>5155</v>
      </c>
      <c r="W486" s="14" t="s">
        <v>5269</v>
      </c>
      <c r="X486" s="11" t="s">
        <v>5270</v>
      </c>
      <c r="Y486" s="5"/>
      <c r="Z486" s="160"/>
    </row>
    <row r="487" spans="1:26" ht="39" customHeight="1" x14ac:dyDescent="0.25">
      <c r="A487" s="5">
        <v>18</v>
      </c>
      <c r="B487" s="12" t="s">
        <v>5271</v>
      </c>
      <c r="C487" s="5" t="s">
        <v>46</v>
      </c>
      <c r="D487" s="10" t="s">
        <v>5272</v>
      </c>
      <c r="E487" s="14" t="s">
        <v>1489</v>
      </c>
      <c r="F487" s="150" t="s">
        <v>5273</v>
      </c>
      <c r="G487" s="8" t="s">
        <v>5274</v>
      </c>
      <c r="H487" s="68" t="s">
        <v>5275</v>
      </c>
      <c r="I487" s="5" t="s">
        <v>1738</v>
      </c>
      <c r="J487" s="150">
        <v>41913</v>
      </c>
      <c r="K487" s="5">
        <v>14</v>
      </c>
      <c r="L487" s="5">
        <v>7</v>
      </c>
      <c r="M487" s="12" t="s">
        <v>1739</v>
      </c>
      <c r="N487" s="150" t="s">
        <v>5276</v>
      </c>
      <c r="O487" s="5" t="s">
        <v>1028</v>
      </c>
      <c r="P487" s="47" t="s">
        <v>5277</v>
      </c>
      <c r="Q487" s="47" t="s">
        <v>3987</v>
      </c>
      <c r="R487" s="9" t="s">
        <v>5278</v>
      </c>
      <c r="S487" s="162">
        <v>102100504644</v>
      </c>
      <c r="T487" s="20">
        <v>2015057501</v>
      </c>
      <c r="U487" s="150">
        <v>51288</v>
      </c>
      <c r="V487" s="14" t="s">
        <v>5122</v>
      </c>
      <c r="W487" s="14" t="s">
        <v>5123</v>
      </c>
      <c r="X487" s="11" t="s">
        <v>5279</v>
      </c>
      <c r="Y487" s="51">
        <v>45576</v>
      </c>
      <c r="Z487" s="154"/>
    </row>
    <row r="488" spans="1:26" ht="39" customHeight="1" x14ac:dyDescent="0.25">
      <c r="A488" s="5">
        <v>19</v>
      </c>
      <c r="B488" s="14" t="s">
        <v>5280</v>
      </c>
      <c r="C488" s="5" t="s">
        <v>18</v>
      </c>
      <c r="D488" s="10" t="s">
        <v>5281</v>
      </c>
      <c r="E488" s="14" t="s">
        <v>1827</v>
      </c>
      <c r="F488" s="150">
        <v>25973</v>
      </c>
      <c r="G488" s="8" t="s">
        <v>5282</v>
      </c>
      <c r="H488" s="68" t="s">
        <v>5283</v>
      </c>
      <c r="I488" s="5" t="s">
        <v>1738</v>
      </c>
      <c r="J488" s="150">
        <v>43922</v>
      </c>
      <c r="K488" s="5">
        <v>15</v>
      </c>
      <c r="L488" s="5">
        <v>3</v>
      </c>
      <c r="M488" s="12" t="s">
        <v>1739</v>
      </c>
      <c r="N488" s="150">
        <v>40391</v>
      </c>
      <c r="O488" s="5" t="s">
        <v>1028</v>
      </c>
      <c r="P488" s="157" t="s">
        <v>5284</v>
      </c>
      <c r="Q488" s="157" t="s">
        <v>5285</v>
      </c>
      <c r="R488" s="9" t="s">
        <v>5286</v>
      </c>
      <c r="S488" s="162">
        <v>102100504759</v>
      </c>
      <c r="T488" s="20">
        <v>2009027101</v>
      </c>
      <c r="U488" s="150">
        <v>49735</v>
      </c>
      <c r="V488" s="14" t="s">
        <v>5193</v>
      </c>
      <c r="W488" s="14" t="s">
        <v>5287</v>
      </c>
      <c r="X488" s="11" t="s">
        <v>5288</v>
      </c>
      <c r="Y488" s="51">
        <v>45588</v>
      </c>
      <c r="Z488" s="154"/>
    </row>
    <row r="489" spans="1:26" ht="39" customHeight="1" x14ac:dyDescent="0.25">
      <c r="A489" s="5">
        <v>20</v>
      </c>
      <c r="B489" s="14" t="s">
        <v>5289</v>
      </c>
      <c r="C489" s="5" t="s">
        <v>18</v>
      </c>
      <c r="D489" s="10" t="s">
        <v>5290</v>
      </c>
      <c r="E489" s="12" t="s">
        <v>1942</v>
      </c>
      <c r="F489" s="150">
        <v>28423</v>
      </c>
      <c r="G489" s="8" t="s">
        <v>5291</v>
      </c>
      <c r="H489" s="68" t="s">
        <v>5292</v>
      </c>
      <c r="I489" s="5" t="s">
        <v>1738</v>
      </c>
      <c r="J489" s="150">
        <v>45383</v>
      </c>
      <c r="K489" s="5">
        <v>19</v>
      </c>
      <c r="L489" s="5">
        <v>3</v>
      </c>
      <c r="M489" s="12" t="s">
        <v>1739</v>
      </c>
      <c r="N489" s="150">
        <v>40391</v>
      </c>
      <c r="O489" s="5" t="s">
        <v>1028</v>
      </c>
      <c r="P489" s="157" t="s">
        <v>5293</v>
      </c>
      <c r="Q489" s="157" t="s">
        <v>5294</v>
      </c>
      <c r="R489" s="9" t="s">
        <v>5295</v>
      </c>
      <c r="S489" s="162">
        <v>102100504767</v>
      </c>
      <c r="T489" s="20">
        <v>2025107701</v>
      </c>
      <c r="U489" s="150">
        <v>52171</v>
      </c>
      <c r="V489" s="14" t="s">
        <v>5296</v>
      </c>
      <c r="W489" s="14" t="s">
        <v>5297</v>
      </c>
      <c r="X489" s="11"/>
      <c r="Y489" s="51"/>
      <c r="Z489" s="154"/>
    </row>
    <row r="490" spans="1:26" ht="39" customHeight="1" x14ac:dyDescent="0.25">
      <c r="A490" s="5">
        <v>21</v>
      </c>
      <c r="B490" s="14" t="s">
        <v>5298</v>
      </c>
      <c r="C490" s="5" t="s">
        <v>46</v>
      </c>
      <c r="D490" s="10" t="s">
        <v>5299</v>
      </c>
      <c r="E490" s="14" t="s">
        <v>2486</v>
      </c>
      <c r="F490" s="150">
        <v>28940</v>
      </c>
      <c r="G490" s="8" t="s">
        <v>5300</v>
      </c>
      <c r="H490" s="68" t="s">
        <v>5301</v>
      </c>
      <c r="I490" s="5" t="s">
        <v>1738</v>
      </c>
      <c r="J490" s="150">
        <v>42461</v>
      </c>
      <c r="K490" s="5">
        <v>10</v>
      </c>
      <c r="L490" s="5">
        <v>0</v>
      </c>
      <c r="M490" s="12" t="s">
        <v>1739</v>
      </c>
      <c r="N490" s="150" t="s">
        <v>5302</v>
      </c>
      <c r="O490" s="5" t="s">
        <v>1028</v>
      </c>
      <c r="P490" s="157" t="s">
        <v>5303</v>
      </c>
      <c r="Q490" s="157" t="s">
        <v>5304</v>
      </c>
      <c r="R490" s="9" t="s">
        <v>5305</v>
      </c>
      <c r="S490" s="162">
        <v>102100504666</v>
      </c>
      <c r="T490" s="20">
        <v>2026037901</v>
      </c>
      <c r="U490" s="150">
        <v>52779</v>
      </c>
      <c r="V490" s="14" t="s">
        <v>5166</v>
      </c>
      <c r="W490" s="14" t="s">
        <v>5306</v>
      </c>
      <c r="X490" s="11" t="s">
        <v>5307</v>
      </c>
      <c r="Y490" s="51">
        <v>45588</v>
      </c>
      <c r="Z490" s="154" t="s">
        <v>1084</v>
      </c>
    </row>
    <row r="491" spans="1:26" ht="39" customHeight="1" x14ac:dyDescent="0.25">
      <c r="A491" s="5">
        <v>22</v>
      </c>
      <c r="B491" s="14" t="s">
        <v>5308</v>
      </c>
      <c r="C491" s="5" t="s">
        <v>46</v>
      </c>
      <c r="D491" s="10" t="s">
        <v>5309</v>
      </c>
      <c r="E491" s="14" t="s">
        <v>1950</v>
      </c>
      <c r="F491" s="150" t="s">
        <v>5310</v>
      </c>
      <c r="G491" s="8" t="s">
        <v>5311</v>
      </c>
      <c r="H491" s="68" t="s">
        <v>5312</v>
      </c>
      <c r="I491" s="5" t="s">
        <v>1738</v>
      </c>
      <c r="J491" s="150">
        <v>45383</v>
      </c>
      <c r="K491" s="5">
        <v>18</v>
      </c>
      <c r="L491" s="5">
        <v>0</v>
      </c>
      <c r="M491" s="12" t="s">
        <v>1739</v>
      </c>
      <c r="N491" s="150" t="s">
        <v>5181</v>
      </c>
      <c r="O491" s="5" t="s">
        <v>1028</v>
      </c>
      <c r="P491" s="157" t="s">
        <v>5313</v>
      </c>
      <c r="Q491" s="157" t="s">
        <v>5314</v>
      </c>
      <c r="R491" s="9" t="s">
        <v>5315</v>
      </c>
      <c r="S491" s="162">
        <v>102100504771</v>
      </c>
      <c r="T491" s="20">
        <v>2026057601</v>
      </c>
      <c r="U491" s="150">
        <v>51653</v>
      </c>
      <c r="V491" s="11" t="s">
        <v>5296</v>
      </c>
      <c r="W491" s="14" t="s">
        <v>5316</v>
      </c>
      <c r="X491" s="9" t="s">
        <v>5317</v>
      </c>
      <c r="Y491" s="51">
        <v>45588</v>
      </c>
      <c r="Z491" s="172"/>
    </row>
    <row r="492" spans="1:26" ht="39" customHeight="1" x14ac:dyDescent="0.25">
      <c r="A492" s="5">
        <v>23</v>
      </c>
      <c r="B492" s="14" t="s">
        <v>5318</v>
      </c>
      <c r="C492" s="5" t="s">
        <v>18</v>
      </c>
      <c r="D492" s="5" t="s">
        <v>5319</v>
      </c>
      <c r="E492" s="14" t="s">
        <v>3058</v>
      </c>
      <c r="F492" s="150" t="s">
        <v>5320</v>
      </c>
      <c r="G492" s="8" t="s">
        <v>5321</v>
      </c>
      <c r="H492" s="68" t="s">
        <v>5322</v>
      </c>
      <c r="I492" s="5" t="s">
        <v>1738</v>
      </c>
      <c r="J492" s="150">
        <v>42095</v>
      </c>
      <c r="K492" s="5">
        <v>7</v>
      </c>
      <c r="L492" s="5">
        <v>3</v>
      </c>
      <c r="M492" s="12" t="s">
        <v>1739</v>
      </c>
      <c r="N492" s="150" t="s">
        <v>3922</v>
      </c>
      <c r="O492" s="5" t="s">
        <v>982</v>
      </c>
      <c r="P492" s="9" t="s">
        <v>5323</v>
      </c>
      <c r="Q492" s="9" t="s">
        <v>5324</v>
      </c>
      <c r="R492" s="9"/>
      <c r="S492" s="162">
        <v>112100515320036</v>
      </c>
      <c r="T492" s="20">
        <v>2022097901</v>
      </c>
      <c r="U492" s="150">
        <v>52871</v>
      </c>
      <c r="V492" s="14" t="s">
        <v>5132</v>
      </c>
      <c r="W492" s="14" t="s">
        <v>5227</v>
      </c>
      <c r="X492" s="11"/>
      <c r="Y492" s="51"/>
      <c r="Z492" s="154"/>
    </row>
    <row r="493" spans="1:26" ht="39" customHeight="1" x14ac:dyDescent="0.25">
      <c r="A493" s="5">
        <v>24</v>
      </c>
      <c r="B493" s="14" t="s">
        <v>5325</v>
      </c>
      <c r="C493" s="5" t="s">
        <v>46</v>
      </c>
      <c r="D493" s="5" t="s">
        <v>5326</v>
      </c>
      <c r="E493" s="14" t="s">
        <v>2184</v>
      </c>
      <c r="F493" s="150" t="s">
        <v>5327</v>
      </c>
      <c r="G493" s="8" t="s">
        <v>5328</v>
      </c>
      <c r="H493" s="68" t="s">
        <v>5329</v>
      </c>
      <c r="I493" s="5" t="s">
        <v>1738</v>
      </c>
      <c r="J493" s="150">
        <v>45383</v>
      </c>
      <c r="K493" s="5">
        <v>16</v>
      </c>
      <c r="L493" s="5">
        <v>3</v>
      </c>
      <c r="M493" s="12" t="s">
        <v>1501</v>
      </c>
      <c r="N493" s="150" t="s">
        <v>5139</v>
      </c>
      <c r="O493" s="5" t="s">
        <v>1028</v>
      </c>
      <c r="P493" s="157" t="s">
        <v>5330</v>
      </c>
      <c r="Q493" s="157" t="s">
        <v>5314</v>
      </c>
      <c r="R493" s="9" t="s">
        <v>5331</v>
      </c>
      <c r="S493" s="162">
        <v>112100511510014</v>
      </c>
      <c r="T493" s="20">
        <v>2026018201</v>
      </c>
      <c r="U493" s="150">
        <v>53724</v>
      </c>
      <c r="V493" s="14" t="s">
        <v>5296</v>
      </c>
      <c r="W493" s="14" t="s">
        <v>5332</v>
      </c>
      <c r="X493" s="11" t="s">
        <v>5333</v>
      </c>
      <c r="Y493" s="51">
        <v>45579</v>
      </c>
      <c r="Z493" s="154"/>
    </row>
    <row r="494" spans="1:26" ht="39" customHeight="1" x14ac:dyDescent="0.25">
      <c r="A494" s="5">
        <v>25</v>
      </c>
      <c r="B494" s="12" t="s">
        <v>5334</v>
      </c>
      <c r="C494" s="5" t="s">
        <v>46</v>
      </c>
      <c r="D494" s="10" t="s">
        <v>5335</v>
      </c>
      <c r="E494" s="14" t="s">
        <v>2042</v>
      </c>
      <c r="F494" s="150" t="s">
        <v>5336</v>
      </c>
      <c r="G494" s="8" t="s">
        <v>5337</v>
      </c>
      <c r="H494" s="68" t="s">
        <v>5338</v>
      </c>
      <c r="I494" s="5" t="s">
        <v>1738</v>
      </c>
      <c r="J494" s="150">
        <v>45383</v>
      </c>
      <c r="K494" s="5">
        <v>24</v>
      </c>
      <c r="L494" s="5">
        <v>1</v>
      </c>
      <c r="M494" s="12" t="s">
        <v>1739</v>
      </c>
      <c r="N494" s="150" t="s">
        <v>5339</v>
      </c>
      <c r="O494" s="5" t="s">
        <v>1028</v>
      </c>
      <c r="P494" s="47" t="s">
        <v>5340</v>
      </c>
      <c r="Q494" s="47" t="s">
        <v>5341</v>
      </c>
      <c r="R494" s="9" t="s">
        <v>5342</v>
      </c>
      <c r="S494" s="162">
        <v>102100504754</v>
      </c>
      <c r="T494" s="20">
        <v>2003107402</v>
      </c>
      <c r="U494" s="150">
        <v>51075</v>
      </c>
      <c r="V494" s="11" t="s">
        <v>5132</v>
      </c>
      <c r="W494" s="14" t="s">
        <v>3909</v>
      </c>
      <c r="X494" s="11"/>
      <c r="Y494" s="5"/>
      <c r="Z494" s="154"/>
    </row>
    <row r="495" spans="1:26" ht="39" customHeight="1" x14ac:dyDescent="0.25">
      <c r="A495" s="5">
        <v>26</v>
      </c>
      <c r="B495" s="14" t="s">
        <v>5343</v>
      </c>
      <c r="C495" s="5" t="s">
        <v>18</v>
      </c>
      <c r="D495" s="10" t="s">
        <v>5344</v>
      </c>
      <c r="E495" s="14" t="s">
        <v>1519</v>
      </c>
      <c r="F495" s="150">
        <v>28620</v>
      </c>
      <c r="G495" s="8" t="s">
        <v>5345</v>
      </c>
      <c r="H495" s="68" t="s">
        <v>5346</v>
      </c>
      <c r="I495" s="5" t="s">
        <v>1738</v>
      </c>
      <c r="J495" s="150">
        <v>45383</v>
      </c>
      <c r="K495" s="5">
        <v>19</v>
      </c>
      <c r="L495" s="5">
        <v>3</v>
      </c>
      <c r="M495" s="12" t="s">
        <v>1739</v>
      </c>
      <c r="N495" s="150">
        <v>41275</v>
      </c>
      <c r="O495" s="5" t="s">
        <v>982</v>
      </c>
      <c r="P495" s="157" t="s">
        <v>5347</v>
      </c>
      <c r="Q495" s="11" t="s">
        <v>5348</v>
      </c>
      <c r="R495" s="9"/>
      <c r="S495" s="162">
        <v>112100515210035</v>
      </c>
      <c r="T495" s="20">
        <v>2010057801</v>
      </c>
      <c r="U495" s="150">
        <v>52383</v>
      </c>
      <c r="V495" s="14" t="s">
        <v>5296</v>
      </c>
      <c r="W495" s="14" t="s">
        <v>5349</v>
      </c>
      <c r="X495" s="12"/>
      <c r="Y495" s="12"/>
      <c r="Z495" s="154"/>
    </row>
    <row r="496" spans="1:26" ht="39" customHeight="1" x14ac:dyDescent="0.25">
      <c r="A496" s="5">
        <v>27</v>
      </c>
      <c r="B496" s="14" t="s">
        <v>5350</v>
      </c>
      <c r="C496" s="5" t="s">
        <v>18</v>
      </c>
      <c r="D496" s="5" t="s">
        <v>5351</v>
      </c>
      <c r="E496" s="14" t="s">
        <v>1648</v>
      </c>
      <c r="F496" s="150">
        <v>29346</v>
      </c>
      <c r="G496" s="8" t="s">
        <v>5352</v>
      </c>
      <c r="H496" s="68" t="s">
        <v>5353</v>
      </c>
      <c r="I496" s="5" t="s">
        <v>1738</v>
      </c>
      <c r="J496" s="150">
        <v>45566</v>
      </c>
      <c r="K496" s="5">
        <v>16</v>
      </c>
      <c r="L496" s="5">
        <v>9</v>
      </c>
      <c r="M496" s="12" t="s">
        <v>1739</v>
      </c>
      <c r="N496" s="150" t="s">
        <v>5354</v>
      </c>
      <c r="O496" s="5" t="s">
        <v>1028</v>
      </c>
      <c r="P496" s="11" t="s">
        <v>5355</v>
      </c>
      <c r="Q496" s="11" t="s">
        <v>5324</v>
      </c>
      <c r="R496" s="9" t="s">
        <v>5356</v>
      </c>
      <c r="S496" s="162">
        <v>112100515320037</v>
      </c>
      <c r="T496" s="20">
        <v>2005058001</v>
      </c>
      <c r="U496" s="5" t="s">
        <v>5357</v>
      </c>
      <c r="V496" s="14" t="s">
        <v>5132</v>
      </c>
      <c r="W496" s="14" t="s">
        <v>5218</v>
      </c>
      <c r="X496" s="89"/>
      <c r="Y496" s="89"/>
      <c r="Z496" s="89"/>
    </row>
    <row r="497" spans="1:26" ht="39" customHeight="1" x14ac:dyDescent="0.25">
      <c r="A497" s="5">
        <v>28</v>
      </c>
      <c r="B497" s="14" t="s">
        <v>5358</v>
      </c>
      <c r="C497" s="5" t="s">
        <v>18</v>
      </c>
      <c r="D497" s="10" t="s">
        <v>5359</v>
      </c>
      <c r="E497" s="14" t="s">
        <v>1489</v>
      </c>
      <c r="F497" s="150">
        <v>30119</v>
      </c>
      <c r="G497" s="8" t="s">
        <v>5360</v>
      </c>
      <c r="H497" s="68" t="s">
        <v>5329</v>
      </c>
      <c r="I497" s="5" t="s">
        <v>1699</v>
      </c>
      <c r="J497" s="150">
        <v>45383</v>
      </c>
      <c r="K497" s="5">
        <v>14</v>
      </c>
      <c r="L497" s="5">
        <v>4</v>
      </c>
      <c r="M497" s="12" t="s">
        <v>1501</v>
      </c>
      <c r="N497" s="150">
        <v>45139</v>
      </c>
      <c r="O497" s="5" t="s">
        <v>1028</v>
      </c>
      <c r="P497" s="11" t="s">
        <v>5361</v>
      </c>
      <c r="Q497" s="11" t="s">
        <v>5362</v>
      </c>
      <c r="R497" s="168" t="s">
        <v>5363</v>
      </c>
      <c r="S497" s="162">
        <v>132100511982</v>
      </c>
      <c r="T497" s="20">
        <v>2017068201</v>
      </c>
      <c r="U497" s="150">
        <v>53874</v>
      </c>
      <c r="V497" s="14" t="s">
        <v>5132</v>
      </c>
      <c r="W497" s="14" t="s">
        <v>5218</v>
      </c>
      <c r="X497" s="11" t="s">
        <v>5364</v>
      </c>
      <c r="Y497" s="51">
        <v>45576</v>
      </c>
      <c r="Z497" s="154" t="s">
        <v>1084</v>
      </c>
    </row>
    <row r="498" spans="1:26" ht="39" customHeight="1" x14ac:dyDescent="0.25">
      <c r="A498" s="5">
        <v>29</v>
      </c>
      <c r="B498" s="14" t="s">
        <v>5365</v>
      </c>
      <c r="C498" s="5" t="s">
        <v>18</v>
      </c>
      <c r="D498" s="5" t="s">
        <v>5366</v>
      </c>
      <c r="E498" s="14" t="s">
        <v>1566</v>
      </c>
      <c r="F498" s="150">
        <v>30075</v>
      </c>
      <c r="G498" s="8" t="s">
        <v>5367</v>
      </c>
      <c r="H498" s="68" t="s">
        <v>5368</v>
      </c>
      <c r="I498" s="5" t="s">
        <v>1738</v>
      </c>
      <c r="J498" s="150">
        <v>43739</v>
      </c>
      <c r="K498" s="5">
        <v>9</v>
      </c>
      <c r="L498" s="5">
        <v>10</v>
      </c>
      <c r="M498" s="12" t="s">
        <v>1739</v>
      </c>
      <c r="N498" s="150">
        <v>41730</v>
      </c>
      <c r="O498" s="5" t="s">
        <v>982</v>
      </c>
      <c r="P498" s="11" t="s">
        <v>5369</v>
      </c>
      <c r="Q498" s="11" t="s">
        <v>5370</v>
      </c>
      <c r="R498" s="168" t="s">
        <v>1084</v>
      </c>
      <c r="S498" s="162">
        <v>132100511967</v>
      </c>
      <c r="T498" s="20">
        <v>2004058202</v>
      </c>
      <c r="U498" s="150">
        <v>53844</v>
      </c>
      <c r="V498" s="14" t="s">
        <v>5155</v>
      </c>
      <c r="W498" s="14" t="s">
        <v>5156</v>
      </c>
      <c r="X498" s="11" t="s">
        <v>5371</v>
      </c>
      <c r="Y498" s="51">
        <v>44827</v>
      </c>
      <c r="Z498" s="154"/>
    </row>
    <row r="499" spans="1:26" ht="39" customHeight="1" x14ac:dyDescent="0.25">
      <c r="A499" s="5">
        <v>30</v>
      </c>
      <c r="B499" s="12" t="s">
        <v>5372</v>
      </c>
      <c r="C499" s="5" t="s">
        <v>18</v>
      </c>
      <c r="D499" s="5" t="s">
        <v>5373</v>
      </c>
      <c r="E499" s="12" t="s">
        <v>1566</v>
      </c>
      <c r="F499" s="150">
        <v>29578</v>
      </c>
      <c r="G499" s="8" t="s">
        <v>5374</v>
      </c>
      <c r="H499" s="68" t="s">
        <v>5375</v>
      </c>
      <c r="I499" s="5" t="s">
        <v>1738</v>
      </c>
      <c r="J499" s="161">
        <v>45444</v>
      </c>
      <c r="K499" s="10">
        <v>15</v>
      </c>
      <c r="L499" s="10">
        <v>5</v>
      </c>
      <c r="M499" s="12" t="s">
        <v>1739</v>
      </c>
      <c r="N499" s="150">
        <v>41821</v>
      </c>
      <c r="O499" s="5" t="s">
        <v>982</v>
      </c>
      <c r="P499" s="9" t="s">
        <v>5376</v>
      </c>
      <c r="Q499" s="9" t="s">
        <v>5377</v>
      </c>
      <c r="R499" s="9"/>
      <c r="S499" s="33">
        <v>132100511984</v>
      </c>
      <c r="T499" s="20">
        <v>2023128001</v>
      </c>
      <c r="U499" s="150">
        <v>53328</v>
      </c>
      <c r="V499" s="14" t="s">
        <v>5193</v>
      </c>
      <c r="W499" s="14" t="s">
        <v>5144</v>
      </c>
      <c r="X499" s="89"/>
      <c r="Y499" s="51" t="s">
        <v>1084</v>
      </c>
      <c r="Z499" s="164"/>
    </row>
    <row r="500" spans="1:26" ht="39" customHeight="1" x14ac:dyDescent="0.25">
      <c r="A500" s="5">
        <v>31</v>
      </c>
      <c r="B500" s="12" t="s">
        <v>5378</v>
      </c>
      <c r="C500" s="5" t="s">
        <v>46</v>
      </c>
      <c r="D500" s="5" t="s">
        <v>5379</v>
      </c>
      <c r="E500" s="12" t="s">
        <v>2088</v>
      </c>
      <c r="F500" s="150">
        <v>29772</v>
      </c>
      <c r="G500" s="8" t="s">
        <v>5380</v>
      </c>
      <c r="H500" s="68" t="s">
        <v>5381</v>
      </c>
      <c r="I500" s="5" t="s">
        <v>1738</v>
      </c>
      <c r="J500" s="150" t="s">
        <v>1728</v>
      </c>
      <c r="K500" s="5">
        <v>16</v>
      </c>
      <c r="L500" s="5">
        <v>3</v>
      </c>
      <c r="M500" s="12" t="s">
        <v>1739</v>
      </c>
      <c r="N500" s="150">
        <v>41883</v>
      </c>
      <c r="O500" s="5" t="s">
        <v>1028</v>
      </c>
      <c r="P500" s="11" t="s">
        <v>5382</v>
      </c>
      <c r="Q500" s="11" t="s">
        <v>5383</v>
      </c>
      <c r="R500" s="9" t="s">
        <v>5384</v>
      </c>
      <c r="S500" s="162">
        <v>132100511954</v>
      </c>
      <c r="T500" s="20">
        <v>2005078102</v>
      </c>
      <c r="U500" s="150" t="s">
        <v>5385</v>
      </c>
      <c r="V500" s="14" t="s">
        <v>5122</v>
      </c>
      <c r="W500" s="14" t="s">
        <v>5386</v>
      </c>
      <c r="X500" s="11" t="s">
        <v>1084</v>
      </c>
      <c r="Y500" s="51" t="s">
        <v>1084</v>
      </c>
      <c r="Z500" s="154" t="s">
        <v>1084</v>
      </c>
    </row>
    <row r="501" spans="1:26" ht="39" customHeight="1" x14ac:dyDescent="0.25">
      <c r="A501" s="5">
        <v>32</v>
      </c>
      <c r="B501" s="14" t="s">
        <v>5387</v>
      </c>
      <c r="C501" s="5" t="s">
        <v>46</v>
      </c>
      <c r="D501" s="5" t="s">
        <v>5388</v>
      </c>
      <c r="E501" s="14" t="s">
        <v>3178</v>
      </c>
      <c r="F501" s="150" t="s">
        <v>5389</v>
      </c>
      <c r="G501" s="8" t="s">
        <v>5390</v>
      </c>
      <c r="H501" s="68" t="s">
        <v>5391</v>
      </c>
      <c r="I501" s="5" t="s">
        <v>1738</v>
      </c>
      <c r="J501" s="150" t="s">
        <v>1728</v>
      </c>
      <c r="K501" s="5">
        <v>16</v>
      </c>
      <c r="L501" s="5">
        <v>3</v>
      </c>
      <c r="M501" s="12" t="s">
        <v>1739</v>
      </c>
      <c r="N501" s="150" t="s">
        <v>5392</v>
      </c>
      <c r="O501" s="5" t="s">
        <v>982</v>
      </c>
      <c r="P501" s="157" t="s">
        <v>5277</v>
      </c>
      <c r="Q501" s="157" t="s">
        <v>5393</v>
      </c>
      <c r="R501" s="9"/>
      <c r="S501" s="162">
        <v>112100515110031</v>
      </c>
      <c r="T501" s="20">
        <v>2011067401</v>
      </c>
      <c r="U501" s="150">
        <v>50952</v>
      </c>
      <c r="V501" s="14" t="s">
        <v>5122</v>
      </c>
      <c r="W501" s="14" t="s">
        <v>5123</v>
      </c>
      <c r="X501" s="89"/>
      <c r="Y501" s="89"/>
      <c r="Z501" s="89"/>
    </row>
    <row r="502" spans="1:26" ht="34.5" customHeight="1" x14ac:dyDescent="0.25">
      <c r="A502" s="5">
        <v>33</v>
      </c>
      <c r="B502" s="14" t="s">
        <v>5394</v>
      </c>
      <c r="C502" s="5" t="s">
        <v>46</v>
      </c>
      <c r="D502" s="197" t="s">
        <v>3934</v>
      </c>
      <c r="E502" s="14" t="s">
        <v>1687</v>
      </c>
      <c r="F502" s="150">
        <v>28882</v>
      </c>
      <c r="G502" s="8" t="s">
        <v>5395</v>
      </c>
      <c r="H502" s="68" t="s">
        <v>5396</v>
      </c>
      <c r="I502" s="5" t="s">
        <v>1738</v>
      </c>
      <c r="J502" s="150">
        <v>45627</v>
      </c>
      <c r="K502" s="5">
        <v>15</v>
      </c>
      <c r="L502" s="5">
        <v>11</v>
      </c>
      <c r="M502" s="12" t="s">
        <v>1739</v>
      </c>
      <c r="N502" s="150">
        <v>41974</v>
      </c>
      <c r="O502" s="5" t="s">
        <v>982</v>
      </c>
      <c r="P502" s="11" t="s">
        <v>5397</v>
      </c>
      <c r="Q502" s="11" t="s">
        <v>5398</v>
      </c>
      <c r="R502" s="9"/>
      <c r="S502" s="162">
        <v>132100511969</v>
      </c>
      <c r="T502" s="20" t="s">
        <v>5399</v>
      </c>
      <c r="U502" s="150">
        <v>52628</v>
      </c>
      <c r="V502" s="14" t="s">
        <v>5122</v>
      </c>
      <c r="W502" s="14" t="s">
        <v>5400</v>
      </c>
      <c r="X502" s="11"/>
      <c r="Y502" s="5"/>
      <c r="Z502" s="154" t="s">
        <v>1084</v>
      </c>
    </row>
    <row r="503" spans="1:26" ht="39" customHeight="1" x14ac:dyDescent="0.25">
      <c r="A503" s="5">
        <v>34</v>
      </c>
      <c r="B503" s="14" t="s">
        <v>5401</v>
      </c>
      <c r="C503" s="5" t="s">
        <v>18</v>
      </c>
      <c r="D503" s="10" t="s">
        <v>5402</v>
      </c>
      <c r="E503" s="14" t="s">
        <v>1519</v>
      </c>
      <c r="F503" s="150">
        <v>28128</v>
      </c>
      <c r="G503" s="8" t="s">
        <v>5403</v>
      </c>
      <c r="H503" s="68" t="s">
        <v>5404</v>
      </c>
      <c r="I503" s="5" t="s">
        <v>1738</v>
      </c>
      <c r="J503" s="161">
        <v>43009</v>
      </c>
      <c r="K503" s="5">
        <v>12</v>
      </c>
      <c r="L503" s="5">
        <v>9</v>
      </c>
      <c r="M503" s="12" t="s">
        <v>1739</v>
      </c>
      <c r="N503" s="150" t="s">
        <v>5405</v>
      </c>
      <c r="O503" s="5" t="s">
        <v>1028</v>
      </c>
      <c r="P503" s="157" t="s">
        <v>5240</v>
      </c>
      <c r="Q503" s="157" t="s">
        <v>5406</v>
      </c>
      <c r="R503" s="9" t="s">
        <v>5407</v>
      </c>
      <c r="S503" s="162">
        <v>112100518130045</v>
      </c>
      <c r="T503" s="20">
        <v>2003017701</v>
      </c>
      <c r="U503" s="150">
        <v>51898</v>
      </c>
      <c r="V503" s="14" t="s">
        <v>5143</v>
      </c>
      <c r="W503" s="14" t="s">
        <v>5408</v>
      </c>
      <c r="X503" s="12"/>
      <c r="Y503" s="12"/>
      <c r="Z503" s="154"/>
    </row>
    <row r="504" spans="1:26" ht="39" customHeight="1" x14ac:dyDescent="0.25">
      <c r="A504" s="5">
        <v>35</v>
      </c>
      <c r="B504" s="14" t="s">
        <v>5409</v>
      </c>
      <c r="C504" s="5" t="s">
        <v>46</v>
      </c>
      <c r="D504" s="10" t="s">
        <v>5410</v>
      </c>
      <c r="E504" s="14" t="s">
        <v>1950</v>
      </c>
      <c r="F504" s="150">
        <v>28998</v>
      </c>
      <c r="G504" s="8" t="s">
        <v>5411</v>
      </c>
      <c r="H504" s="68" t="s">
        <v>5412</v>
      </c>
      <c r="I504" s="5" t="s">
        <v>1738</v>
      </c>
      <c r="J504" s="161">
        <v>44105</v>
      </c>
      <c r="K504" s="10">
        <v>11</v>
      </c>
      <c r="L504" s="10">
        <v>9</v>
      </c>
      <c r="M504" s="12" t="s">
        <v>1739</v>
      </c>
      <c r="N504" s="150">
        <v>42125</v>
      </c>
      <c r="O504" s="5" t="s">
        <v>982</v>
      </c>
      <c r="P504" s="167" t="s">
        <v>5413</v>
      </c>
      <c r="Q504" s="167" t="s">
        <v>5414</v>
      </c>
      <c r="R504" s="168" t="s">
        <v>1084</v>
      </c>
      <c r="S504" s="33">
        <v>132100511980</v>
      </c>
      <c r="T504" s="20">
        <v>2023057901</v>
      </c>
      <c r="U504" s="150">
        <v>52749</v>
      </c>
      <c r="V504" s="14" t="s">
        <v>5122</v>
      </c>
      <c r="W504" s="14" t="s">
        <v>3990</v>
      </c>
      <c r="X504" s="89"/>
      <c r="Y504" s="89"/>
      <c r="Z504" s="89"/>
    </row>
    <row r="505" spans="1:26" ht="39" customHeight="1" x14ac:dyDescent="0.25">
      <c r="A505" s="5">
        <v>36</v>
      </c>
      <c r="B505" s="14" t="s">
        <v>5415</v>
      </c>
      <c r="C505" s="5" t="s">
        <v>18</v>
      </c>
      <c r="D505" s="10" t="s">
        <v>5416</v>
      </c>
      <c r="E505" s="14" t="s">
        <v>1687</v>
      </c>
      <c r="F505" s="150">
        <v>30039</v>
      </c>
      <c r="G505" s="8" t="s">
        <v>5417</v>
      </c>
      <c r="H505" s="68" t="s">
        <v>5418</v>
      </c>
      <c r="I505" s="5" t="s">
        <v>1738</v>
      </c>
      <c r="J505" s="150">
        <v>43374</v>
      </c>
      <c r="K505" s="5">
        <v>7</v>
      </c>
      <c r="L505" s="5">
        <v>9</v>
      </c>
      <c r="M505" s="12" t="s">
        <v>1739</v>
      </c>
      <c r="N505" s="150">
        <v>42125</v>
      </c>
      <c r="O505" s="5" t="s">
        <v>982</v>
      </c>
      <c r="P505" s="11" t="s">
        <v>5419</v>
      </c>
      <c r="Q505" s="11" t="s">
        <v>5420</v>
      </c>
      <c r="R505" s="168" t="s">
        <v>1084</v>
      </c>
      <c r="S505" s="162">
        <v>132100511962</v>
      </c>
      <c r="T505" s="20" t="s">
        <v>5421</v>
      </c>
      <c r="U505" s="150">
        <v>53783</v>
      </c>
      <c r="V505" s="14" t="s">
        <v>5155</v>
      </c>
      <c r="W505" s="14" t="s">
        <v>5422</v>
      </c>
      <c r="X505" s="12"/>
      <c r="Y505" s="12"/>
      <c r="Z505" s="153" t="s">
        <v>1965</v>
      </c>
    </row>
    <row r="506" spans="1:26" ht="39" customHeight="1" x14ac:dyDescent="0.25">
      <c r="A506" s="5">
        <v>37</v>
      </c>
      <c r="B506" s="14" t="s">
        <v>5423</v>
      </c>
      <c r="C506" s="5" t="s">
        <v>46</v>
      </c>
      <c r="D506" s="10" t="s">
        <v>5424</v>
      </c>
      <c r="E506" s="14" t="s">
        <v>3627</v>
      </c>
      <c r="F506" s="150">
        <v>30996</v>
      </c>
      <c r="G506" s="8" t="s">
        <v>5425</v>
      </c>
      <c r="H506" s="68" t="s">
        <v>5426</v>
      </c>
      <c r="I506" s="5" t="s">
        <v>1738</v>
      </c>
      <c r="J506" s="150">
        <v>43922</v>
      </c>
      <c r="K506" s="5">
        <v>9</v>
      </c>
      <c r="L506" s="5">
        <v>3</v>
      </c>
      <c r="M506" s="12" t="s">
        <v>1739</v>
      </c>
      <c r="N506" s="150">
        <v>42217</v>
      </c>
      <c r="O506" s="5" t="s">
        <v>1028</v>
      </c>
      <c r="P506" s="11" t="s">
        <v>5427</v>
      </c>
      <c r="Q506" s="11" t="s">
        <v>5428</v>
      </c>
      <c r="R506" s="168" t="s">
        <v>5429</v>
      </c>
      <c r="S506" s="162">
        <v>132100511947</v>
      </c>
      <c r="T506" s="20">
        <v>2010118401</v>
      </c>
      <c r="U506" s="150">
        <v>54758</v>
      </c>
      <c r="V506" s="14" t="s">
        <v>5296</v>
      </c>
      <c r="W506" s="14" t="s">
        <v>5430</v>
      </c>
      <c r="X506" s="12"/>
      <c r="Y506" s="12"/>
      <c r="Z506" s="154" t="s">
        <v>1084</v>
      </c>
    </row>
    <row r="507" spans="1:26" ht="39" customHeight="1" x14ac:dyDescent="0.25">
      <c r="A507" s="5">
        <v>38</v>
      </c>
      <c r="B507" s="12" t="s">
        <v>5431</v>
      </c>
      <c r="C507" s="5" t="s">
        <v>46</v>
      </c>
      <c r="D507" s="5" t="s">
        <v>5432</v>
      </c>
      <c r="E507" s="12" t="s">
        <v>2400</v>
      </c>
      <c r="F507" s="150">
        <v>29206</v>
      </c>
      <c r="G507" s="8" t="s">
        <v>5433</v>
      </c>
      <c r="H507" s="68" t="s">
        <v>5434</v>
      </c>
      <c r="I507" s="5" t="s">
        <v>1738</v>
      </c>
      <c r="J507" s="161">
        <v>45566</v>
      </c>
      <c r="K507" s="10">
        <v>15</v>
      </c>
      <c r="L507" s="10">
        <v>9</v>
      </c>
      <c r="M507" s="12" t="s">
        <v>1739</v>
      </c>
      <c r="N507" s="150">
        <v>42309</v>
      </c>
      <c r="O507" s="5" t="s">
        <v>982</v>
      </c>
      <c r="P507" s="9" t="s">
        <v>5435</v>
      </c>
      <c r="Q507" s="9" t="s">
        <v>5436</v>
      </c>
      <c r="R507" s="9"/>
      <c r="S507" s="33">
        <v>132100511955</v>
      </c>
      <c r="T507" s="20">
        <v>2017127901</v>
      </c>
      <c r="U507" s="150">
        <v>52963</v>
      </c>
      <c r="V507" s="14" t="s">
        <v>5122</v>
      </c>
      <c r="W507" s="14" t="s">
        <v>5400</v>
      </c>
      <c r="X507" s="11"/>
      <c r="Y507" s="51"/>
      <c r="Z507" s="153" t="s">
        <v>1965</v>
      </c>
    </row>
    <row r="508" spans="1:26" ht="39" customHeight="1" x14ac:dyDescent="0.25">
      <c r="A508" s="5">
        <v>39</v>
      </c>
      <c r="B508" s="14" t="s">
        <v>5437</v>
      </c>
      <c r="C508" s="5" t="s">
        <v>46</v>
      </c>
      <c r="D508" s="10" t="s">
        <v>5438</v>
      </c>
      <c r="E508" s="14" t="s">
        <v>5439</v>
      </c>
      <c r="F508" s="150">
        <v>30784</v>
      </c>
      <c r="G508" s="8" t="s">
        <v>5440</v>
      </c>
      <c r="H508" s="68" t="s">
        <v>5441</v>
      </c>
      <c r="I508" s="5" t="s">
        <v>1738</v>
      </c>
      <c r="J508" s="150">
        <v>45383</v>
      </c>
      <c r="K508" s="5">
        <v>13</v>
      </c>
      <c r="L508" s="5">
        <v>3</v>
      </c>
      <c r="M508" s="12" t="s">
        <v>1739</v>
      </c>
      <c r="N508" s="150">
        <v>42309</v>
      </c>
      <c r="O508" s="5" t="s">
        <v>982</v>
      </c>
      <c r="P508" s="11" t="s">
        <v>5442</v>
      </c>
      <c r="Q508" s="11" t="s">
        <v>5443</v>
      </c>
      <c r="R508" s="168" t="s">
        <v>1084</v>
      </c>
      <c r="S508" s="162">
        <v>132100511972</v>
      </c>
      <c r="T508" s="20" t="s">
        <v>5444</v>
      </c>
      <c r="U508" s="150">
        <v>54544</v>
      </c>
      <c r="V508" s="14" t="s">
        <v>5132</v>
      </c>
      <c r="W508" s="14" t="s">
        <v>5445</v>
      </c>
      <c r="X508" s="11"/>
      <c r="Y508" s="51"/>
      <c r="Z508" s="154"/>
    </row>
    <row r="509" spans="1:26" ht="39" customHeight="1" x14ac:dyDescent="0.25">
      <c r="A509" s="5">
        <v>40</v>
      </c>
      <c r="B509" s="14" t="s">
        <v>5446</v>
      </c>
      <c r="C509" s="5" t="s">
        <v>18</v>
      </c>
      <c r="D509" s="10" t="s">
        <v>5447</v>
      </c>
      <c r="E509" s="14" t="s">
        <v>2856</v>
      </c>
      <c r="F509" s="150">
        <v>27984</v>
      </c>
      <c r="G509" s="8" t="s">
        <v>5448</v>
      </c>
      <c r="H509" s="68" t="s">
        <v>5449</v>
      </c>
      <c r="I509" s="5" t="s">
        <v>1738</v>
      </c>
      <c r="J509" s="150">
        <v>43556</v>
      </c>
      <c r="K509" s="5">
        <v>10</v>
      </c>
      <c r="L509" s="5">
        <v>3</v>
      </c>
      <c r="M509" s="12" t="s">
        <v>1739</v>
      </c>
      <c r="N509" s="150">
        <v>42644</v>
      </c>
      <c r="O509" s="5" t="s">
        <v>982</v>
      </c>
      <c r="P509" s="11" t="s">
        <v>5450</v>
      </c>
      <c r="Q509" s="11" t="s">
        <v>5451</v>
      </c>
      <c r="R509" s="168" t="s">
        <v>1084</v>
      </c>
      <c r="S509" s="162">
        <v>1321005110977</v>
      </c>
      <c r="T509" s="20">
        <v>2012087602</v>
      </c>
      <c r="U509" s="150">
        <v>51745</v>
      </c>
      <c r="V509" s="14" t="s">
        <v>5193</v>
      </c>
      <c r="W509" s="14" t="s">
        <v>5452</v>
      </c>
      <c r="X509" s="11" t="s">
        <v>5453</v>
      </c>
      <c r="Y509" s="51">
        <v>45588</v>
      </c>
      <c r="Z509" s="154"/>
    </row>
    <row r="510" spans="1:26" ht="39" customHeight="1" x14ac:dyDescent="0.25">
      <c r="A510" s="5">
        <v>41</v>
      </c>
      <c r="B510" s="14" t="s">
        <v>5454</v>
      </c>
      <c r="C510" s="5" t="s">
        <v>18</v>
      </c>
      <c r="D510" s="10" t="s">
        <v>5455</v>
      </c>
      <c r="E510" s="12" t="s">
        <v>5456</v>
      </c>
      <c r="F510" s="150">
        <v>28945</v>
      </c>
      <c r="G510" s="8" t="s">
        <v>5457</v>
      </c>
      <c r="H510" s="68" t="s">
        <v>5458</v>
      </c>
      <c r="I510" s="5" t="s">
        <v>1717</v>
      </c>
      <c r="J510" s="161">
        <v>43556</v>
      </c>
      <c r="K510" s="5">
        <v>14</v>
      </c>
      <c r="L510" s="5">
        <v>3</v>
      </c>
      <c r="M510" s="12" t="s">
        <v>1739</v>
      </c>
      <c r="N510" s="150">
        <v>42736</v>
      </c>
      <c r="O510" s="5" t="s">
        <v>982</v>
      </c>
      <c r="P510" s="157" t="s">
        <v>5459</v>
      </c>
      <c r="Q510" s="157" t="s">
        <v>5460</v>
      </c>
      <c r="R510" s="9"/>
      <c r="S510" s="162">
        <v>112100518130044</v>
      </c>
      <c r="T510" s="20">
        <v>2030047901</v>
      </c>
      <c r="U510" s="150">
        <v>52718</v>
      </c>
      <c r="V510" s="14" t="s">
        <v>5193</v>
      </c>
      <c r="W510" s="14" t="s">
        <v>5452</v>
      </c>
      <c r="X510" s="11" t="s">
        <v>5461</v>
      </c>
      <c r="Y510" s="51">
        <v>45588</v>
      </c>
      <c r="Z510" s="154"/>
    </row>
    <row r="511" spans="1:26" ht="39" customHeight="1" x14ac:dyDescent="0.25">
      <c r="A511" s="5">
        <v>42</v>
      </c>
      <c r="B511" s="14" t="s">
        <v>5462</v>
      </c>
      <c r="C511" s="5" t="s">
        <v>18</v>
      </c>
      <c r="D511" s="10" t="s">
        <v>5463</v>
      </c>
      <c r="E511" s="14" t="s">
        <v>1934</v>
      </c>
      <c r="F511" s="150" t="s">
        <v>5464</v>
      </c>
      <c r="G511" s="8" t="s">
        <v>5465</v>
      </c>
      <c r="H511" s="68" t="s">
        <v>5466</v>
      </c>
      <c r="I511" s="5" t="s">
        <v>1738</v>
      </c>
      <c r="J511" s="150">
        <v>44287</v>
      </c>
      <c r="K511" s="5">
        <v>15</v>
      </c>
      <c r="L511" s="5">
        <v>0</v>
      </c>
      <c r="M511" s="12" t="s">
        <v>1739</v>
      </c>
      <c r="N511" s="150">
        <v>42736</v>
      </c>
      <c r="O511" s="5" t="s">
        <v>982</v>
      </c>
      <c r="P511" s="157" t="s">
        <v>5467</v>
      </c>
      <c r="Q511" s="11" t="s">
        <v>5468</v>
      </c>
      <c r="R511" s="9"/>
      <c r="S511" s="162">
        <v>112100518120041</v>
      </c>
      <c r="T511" s="20">
        <v>2015078001</v>
      </c>
      <c r="U511" s="150">
        <v>53175</v>
      </c>
      <c r="V511" s="14" t="s">
        <v>5469</v>
      </c>
      <c r="W511" s="14" t="s">
        <v>5167</v>
      </c>
      <c r="X511" s="11"/>
      <c r="Y511" s="51"/>
      <c r="Z511" s="154"/>
    </row>
    <row r="512" spans="1:26" ht="39" customHeight="1" x14ac:dyDescent="0.25">
      <c r="A512" s="5">
        <v>43</v>
      </c>
      <c r="B512" s="14" t="s">
        <v>5470</v>
      </c>
      <c r="C512" s="5" t="s">
        <v>46</v>
      </c>
      <c r="D512" s="10" t="s">
        <v>5471</v>
      </c>
      <c r="E512" s="12" t="s">
        <v>2125</v>
      </c>
      <c r="F512" s="150">
        <v>29408</v>
      </c>
      <c r="G512" s="8" t="s">
        <v>5472</v>
      </c>
      <c r="H512" s="68" t="s">
        <v>5473</v>
      </c>
      <c r="I512" s="5" t="s">
        <v>1738</v>
      </c>
      <c r="J512" s="150">
        <v>44652</v>
      </c>
      <c r="K512" s="5">
        <v>17</v>
      </c>
      <c r="L512" s="5">
        <v>3</v>
      </c>
      <c r="M512" s="12" t="s">
        <v>1739</v>
      </c>
      <c r="N512" s="150">
        <v>42917</v>
      </c>
      <c r="O512" s="5" t="s">
        <v>982</v>
      </c>
      <c r="P512" s="157" t="s">
        <v>5474</v>
      </c>
      <c r="Q512" s="11" t="s">
        <v>5475</v>
      </c>
      <c r="R512" s="9"/>
      <c r="S512" s="162">
        <v>142100512853</v>
      </c>
      <c r="T512" s="20">
        <v>2006078001</v>
      </c>
      <c r="U512" s="150">
        <v>53175</v>
      </c>
      <c r="V512" s="14" t="s">
        <v>5469</v>
      </c>
      <c r="W512" s="14" t="s">
        <v>5476</v>
      </c>
      <c r="X512" s="11"/>
      <c r="Y512" s="5"/>
      <c r="Z512" s="154"/>
    </row>
    <row r="513" spans="1:26" ht="39" customHeight="1" x14ac:dyDescent="0.25">
      <c r="A513" s="5">
        <v>44</v>
      </c>
      <c r="B513" s="14" t="s">
        <v>5477</v>
      </c>
      <c r="C513" s="5" t="s">
        <v>46</v>
      </c>
      <c r="D513" s="5" t="s">
        <v>5478</v>
      </c>
      <c r="E513" s="14" t="s">
        <v>1638</v>
      </c>
      <c r="F513" s="150">
        <v>29258</v>
      </c>
      <c r="G513" s="8" t="s">
        <v>5479</v>
      </c>
      <c r="H513" s="68" t="s">
        <v>5480</v>
      </c>
      <c r="I513" s="5" t="s">
        <v>1738</v>
      </c>
      <c r="J513" s="150">
        <v>45383</v>
      </c>
      <c r="K513" s="5">
        <v>14</v>
      </c>
      <c r="L513" s="5">
        <v>4</v>
      </c>
      <c r="M513" s="103" t="s">
        <v>1739</v>
      </c>
      <c r="N513" s="219">
        <v>43040</v>
      </c>
      <c r="O513" s="4" t="s">
        <v>982</v>
      </c>
      <c r="P513" s="220" t="s">
        <v>5481</v>
      </c>
      <c r="Q513" s="220" t="s">
        <v>5398</v>
      </c>
      <c r="R513" s="221" t="s">
        <v>1084</v>
      </c>
      <c r="S513" s="222" t="s">
        <v>5482</v>
      </c>
      <c r="T513" s="223" t="s">
        <v>5483</v>
      </c>
      <c r="U513" s="219">
        <v>53022</v>
      </c>
      <c r="V513" s="224" t="s">
        <v>5122</v>
      </c>
      <c r="W513" s="224" t="s">
        <v>5484</v>
      </c>
      <c r="X513" s="225" t="s">
        <v>5485</v>
      </c>
      <c r="Y513" s="226">
        <v>45588</v>
      </c>
      <c r="Z513" s="210"/>
    </row>
    <row r="514" spans="1:26" ht="39" customHeight="1" x14ac:dyDescent="0.25">
      <c r="A514" s="5">
        <v>45</v>
      </c>
      <c r="B514" s="14" t="s">
        <v>5486</v>
      </c>
      <c r="C514" s="5" t="s">
        <v>46</v>
      </c>
      <c r="D514" s="10" t="s">
        <v>5487</v>
      </c>
      <c r="E514" s="14" t="s">
        <v>2590</v>
      </c>
      <c r="F514" s="150" t="s">
        <v>5488</v>
      </c>
      <c r="G514" s="8" t="s">
        <v>5489</v>
      </c>
      <c r="H514" s="68" t="s">
        <v>5490</v>
      </c>
      <c r="I514" s="5" t="s">
        <v>1738</v>
      </c>
      <c r="J514" s="150">
        <v>43374</v>
      </c>
      <c r="K514" s="5">
        <v>12</v>
      </c>
      <c r="L514" s="5">
        <v>6</v>
      </c>
      <c r="M514" s="12" t="s">
        <v>1739</v>
      </c>
      <c r="N514" s="150" t="s">
        <v>5491</v>
      </c>
      <c r="O514" s="5" t="s">
        <v>982</v>
      </c>
      <c r="P514" s="157" t="s">
        <v>5492</v>
      </c>
      <c r="Q514" s="157" t="s">
        <v>5493</v>
      </c>
      <c r="R514" s="9"/>
      <c r="S514" s="162">
        <v>102100504633</v>
      </c>
      <c r="T514" s="20">
        <v>2017128001</v>
      </c>
      <c r="U514" s="150">
        <v>53328</v>
      </c>
      <c r="V514" s="14" t="s">
        <v>5193</v>
      </c>
      <c r="W514" s="14" t="s">
        <v>5287</v>
      </c>
      <c r="X514" s="11"/>
      <c r="Y514" s="5"/>
      <c r="Z514" s="153" t="s">
        <v>1965</v>
      </c>
    </row>
    <row r="515" spans="1:26" ht="39" customHeight="1" x14ac:dyDescent="0.25">
      <c r="A515" s="5">
        <v>46</v>
      </c>
      <c r="B515" s="14" t="s">
        <v>5494</v>
      </c>
      <c r="C515" s="5" t="s">
        <v>18</v>
      </c>
      <c r="D515" s="10" t="s">
        <v>5495</v>
      </c>
      <c r="E515" s="14" t="s">
        <v>1934</v>
      </c>
      <c r="F515" s="150">
        <v>29901</v>
      </c>
      <c r="G515" s="8" t="s">
        <v>5496</v>
      </c>
      <c r="H515" s="68" t="s">
        <v>5497</v>
      </c>
      <c r="I515" s="5" t="s">
        <v>1738</v>
      </c>
      <c r="J515" s="150">
        <v>45383</v>
      </c>
      <c r="K515" s="5">
        <v>13</v>
      </c>
      <c r="L515" s="5">
        <v>3</v>
      </c>
      <c r="M515" s="12" t="s">
        <v>1739</v>
      </c>
      <c r="N515" s="150">
        <v>43221</v>
      </c>
      <c r="O515" s="5" t="s">
        <v>982</v>
      </c>
      <c r="P515" s="11" t="s">
        <v>5498</v>
      </c>
      <c r="Q515" s="11" t="s">
        <v>5499</v>
      </c>
      <c r="R515" s="168" t="s">
        <v>1084</v>
      </c>
      <c r="S515" s="14" t="s">
        <v>5500</v>
      </c>
      <c r="T515" s="20">
        <v>2011118101</v>
      </c>
      <c r="U515" s="150">
        <v>53662</v>
      </c>
      <c r="V515" s="14" t="s">
        <v>5155</v>
      </c>
      <c r="W515" s="14" t="s">
        <v>5501</v>
      </c>
      <c r="X515" s="12"/>
      <c r="Y515" s="12"/>
      <c r="Z515" s="154"/>
    </row>
    <row r="516" spans="1:26" ht="39" customHeight="1" x14ac:dyDescent="0.25">
      <c r="A516" s="5">
        <v>47</v>
      </c>
      <c r="B516" s="9" t="s">
        <v>5502</v>
      </c>
      <c r="C516" s="10" t="s">
        <v>18</v>
      </c>
      <c r="D516" s="10"/>
      <c r="E516" s="9" t="s">
        <v>2694</v>
      </c>
      <c r="F516" s="161">
        <v>32704</v>
      </c>
      <c r="G516" s="151" t="s">
        <v>5503</v>
      </c>
      <c r="H516" s="68" t="s">
        <v>5504</v>
      </c>
      <c r="I516" s="10" t="s">
        <v>1738</v>
      </c>
      <c r="J516" s="150">
        <v>44652</v>
      </c>
      <c r="K516" s="5">
        <v>7</v>
      </c>
      <c r="L516" s="5">
        <v>1</v>
      </c>
      <c r="M516" s="12" t="s">
        <v>1739</v>
      </c>
      <c r="N516" s="150">
        <v>43556</v>
      </c>
      <c r="O516" s="5" t="s">
        <v>982</v>
      </c>
      <c r="P516" s="11" t="s">
        <v>5505</v>
      </c>
      <c r="Q516" s="9" t="s">
        <v>5506</v>
      </c>
      <c r="R516" s="168"/>
      <c r="S516" s="79">
        <v>192100517413</v>
      </c>
      <c r="T516" s="20">
        <v>2015078901</v>
      </c>
      <c r="U516" s="150">
        <v>56462</v>
      </c>
      <c r="V516" s="14" t="s">
        <v>5469</v>
      </c>
      <c r="W516" s="9" t="s">
        <v>5167</v>
      </c>
      <c r="X516" s="11" t="s">
        <v>5507</v>
      </c>
      <c r="Y516" s="51">
        <v>45579</v>
      </c>
      <c r="Z516" s="154"/>
    </row>
    <row r="517" spans="1:26" ht="39" customHeight="1" x14ac:dyDescent="0.25">
      <c r="A517" s="5">
        <v>48</v>
      </c>
      <c r="B517" s="14" t="s">
        <v>5508</v>
      </c>
      <c r="C517" s="5" t="s">
        <v>18</v>
      </c>
      <c r="D517" s="10" t="s">
        <v>5509</v>
      </c>
      <c r="E517" s="14" t="s">
        <v>5510</v>
      </c>
      <c r="F517" s="150">
        <v>31477</v>
      </c>
      <c r="G517" s="8" t="s">
        <v>5511</v>
      </c>
      <c r="H517" s="68" t="s">
        <v>5512</v>
      </c>
      <c r="I517" s="5" t="s">
        <v>1738</v>
      </c>
      <c r="J517" s="150">
        <v>44470</v>
      </c>
      <c r="K517" s="5">
        <v>10</v>
      </c>
      <c r="L517" s="5">
        <v>9</v>
      </c>
      <c r="M517" s="12" t="s">
        <v>1739</v>
      </c>
      <c r="N517" s="150">
        <v>43678</v>
      </c>
      <c r="O517" s="5" t="s">
        <v>1028</v>
      </c>
      <c r="P517" s="11" t="s">
        <v>5513</v>
      </c>
      <c r="Q517" s="11" t="s">
        <v>5514</v>
      </c>
      <c r="R517" s="168" t="s">
        <v>5515</v>
      </c>
      <c r="S517" s="162">
        <v>132100511950</v>
      </c>
      <c r="T517" s="20" t="s">
        <v>5516</v>
      </c>
      <c r="U517" s="150">
        <v>55244</v>
      </c>
      <c r="V517" s="14" t="s">
        <v>5193</v>
      </c>
      <c r="W517" s="14" t="s">
        <v>5517</v>
      </c>
      <c r="X517" s="11" t="s">
        <v>5518</v>
      </c>
      <c r="Y517" s="51">
        <v>45579</v>
      </c>
      <c r="Z517" s="40"/>
    </row>
    <row r="518" spans="1:26" ht="39" customHeight="1" x14ac:dyDescent="0.25">
      <c r="A518" s="5">
        <v>49</v>
      </c>
      <c r="B518" s="12" t="s">
        <v>5519</v>
      </c>
      <c r="C518" s="5" t="s">
        <v>46</v>
      </c>
      <c r="D518" s="5" t="s">
        <v>5520</v>
      </c>
      <c r="E518" s="12" t="s">
        <v>3627</v>
      </c>
      <c r="F518" s="150">
        <v>30481</v>
      </c>
      <c r="G518" s="8" t="s">
        <v>5521</v>
      </c>
      <c r="H518" s="68" t="s">
        <v>5522</v>
      </c>
      <c r="I518" s="5" t="s">
        <v>1738</v>
      </c>
      <c r="J518" s="161">
        <v>44652</v>
      </c>
      <c r="K518" s="10">
        <v>13</v>
      </c>
      <c r="L518" s="10">
        <v>3</v>
      </c>
      <c r="M518" s="12" t="s">
        <v>1739</v>
      </c>
      <c r="N518" s="150">
        <v>43800</v>
      </c>
      <c r="O518" s="5" t="s">
        <v>1028</v>
      </c>
      <c r="P518" s="9" t="s">
        <v>5523</v>
      </c>
      <c r="Q518" s="9" t="s">
        <v>5524</v>
      </c>
      <c r="R518" s="9" t="s">
        <v>5525</v>
      </c>
      <c r="S518" s="11" t="s">
        <v>5526</v>
      </c>
      <c r="T518" s="20">
        <v>2014068301</v>
      </c>
      <c r="U518" s="150">
        <v>54240</v>
      </c>
      <c r="V518" s="14" t="s">
        <v>5296</v>
      </c>
      <c r="W518" s="14" t="s">
        <v>5527</v>
      </c>
      <c r="X518" s="11"/>
      <c r="Y518" s="51"/>
      <c r="Z518" s="154"/>
    </row>
    <row r="519" spans="1:26" ht="39" customHeight="1" x14ac:dyDescent="0.25">
      <c r="A519" s="5">
        <v>50</v>
      </c>
      <c r="B519" s="9" t="s">
        <v>5528</v>
      </c>
      <c r="C519" s="10" t="s">
        <v>18</v>
      </c>
      <c r="D519" s="10"/>
      <c r="E519" s="9" t="s">
        <v>1860</v>
      </c>
      <c r="F519" s="161">
        <v>30708</v>
      </c>
      <c r="G519" s="151" t="s">
        <v>5529</v>
      </c>
      <c r="H519" s="68" t="s">
        <v>5530</v>
      </c>
      <c r="I519" s="10" t="s">
        <v>1738</v>
      </c>
      <c r="J519" s="150">
        <v>45566</v>
      </c>
      <c r="K519" s="5">
        <v>9</v>
      </c>
      <c r="L519" s="5">
        <v>7</v>
      </c>
      <c r="M519" s="12" t="s">
        <v>1739</v>
      </c>
      <c r="N519" s="150">
        <v>43800</v>
      </c>
      <c r="O519" s="5" t="s">
        <v>982</v>
      </c>
      <c r="P519" s="11" t="s">
        <v>5531</v>
      </c>
      <c r="Q519" s="9" t="s">
        <v>5532</v>
      </c>
      <c r="R519" s="168"/>
      <c r="S519" s="14" t="s">
        <v>5533</v>
      </c>
      <c r="T519" s="20" t="s">
        <v>5534</v>
      </c>
      <c r="U519" s="150">
        <v>54455</v>
      </c>
      <c r="V519" s="14" t="s">
        <v>5296</v>
      </c>
      <c r="W519" s="9" t="s">
        <v>5535</v>
      </c>
      <c r="X519" s="89"/>
      <c r="Y519" s="89"/>
      <c r="Z519" s="164"/>
    </row>
    <row r="520" spans="1:26" ht="39" customHeight="1" x14ac:dyDescent="0.25">
      <c r="A520" s="5">
        <v>51</v>
      </c>
      <c r="B520" s="9" t="s">
        <v>5536</v>
      </c>
      <c r="C520" s="10" t="s">
        <v>18</v>
      </c>
      <c r="D520" s="10"/>
      <c r="E520" s="9" t="s">
        <v>5537</v>
      </c>
      <c r="F520" s="161">
        <v>31209</v>
      </c>
      <c r="G520" s="151" t="s">
        <v>5538</v>
      </c>
      <c r="H520" s="68" t="s">
        <v>5539</v>
      </c>
      <c r="I520" s="10" t="s">
        <v>1738</v>
      </c>
      <c r="J520" s="150">
        <v>44652</v>
      </c>
      <c r="K520" s="5">
        <v>7</v>
      </c>
      <c r="L520" s="5">
        <v>1</v>
      </c>
      <c r="M520" s="12" t="s">
        <v>1739</v>
      </c>
      <c r="N520" s="150">
        <v>43831</v>
      </c>
      <c r="O520" s="5" t="s">
        <v>982</v>
      </c>
      <c r="P520" s="11" t="s">
        <v>5540</v>
      </c>
      <c r="Q520" s="9" t="s">
        <v>5541</v>
      </c>
      <c r="R520" s="168"/>
      <c r="S520" s="79">
        <v>192100517423</v>
      </c>
      <c r="T520" s="20" t="s">
        <v>5542</v>
      </c>
      <c r="U520" s="150">
        <v>54970</v>
      </c>
      <c r="V520" s="14" t="s">
        <v>5155</v>
      </c>
      <c r="W520" s="9" t="s">
        <v>5543</v>
      </c>
      <c r="X520" s="9" t="s">
        <v>5544</v>
      </c>
      <c r="Y520" s="51">
        <v>45588</v>
      </c>
      <c r="Z520" s="172"/>
    </row>
    <row r="521" spans="1:26" ht="34.5" customHeight="1" x14ac:dyDescent="0.25">
      <c r="A521" s="5">
        <v>52</v>
      </c>
      <c r="B521" s="14" t="s">
        <v>5545</v>
      </c>
      <c r="C521" s="5" t="s">
        <v>46</v>
      </c>
      <c r="D521" s="10" t="s">
        <v>5546</v>
      </c>
      <c r="E521" s="14" t="s">
        <v>2042</v>
      </c>
      <c r="F521" s="150" t="s">
        <v>5547</v>
      </c>
      <c r="G521" s="8" t="s">
        <v>5548</v>
      </c>
      <c r="H521" s="68" t="s">
        <v>5549</v>
      </c>
      <c r="I521" s="5" t="s">
        <v>1717</v>
      </c>
      <c r="J521" s="150">
        <v>45383</v>
      </c>
      <c r="K521" s="5">
        <v>18</v>
      </c>
      <c r="L521" s="5">
        <v>0</v>
      </c>
      <c r="M521" s="12" t="s">
        <v>1739</v>
      </c>
      <c r="N521" s="150" t="s">
        <v>5550</v>
      </c>
      <c r="O521" s="5" t="s">
        <v>1028</v>
      </c>
      <c r="P521" s="157" t="s">
        <v>5382</v>
      </c>
      <c r="Q521" s="157" t="s">
        <v>5551</v>
      </c>
      <c r="R521" s="9" t="s">
        <v>5552</v>
      </c>
      <c r="S521" s="162">
        <v>102100504668</v>
      </c>
      <c r="T521" s="20">
        <v>2026107901</v>
      </c>
      <c r="U521" s="150">
        <v>52902</v>
      </c>
      <c r="V521" s="14" t="s">
        <v>5122</v>
      </c>
      <c r="W521" s="14" t="s">
        <v>3990</v>
      </c>
      <c r="X521" s="11" t="s">
        <v>5553</v>
      </c>
      <c r="Y521" s="51">
        <v>44827</v>
      </c>
      <c r="Z521" s="172"/>
    </row>
    <row r="522" spans="1:26" ht="39" customHeight="1" x14ac:dyDescent="0.25">
      <c r="A522" s="5">
        <v>53</v>
      </c>
      <c r="B522" s="14" t="s">
        <v>5554</v>
      </c>
      <c r="C522" s="5" t="s">
        <v>46</v>
      </c>
      <c r="D522" s="10" t="s">
        <v>5555</v>
      </c>
      <c r="E522" s="12" t="s">
        <v>1545</v>
      </c>
      <c r="F522" s="150">
        <v>27935</v>
      </c>
      <c r="G522" s="8" t="s">
        <v>5556</v>
      </c>
      <c r="H522" s="68" t="s">
        <v>5557</v>
      </c>
      <c r="I522" s="5" t="s">
        <v>1991</v>
      </c>
      <c r="J522" s="150">
        <v>45200</v>
      </c>
      <c r="K522" s="5">
        <v>18</v>
      </c>
      <c r="L522" s="5">
        <v>9</v>
      </c>
      <c r="M522" s="12" t="s">
        <v>1739</v>
      </c>
      <c r="N522" s="150">
        <v>44713</v>
      </c>
      <c r="O522" s="5" t="s">
        <v>982</v>
      </c>
      <c r="P522" s="157" t="s">
        <v>5558</v>
      </c>
      <c r="Q522" s="11" t="s">
        <v>5559</v>
      </c>
      <c r="R522" s="9"/>
      <c r="S522" s="162">
        <v>132100511966</v>
      </c>
      <c r="T522" s="20">
        <v>2024067601</v>
      </c>
      <c r="U522" s="150">
        <v>51683</v>
      </c>
      <c r="V522" s="14" t="s">
        <v>5122</v>
      </c>
      <c r="W522" s="14" t="s">
        <v>5560</v>
      </c>
      <c r="X522" s="11"/>
      <c r="Y522" s="51"/>
      <c r="Z522" s="172"/>
    </row>
    <row r="523" spans="1:26" ht="39" customHeight="1" x14ac:dyDescent="0.25">
      <c r="A523" s="5">
        <v>54</v>
      </c>
      <c r="B523" s="14" t="s">
        <v>5561</v>
      </c>
      <c r="C523" s="5" t="s">
        <v>46</v>
      </c>
      <c r="D523" s="5" t="s">
        <v>5562</v>
      </c>
      <c r="E523" s="14" t="s">
        <v>1479</v>
      </c>
      <c r="F523" s="150">
        <v>30222</v>
      </c>
      <c r="G523" s="8" t="s">
        <v>5563</v>
      </c>
      <c r="H523" s="68" t="s">
        <v>5564</v>
      </c>
      <c r="I523" s="5" t="s">
        <v>1717</v>
      </c>
      <c r="J523" s="150">
        <v>44652</v>
      </c>
      <c r="K523" s="5">
        <v>12</v>
      </c>
      <c r="L523" s="5">
        <v>4</v>
      </c>
      <c r="M523" s="12" t="s">
        <v>1739</v>
      </c>
      <c r="N523" s="150">
        <v>44562</v>
      </c>
      <c r="O523" s="5" t="s">
        <v>982</v>
      </c>
      <c r="P523" s="11" t="s">
        <v>5565</v>
      </c>
      <c r="Q523" s="11" t="s">
        <v>5566</v>
      </c>
      <c r="R523" s="168" t="s">
        <v>1084</v>
      </c>
      <c r="S523" s="186" t="s">
        <v>5567</v>
      </c>
      <c r="T523" s="20">
        <v>2028098201</v>
      </c>
      <c r="U523" s="150">
        <v>53966</v>
      </c>
      <c r="V523" s="14" t="s">
        <v>5122</v>
      </c>
      <c r="W523" s="14" t="s">
        <v>5568</v>
      </c>
      <c r="X523" s="11"/>
      <c r="Y523" s="5"/>
      <c r="Z523" s="172"/>
    </row>
    <row r="524" spans="1:26" ht="39" customHeight="1" x14ac:dyDescent="0.25">
      <c r="A524" s="5">
        <v>55</v>
      </c>
      <c r="B524" s="9" t="s">
        <v>5569</v>
      </c>
      <c r="C524" s="10" t="s">
        <v>18</v>
      </c>
      <c r="D524" s="10" t="s">
        <v>5570</v>
      </c>
      <c r="E524" s="9" t="s">
        <v>1420</v>
      </c>
      <c r="F524" s="161">
        <v>31181</v>
      </c>
      <c r="G524" s="151" t="s">
        <v>5571</v>
      </c>
      <c r="H524" s="68" t="s">
        <v>5572</v>
      </c>
      <c r="I524" s="10" t="s">
        <v>1717</v>
      </c>
      <c r="J524" s="150">
        <v>44470</v>
      </c>
      <c r="K524" s="5">
        <v>6</v>
      </c>
      <c r="L524" s="5">
        <v>7</v>
      </c>
      <c r="M524" s="12" t="s">
        <v>1739</v>
      </c>
      <c r="N524" s="150">
        <v>44228</v>
      </c>
      <c r="O524" s="5" t="s">
        <v>982</v>
      </c>
      <c r="P524" s="11" t="s">
        <v>5573</v>
      </c>
      <c r="Q524" s="9" t="s">
        <v>5574</v>
      </c>
      <c r="R524" s="168"/>
      <c r="S524" s="79">
        <v>192100517418</v>
      </c>
      <c r="T524" s="20" t="s">
        <v>5575</v>
      </c>
      <c r="U524" s="150">
        <v>54940</v>
      </c>
      <c r="V524" s="14" t="s">
        <v>5193</v>
      </c>
      <c r="W524" s="9" t="s">
        <v>5144</v>
      </c>
      <c r="X524" s="9"/>
      <c r="Y524" s="10"/>
      <c r="Z524" s="153" t="s">
        <v>1965</v>
      </c>
    </row>
    <row r="525" spans="1:26" ht="39" customHeight="1" x14ac:dyDescent="0.25">
      <c r="A525" s="5">
        <v>56</v>
      </c>
      <c r="B525" s="9" t="s">
        <v>5576</v>
      </c>
      <c r="C525" s="10" t="s">
        <v>18</v>
      </c>
      <c r="D525" s="10"/>
      <c r="E525" s="9" t="s">
        <v>5577</v>
      </c>
      <c r="F525" s="161">
        <v>30694</v>
      </c>
      <c r="G525" s="151" t="s">
        <v>5578</v>
      </c>
      <c r="H525" s="68" t="s">
        <v>5579</v>
      </c>
      <c r="I525" s="10" t="s">
        <v>1717</v>
      </c>
      <c r="J525" s="150">
        <v>44652</v>
      </c>
      <c r="K525" s="5">
        <v>7</v>
      </c>
      <c r="L525" s="5">
        <v>1</v>
      </c>
      <c r="M525" s="12" t="s">
        <v>1739</v>
      </c>
      <c r="N525" s="150">
        <v>44440</v>
      </c>
      <c r="O525" s="5" t="s">
        <v>982</v>
      </c>
      <c r="P525" s="11" t="s">
        <v>5341</v>
      </c>
      <c r="Q525" s="11" t="s">
        <v>5580</v>
      </c>
      <c r="R525" s="168"/>
      <c r="S525" s="14" t="s">
        <v>5581</v>
      </c>
      <c r="T525" s="20" t="s">
        <v>5582</v>
      </c>
      <c r="U525" s="150">
        <v>54455</v>
      </c>
      <c r="V525" s="14" t="s">
        <v>5132</v>
      </c>
      <c r="W525" s="9" t="s">
        <v>5583</v>
      </c>
      <c r="X525" s="9"/>
      <c r="Y525" s="10"/>
      <c r="Z525" s="172"/>
    </row>
    <row r="526" spans="1:26" ht="39" customHeight="1" x14ac:dyDescent="0.25">
      <c r="A526" s="5">
        <v>57</v>
      </c>
      <c r="B526" s="9" t="s">
        <v>5584</v>
      </c>
      <c r="C526" s="10" t="s">
        <v>18</v>
      </c>
      <c r="D526" s="10"/>
      <c r="E526" s="9" t="s">
        <v>2042</v>
      </c>
      <c r="F526" s="161">
        <v>31019</v>
      </c>
      <c r="G526" s="151" t="s">
        <v>5585</v>
      </c>
      <c r="H526" s="68" t="s">
        <v>5586</v>
      </c>
      <c r="I526" s="10" t="s">
        <v>1738</v>
      </c>
      <c r="J526" s="150">
        <v>45566</v>
      </c>
      <c r="K526" s="5">
        <v>9</v>
      </c>
      <c r="L526" s="5">
        <v>7</v>
      </c>
      <c r="M526" s="12" t="s">
        <v>1739</v>
      </c>
      <c r="N526" s="150">
        <v>44652</v>
      </c>
      <c r="O526" s="5" t="s">
        <v>982</v>
      </c>
      <c r="P526" s="11" t="s">
        <v>5587</v>
      </c>
      <c r="Q526" s="9" t="s">
        <v>5588</v>
      </c>
      <c r="R526" s="168"/>
      <c r="S526" s="79">
        <v>192100517425</v>
      </c>
      <c r="T526" s="20" t="s">
        <v>5589</v>
      </c>
      <c r="U526" s="150">
        <v>54789</v>
      </c>
      <c r="V526" s="14" t="s">
        <v>5122</v>
      </c>
      <c r="W526" s="9" t="s">
        <v>5590</v>
      </c>
      <c r="X526" s="9"/>
      <c r="Y526" s="10"/>
      <c r="Z526" s="172"/>
    </row>
    <row r="527" spans="1:26" ht="39" customHeight="1" x14ac:dyDescent="0.25">
      <c r="A527" s="5">
        <v>58</v>
      </c>
      <c r="B527" s="154" t="s">
        <v>5591</v>
      </c>
      <c r="C527" s="67" t="s">
        <v>18</v>
      </c>
      <c r="D527" s="5"/>
      <c r="E527" s="154" t="s">
        <v>1489</v>
      </c>
      <c r="F527" s="155">
        <v>32962</v>
      </c>
      <c r="G527" s="106" t="s">
        <v>5592</v>
      </c>
      <c r="H527" s="68" t="s">
        <v>5593</v>
      </c>
      <c r="I527" s="5" t="s">
        <v>1717</v>
      </c>
      <c r="J527" s="161">
        <v>45200</v>
      </c>
      <c r="K527" s="5">
        <v>4</v>
      </c>
      <c r="L527" s="5">
        <v>7</v>
      </c>
      <c r="M527" s="12" t="s">
        <v>1739</v>
      </c>
      <c r="N527" s="161">
        <v>44927</v>
      </c>
      <c r="O527" s="5" t="s">
        <v>982</v>
      </c>
      <c r="P527" s="9" t="s">
        <v>5594</v>
      </c>
      <c r="Q527" s="160" t="s">
        <v>5154</v>
      </c>
      <c r="R527" s="9"/>
      <c r="S527" s="162" t="s">
        <v>5595</v>
      </c>
      <c r="T527" s="183">
        <v>2030039003</v>
      </c>
      <c r="U527" s="150">
        <v>56705</v>
      </c>
      <c r="V527" s="11" t="s">
        <v>5155</v>
      </c>
      <c r="W527" s="160" t="s">
        <v>5596</v>
      </c>
      <c r="X527" s="9"/>
      <c r="Y527" s="10"/>
      <c r="Z527" s="153"/>
    </row>
    <row r="528" spans="1:26" ht="39" customHeight="1" x14ac:dyDescent="0.25">
      <c r="A528" s="5">
        <v>59</v>
      </c>
      <c r="B528" s="154" t="s">
        <v>5597</v>
      </c>
      <c r="C528" s="67" t="s">
        <v>46</v>
      </c>
      <c r="D528" s="12"/>
      <c r="E528" s="154" t="s">
        <v>1934</v>
      </c>
      <c r="F528" s="155">
        <v>31393</v>
      </c>
      <c r="G528" s="106" t="s">
        <v>5598</v>
      </c>
      <c r="H528" s="68" t="s">
        <v>5599</v>
      </c>
      <c r="I528" s="39" t="s">
        <v>1738</v>
      </c>
      <c r="J528" s="161">
        <v>45383</v>
      </c>
      <c r="K528" s="5">
        <v>5</v>
      </c>
      <c r="L528" s="5">
        <v>1</v>
      </c>
      <c r="M528" s="12" t="s">
        <v>1739</v>
      </c>
      <c r="N528" s="161">
        <v>44075</v>
      </c>
      <c r="O528" s="5" t="s">
        <v>1028</v>
      </c>
      <c r="P528" s="160" t="s">
        <v>5600</v>
      </c>
      <c r="Q528" s="12" t="s">
        <v>5601</v>
      </c>
      <c r="R528" s="160" t="s">
        <v>5602</v>
      </c>
      <c r="S528" s="162"/>
      <c r="T528" s="227" t="s">
        <v>5603</v>
      </c>
      <c r="U528" s="150">
        <v>55154</v>
      </c>
      <c r="V528" s="14" t="s">
        <v>5166</v>
      </c>
      <c r="W528" s="160" t="s">
        <v>5604</v>
      </c>
      <c r="X528" s="11" t="s">
        <v>5605</v>
      </c>
      <c r="Y528" s="51">
        <v>45588</v>
      </c>
      <c r="Z528" s="154" t="s">
        <v>1084</v>
      </c>
    </row>
    <row r="529" spans="1:26" ht="39" customHeight="1" x14ac:dyDescent="0.25">
      <c r="A529" s="5">
        <v>60</v>
      </c>
      <c r="B529" s="40" t="s">
        <v>5606</v>
      </c>
      <c r="C529" s="39" t="s">
        <v>18</v>
      </c>
      <c r="D529" s="12"/>
      <c r="E529" s="40" t="s">
        <v>1489</v>
      </c>
      <c r="F529" s="170">
        <v>31525</v>
      </c>
      <c r="G529" s="156" t="s">
        <v>5607</v>
      </c>
      <c r="H529" s="68" t="s">
        <v>5608</v>
      </c>
      <c r="I529" s="5" t="s">
        <v>1717</v>
      </c>
      <c r="J529" s="161">
        <v>45383</v>
      </c>
      <c r="K529" s="5">
        <v>5</v>
      </c>
      <c r="L529" s="5">
        <v>1</v>
      </c>
      <c r="M529" s="12" t="s">
        <v>1739</v>
      </c>
      <c r="N529" s="161">
        <v>44927</v>
      </c>
      <c r="O529" s="5" t="s">
        <v>982</v>
      </c>
      <c r="P529" s="160" t="s">
        <v>5609</v>
      </c>
      <c r="Q529" s="160" t="s">
        <v>5610</v>
      </c>
      <c r="R529" s="12"/>
      <c r="S529" s="162"/>
      <c r="T529" s="171" t="s">
        <v>5611</v>
      </c>
      <c r="U529" s="150">
        <v>55274</v>
      </c>
      <c r="V529" s="11" t="s">
        <v>5469</v>
      </c>
      <c r="W529" s="160" t="s">
        <v>5612</v>
      </c>
      <c r="X529" s="9" t="s">
        <v>5613</v>
      </c>
      <c r="Y529" s="51">
        <v>45588</v>
      </c>
      <c r="Z529" s="172"/>
    </row>
    <row r="530" spans="1:26" ht="39" customHeight="1" x14ac:dyDescent="0.25">
      <c r="A530" s="5">
        <v>61</v>
      </c>
      <c r="B530" s="154" t="s">
        <v>5614</v>
      </c>
      <c r="C530" s="67" t="s">
        <v>46</v>
      </c>
      <c r="D530" s="5"/>
      <c r="E530" s="154" t="s">
        <v>1519</v>
      </c>
      <c r="F530" s="155">
        <v>33768</v>
      </c>
      <c r="G530" s="106" t="s">
        <v>5615</v>
      </c>
      <c r="H530" s="68" t="s">
        <v>5616</v>
      </c>
      <c r="I530" s="5" t="s">
        <v>1717</v>
      </c>
      <c r="J530" s="161">
        <v>45383</v>
      </c>
      <c r="K530" s="5">
        <v>5</v>
      </c>
      <c r="L530" s="5">
        <v>1</v>
      </c>
      <c r="M530" s="12" t="s">
        <v>1739</v>
      </c>
      <c r="N530" s="161">
        <v>45017</v>
      </c>
      <c r="O530" s="5" t="s">
        <v>982</v>
      </c>
      <c r="P530" s="9" t="s">
        <v>5617</v>
      </c>
      <c r="Q530" s="160" t="s">
        <v>5618</v>
      </c>
      <c r="R530" s="9"/>
      <c r="S530" s="162"/>
      <c r="T530" s="183">
        <v>2013069203</v>
      </c>
      <c r="U530" s="150">
        <v>57527</v>
      </c>
      <c r="V530" s="11" t="s">
        <v>5155</v>
      </c>
      <c r="W530" s="160" t="s">
        <v>4344</v>
      </c>
      <c r="X530" s="9"/>
      <c r="Y530" s="10"/>
      <c r="Z530" s="153" t="s">
        <v>1965</v>
      </c>
    </row>
    <row r="531" spans="1:26" ht="39" customHeight="1" x14ac:dyDescent="0.25">
      <c r="A531" s="5">
        <v>62</v>
      </c>
      <c r="B531" s="40" t="s">
        <v>5619</v>
      </c>
      <c r="C531" s="39" t="s">
        <v>46</v>
      </c>
      <c r="D531" s="5"/>
      <c r="E531" s="40" t="s">
        <v>5101</v>
      </c>
      <c r="F531" s="170">
        <v>32984</v>
      </c>
      <c r="G531" s="156" t="s">
        <v>5620</v>
      </c>
      <c r="H531" s="68" t="s">
        <v>5621</v>
      </c>
      <c r="I531" s="5" t="s">
        <v>1717</v>
      </c>
      <c r="J531" s="161">
        <v>45383</v>
      </c>
      <c r="K531" s="5">
        <v>7</v>
      </c>
      <c r="L531" s="5">
        <v>9</v>
      </c>
      <c r="M531" s="12" t="s">
        <v>1739</v>
      </c>
      <c r="N531" s="161">
        <v>45170</v>
      </c>
      <c r="O531" s="5" t="s">
        <v>982</v>
      </c>
      <c r="P531" s="9" t="s">
        <v>5622</v>
      </c>
      <c r="Q531" s="160" t="s">
        <v>5623</v>
      </c>
      <c r="R531" s="9"/>
      <c r="S531" s="162"/>
      <c r="T531" s="227">
        <v>2021049004</v>
      </c>
      <c r="U531" s="150">
        <v>56735</v>
      </c>
      <c r="V531" s="14" t="s">
        <v>5469</v>
      </c>
      <c r="W531" s="160" t="s">
        <v>5624</v>
      </c>
      <c r="X531" s="9"/>
      <c r="Y531" s="10"/>
      <c r="Z531" s="153"/>
    </row>
    <row r="532" spans="1:26" ht="39" customHeight="1" x14ac:dyDescent="0.25">
      <c r="A532" s="5">
        <v>63</v>
      </c>
      <c r="B532" s="40" t="s">
        <v>5625</v>
      </c>
      <c r="C532" s="39" t="s">
        <v>18</v>
      </c>
      <c r="D532" s="5"/>
      <c r="E532" s="40" t="s">
        <v>1648</v>
      </c>
      <c r="F532" s="170">
        <v>33190</v>
      </c>
      <c r="G532" s="156" t="s">
        <v>5626</v>
      </c>
      <c r="H532" s="68" t="s">
        <v>5627</v>
      </c>
      <c r="I532" s="5" t="s">
        <v>1717</v>
      </c>
      <c r="J532" s="161">
        <v>45383</v>
      </c>
      <c r="K532" s="5">
        <v>5</v>
      </c>
      <c r="L532" s="5">
        <v>1</v>
      </c>
      <c r="M532" s="12" t="s">
        <v>1739</v>
      </c>
      <c r="N532" s="161">
        <v>45017</v>
      </c>
      <c r="O532" s="5" t="s">
        <v>982</v>
      </c>
      <c r="P532" s="9" t="s">
        <v>5628</v>
      </c>
      <c r="Q532" s="160" t="s">
        <v>5629</v>
      </c>
      <c r="R532" s="9"/>
      <c r="S532" s="162"/>
      <c r="T532" s="183" t="s">
        <v>5630</v>
      </c>
      <c r="U532" s="150">
        <v>56949</v>
      </c>
      <c r="V532" s="11" t="s">
        <v>5193</v>
      </c>
      <c r="W532" s="160" t="s">
        <v>5631</v>
      </c>
      <c r="X532" s="11" t="s">
        <v>5632</v>
      </c>
      <c r="Y532" s="51">
        <v>45579</v>
      </c>
      <c r="Z532" s="154"/>
    </row>
    <row r="533" spans="1:26" ht="24" customHeight="1" x14ac:dyDescent="0.25">
      <c r="A533" s="5">
        <v>64</v>
      </c>
      <c r="B533" s="153" t="s">
        <v>5633</v>
      </c>
      <c r="C533" s="67" t="s">
        <v>46</v>
      </c>
      <c r="D533" s="5"/>
      <c r="E533" s="154" t="s">
        <v>4689</v>
      </c>
      <c r="F533" s="155">
        <v>33570</v>
      </c>
      <c r="G533" s="106" t="s">
        <v>5634</v>
      </c>
      <c r="H533" s="68" t="s">
        <v>5635</v>
      </c>
      <c r="I533" s="5" t="s">
        <v>1717</v>
      </c>
      <c r="J533" s="161">
        <v>45383</v>
      </c>
      <c r="K533" s="5">
        <v>5</v>
      </c>
      <c r="L533" s="5">
        <v>1</v>
      </c>
      <c r="M533" s="12" t="s">
        <v>1739</v>
      </c>
      <c r="N533" s="161">
        <v>45170</v>
      </c>
      <c r="O533" s="5" t="s">
        <v>982</v>
      </c>
      <c r="P533" s="9" t="s">
        <v>5636</v>
      </c>
      <c r="Q533" s="160" t="s">
        <v>5637</v>
      </c>
      <c r="R533" s="9"/>
      <c r="S533" s="162"/>
      <c r="T533" s="183">
        <v>2028119101</v>
      </c>
      <c r="U533" s="150">
        <v>57315</v>
      </c>
      <c r="V533" s="11" t="s">
        <v>5155</v>
      </c>
      <c r="W533" s="160" t="s">
        <v>5560</v>
      </c>
      <c r="X533" s="9"/>
      <c r="Y533" s="10"/>
      <c r="Z533" s="153"/>
    </row>
    <row r="534" spans="1:26" ht="39" customHeight="1" x14ac:dyDescent="0.25">
      <c r="A534" s="5">
        <v>65</v>
      </c>
      <c r="B534" s="40" t="s">
        <v>5638</v>
      </c>
      <c r="C534" s="39" t="s">
        <v>46</v>
      </c>
      <c r="D534" s="5"/>
      <c r="E534" s="40" t="s">
        <v>2494</v>
      </c>
      <c r="F534" s="170">
        <v>33899</v>
      </c>
      <c r="G534" s="156" t="s">
        <v>5639</v>
      </c>
      <c r="H534" s="68" t="s">
        <v>5640</v>
      </c>
      <c r="I534" s="5" t="s">
        <v>1717</v>
      </c>
      <c r="J534" s="161">
        <v>45383</v>
      </c>
      <c r="K534" s="5">
        <v>5</v>
      </c>
      <c r="L534" s="5">
        <v>1</v>
      </c>
      <c r="M534" s="12" t="s">
        <v>1739</v>
      </c>
      <c r="N534" s="161">
        <v>45017</v>
      </c>
      <c r="O534" s="5" t="s">
        <v>982</v>
      </c>
      <c r="P534" s="9" t="s">
        <v>5641</v>
      </c>
      <c r="Q534" s="160" t="s">
        <v>5642</v>
      </c>
      <c r="R534" s="9"/>
      <c r="S534" s="162"/>
      <c r="T534" s="183">
        <v>2022109202</v>
      </c>
      <c r="U534" s="150">
        <v>57650</v>
      </c>
      <c r="V534" s="11" t="s">
        <v>5122</v>
      </c>
      <c r="W534" s="160" t="s">
        <v>5484</v>
      </c>
      <c r="X534" s="9" t="s">
        <v>5643</v>
      </c>
      <c r="Y534" s="51">
        <v>45588</v>
      </c>
      <c r="Z534" s="172"/>
    </row>
    <row r="535" spans="1:26" ht="39" customHeight="1" x14ac:dyDescent="0.25">
      <c r="A535" s="5">
        <v>66</v>
      </c>
      <c r="B535" s="154" t="s">
        <v>5644</v>
      </c>
      <c r="C535" s="67" t="s">
        <v>18</v>
      </c>
      <c r="D535" s="12"/>
      <c r="E535" s="154" t="s">
        <v>1648</v>
      </c>
      <c r="F535" s="155">
        <v>33806</v>
      </c>
      <c r="G535" s="106" t="s">
        <v>5645</v>
      </c>
      <c r="H535" s="68" t="s">
        <v>5646</v>
      </c>
      <c r="I535" s="5" t="s">
        <v>1717</v>
      </c>
      <c r="J535" s="161">
        <v>45383</v>
      </c>
      <c r="K535" s="5">
        <v>5</v>
      </c>
      <c r="L535" s="5">
        <v>1</v>
      </c>
      <c r="M535" s="12" t="s">
        <v>1739</v>
      </c>
      <c r="N535" s="161">
        <v>45170</v>
      </c>
      <c r="O535" s="5" t="s">
        <v>982</v>
      </c>
      <c r="P535" s="160" t="s">
        <v>2023</v>
      </c>
      <c r="Q535" s="160" t="s">
        <v>5647</v>
      </c>
      <c r="R535" s="12"/>
      <c r="S535" s="162"/>
      <c r="T535" s="183">
        <v>2021079202</v>
      </c>
      <c r="U535" s="150">
        <v>57558</v>
      </c>
      <c r="V535" s="11" t="s">
        <v>5132</v>
      </c>
      <c r="W535" s="160" t="s">
        <v>5133</v>
      </c>
      <c r="X535" s="11" t="s">
        <v>5648</v>
      </c>
      <c r="Y535" s="51">
        <v>45588</v>
      </c>
      <c r="Z535" s="154"/>
    </row>
    <row r="536" spans="1:26" ht="39" customHeight="1" x14ac:dyDescent="0.25">
      <c r="A536" s="5">
        <v>67</v>
      </c>
      <c r="B536" s="154" t="s">
        <v>5649</v>
      </c>
      <c r="C536" s="67" t="s">
        <v>46</v>
      </c>
      <c r="D536" s="12"/>
      <c r="E536" s="154" t="s">
        <v>1489</v>
      </c>
      <c r="F536" s="155">
        <v>31176</v>
      </c>
      <c r="G536" s="106" t="s">
        <v>5650</v>
      </c>
      <c r="H536" s="68" t="s">
        <v>5651</v>
      </c>
      <c r="I536" s="5" t="s">
        <v>1717</v>
      </c>
      <c r="J536" s="161">
        <v>45383</v>
      </c>
      <c r="K536" s="5">
        <v>5</v>
      </c>
      <c r="L536" s="5">
        <v>1</v>
      </c>
      <c r="M536" s="12" t="s">
        <v>1739</v>
      </c>
      <c r="N536" s="161">
        <v>45017</v>
      </c>
      <c r="O536" s="5" t="s">
        <v>982</v>
      </c>
      <c r="P536" s="160" t="s">
        <v>5600</v>
      </c>
      <c r="Q536" s="160" t="s">
        <v>5652</v>
      </c>
      <c r="R536" s="12"/>
      <c r="S536" s="162"/>
      <c r="T536" s="183">
        <v>2009058504</v>
      </c>
      <c r="U536" s="150">
        <v>54940</v>
      </c>
      <c r="V536" s="11" t="s">
        <v>5122</v>
      </c>
      <c r="W536" s="160" t="s">
        <v>5653</v>
      </c>
      <c r="X536" s="9" t="s">
        <v>5654</v>
      </c>
      <c r="Y536" s="51">
        <v>45588</v>
      </c>
      <c r="Z536" s="153"/>
    </row>
    <row r="537" spans="1:26" ht="39" customHeight="1" x14ac:dyDescent="0.25">
      <c r="A537" s="5">
        <v>68</v>
      </c>
      <c r="B537" s="14" t="s">
        <v>5655</v>
      </c>
      <c r="C537" s="5" t="s">
        <v>46</v>
      </c>
      <c r="D537" s="10" t="s">
        <v>5656</v>
      </c>
      <c r="E537" s="14" t="s">
        <v>2400</v>
      </c>
      <c r="F537" s="150" t="s">
        <v>5657</v>
      </c>
      <c r="G537" s="8" t="s">
        <v>5658</v>
      </c>
      <c r="H537" s="68" t="s">
        <v>5659</v>
      </c>
      <c r="I537" s="5" t="s">
        <v>1991</v>
      </c>
      <c r="J537" s="150">
        <v>43739</v>
      </c>
      <c r="K537" s="5">
        <v>13</v>
      </c>
      <c r="L537" s="5">
        <v>6</v>
      </c>
      <c r="M537" s="12" t="s">
        <v>1739</v>
      </c>
      <c r="N537" s="161">
        <v>45017</v>
      </c>
      <c r="O537" s="5" t="s">
        <v>982</v>
      </c>
      <c r="P537" s="157" t="s">
        <v>5435</v>
      </c>
      <c r="Q537" s="11" t="s">
        <v>5660</v>
      </c>
      <c r="R537" s="9"/>
      <c r="S537" s="162">
        <v>112100515110034</v>
      </c>
      <c r="T537" s="20">
        <v>2022058101</v>
      </c>
      <c r="U537" s="150">
        <v>53479</v>
      </c>
      <c r="V537" s="14" t="s">
        <v>5122</v>
      </c>
      <c r="W537" s="14" t="s">
        <v>5560</v>
      </c>
      <c r="X537" s="11"/>
      <c r="Y537" s="5"/>
      <c r="Z537" s="154" t="s">
        <v>1084</v>
      </c>
    </row>
    <row r="538" spans="1:26" ht="39" customHeight="1" x14ac:dyDescent="0.25">
      <c r="A538" s="5">
        <v>69</v>
      </c>
      <c r="B538" s="9" t="s">
        <v>5661</v>
      </c>
      <c r="C538" s="10" t="s">
        <v>18</v>
      </c>
      <c r="D538" s="10"/>
      <c r="E538" s="9" t="s">
        <v>5577</v>
      </c>
      <c r="F538" s="161">
        <v>29987</v>
      </c>
      <c r="G538" s="151" t="s">
        <v>5662</v>
      </c>
      <c r="H538" s="68" t="s">
        <v>5663</v>
      </c>
      <c r="I538" s="10" t="s">
        <v>1991</v>
      </c>
      <c r="J538" s="150">
        <v>42064</v>
      </c>
      <c r="K538" s="5">
        <v>0</v>
      </c>
      <c r="L538" s="5">
        <v>0</v>
      </c>
      <c r="M538" s="12" t="s">
        <v>1121</v>
      </c>
      <c r="N538" s="150">
        <v>43009</v>
      </c>
      <c r="O538" s="5" t="s">
        <v>982</v>
      </c>
      <c r="P538" s="11" t="s">
        <v>5664</v>
      </c>
      <c r="Q538" s="9" t="s">
        <v>4372</v>
      </c>
      <c r="R538" s="168"/>
      <c r="S538" s="14" t="s">
        <v>5665</v>
      </c>
      <c r="T538" s="20" t="s">
        <v>5666</v>
      </c>
      <c r="U538" s="150">
        <v>53752</v>
      </c>
      <c r="V538" s="14" t="s">
        <v>5155</v>
      </c>
      <c r="W538" s="9" t="s">
        <v>5422</v>
      </c>
      <c r="X538" s="9"/>
      <c r="Y538" s="10"/>
      <c r="Z538" s="172"/>
    </row>
    <row r="539" spans="1:26" ht="39" customHeight="1" x14ac:dyDescent="0.25">
      <c r="A539" s="5">
        <v>70</v>
      </c>
      <c r="B539" s="9" t="s">
        <v>5667</v>
      </c>
      <c r="C539" s="10" t="s">
        <v>46</v>
      </c>
      <c r="D539" s="10"/>
      <c r="E539" s="9" t="s">
        <v>2766</v>
      </c>
      <c r="F539" s="161">
        <v>31754</v>
      </c>
      <c r="G539" s="151" t="s">
        <v>5668</v>
      </c>
      <c r="H539" s="68" t="s">
        <v>5669</v>
      </c>
      <c r="I539" s="10" t="s">
        <v>1991</v>
      </c>
      <c r="J539" s="150">
        <v>42064</v>
      </c>
      <c r="K539" s="5">
        <v>0</v>
      </c>
      <c r="L539" s="5">
        <v>0</v>
      </c>
      <c r="M539" s="12" t="s">
        <v>1121</v>
      </c>
      <c r="N539" s="150">
        <v>43040</v>
      </c>
      <c r="O539" s="5" t="s">
        <v>982</v>
      </c>
      <c r="P539" s="11" t="s">
        <v>5341</v>
      </c>
      <c r="Q539" s="11" t="s">
        <v>5580</v>
      </c>
      <c r="R539" s="168"/>
      <c r="S539" s="79">
        <v>192100517421</v>
      </c>
      <c r="T539" s="20" t="s">
        <v>5670</v>
      </c>
      <c r="U539" s="150">
        <v>55519</v>
      </c>
      <c r="V539" s="14" t="s">
        <v>5132</v>
      </c>
      <c r="W539" s="9" t="s">
        <v>5671</v>
      </c>
      <c r="X539" s="9"/>
      <c r="Y539" s="10"/>
      <c r="Z539" s="172"/>
    </row>
    <row r="540" spans="1:26" ht="39" customHeight="1" x14ac:dyDescent="0.25">
      <c r="A540" s="5">
        <v>71</v>
      </c>
      <c r="B540" s="154" t="s">
        <v>5672</v>
      </c>
      <c r="C540" s="67" t="s">
        <v>46</v>
      </c>
      <c r="D540" s="5"/>
      <c r="E540" s="154" t="s">
        <v>3300</v>
      </c>
      <c r="F540" s="155">
        <v>33764</v>
      </c>
      <c r="G540" s="106" t="s">
        <v>5673</v>
      </c>
      <c r="H540" s="68" t="s">
        <v>5674</v>
      </c>
      <c r="I540" s="5" t="s">
        <v>1991</v>
      </c>
      <c r="J540" s="161">
        <v>43525</v>
      </c>
      <c r="K540" s="5">
        <v>0</v>
      </c>
      <c r="L540" s="5">
        <v>0</v>
      </c>
      <c r="M540" s="12" t="s">
        <v>1121</v>
      </c>
      <c r="N540" s="161">
        <v>44256</v>
      </c>
      <c r="O540" s="5" t="s">
        <v>982</v>
      </c>
      <c r="P540" s="9" t="s">
        <v>5617</v>
      </c>
      <c r="Q540" s="160" t="s">
        <v>5675</v>
      </c>
      <c r="R540" s="9"/>
      <c r="S540" s="162"/>
      <c r="T540" s="183">
        <v>2009069201</v>
      </c>
      <c r="U540" s="150">
        <v>57527</v>
      </c>
      <c r="V540" s="11" t="s">
        <v>5193</v>
      </c>
      <c r="W540" s="160" t="s">
        <v>5631</v>
      </c>
      <c r="X540" s="9"/>
      <c r="Y540" s="10"/>
      <c r="Z540" s="153" t="s">
        <v>1965</v>
      </c>
    </row>
    <row r="541" spans="1:26" ht="39" customHeight="1" x14ac:dyDescent="0.25">
      <c r="A541" s="5">
        <v>72</v>
      </c>
      <c r="B541" s="154" t="s">
        <v>5676</v>
      </c>
      <c r="C541" s="67" t="s">
        <v>18</v>
      </c>
      <c r="D541" s="5"/>
      <c r="E541" s="154" t="s">
        <v>5677</v>
      </c>
      <c r="F541" s="155">
        <v>31001</v>
      </c>
      <c r="G541" s="106" t="s">
        <v>5678</v>
      </c>
      <c r="H541" s="68" t="s">
        <v>5679</v>
      </c>
      <c r="I541" s="5" t="s">
        <v>1717</v>
      </c>
      <c r="J541" s="161">
        <v>45627</v>
      </c>
      <c r="K541" s="5">
        <v>5</v>
      </c>
      <c r="L541" s="5">
        <v>9</v>
      </c>
      <c r="M541" s="12" t="s">
        <v>1739</v>
      </c>
      <c r="N541" s="161">
        <v>45536</v>
      </c>
      <c r="O541" s="5" t="s">
        <v>982</v>
      </c>
      <c r="P541" s="9" t="s">
        <v>5680</v>
      </c>
      <c r="Q541" s="160" t="s">
        <v>5681</v>
      </c>
      <c r="R541" s="9"/>
      <c r="S541" s="162"/>
      <c r="T541" s="183">
        <v>2015118401</v>
      </c>
      <c r="U541" s="150">
        <v>54758</v>
      </c>
      <c r="V541" s="11" t="s">
        <v>5193</v>
      </c>
      <c r="W541" s="160" t="s">
        <v>5682</v>
      </c>
      <c r="X541" s="11" t="s">
        <v>5683</v>
      </c>
      <c r="Y541" s="51">
        <v>45141</v>
      </c>
      <c r="Z541" s="153"/>
    </row>
    <row r="542" spans="1:26" ht="39" customHeight="1" x14ac:dyDescent="0.25">
      <c r="A542" s="5">
        <v>73</v>
      </c>
      <c r="B542" s="154" t="s">
        <v>5684</v>
      </c>
      <c r="C542" s="67" t="s">
        <v>18</v>
      </c>
      <c r="D542" s="5"/>
      <c r="E542" s="154" t="s">
        <v>1489</v>
      </c>
      <c r="F542" s="155">
        <v>32139</v>
      </c>
      <c r="G542" s="106" t="s">
        <v>5685</v>
      </c>
      <c r="H542" s="68" t="s">
        <v>5686</v>
      </c>
      <c r="I542" s="5" t="s">
        <v>1991</v>
      </c>
      <c r="J542" s="161">
        <v>43525</v>
      </c>
      <c r="K542" s="5">
        <v>0</v>
      </c>
      <c r="L542" s="5">
        <v>0</v>
      </c>
      <c r="M542" s="12" t="s">
        <v>1121</v>
      </c>
      <c r="N542" s="161">
        <v>44531</v>
      </c>
      <c r="O542" s="5" t="s">
        <v>982</v>
      </c>
      <c r="P542" s="9"/>
      <c r="Q542" s="160" t="s">
        <v>5687</v>
      </c>
      <c r="R542" s="9"/>
      <c r="S542" s="162"/>
      <c r="T542" s="183">
        <v>2028128702</v>
      </c>
      <c r="U542" s="150">
        <v>55885</v>
      </c>
      <c r="V542" s="11" t="s">
        <v>5193</v>
      </c>
      <c r="W542" s="160" t="s">
        <v>5682</v>
      </c>
      <c r="X542" s="9"/>
      <c r="Y542" s="10"/>
      <c r="Z542" s="153"/>
    </row>
    <row r="543" spans="1:26" ht="39" customHeight="1" x14ac:dyDescent="0.25">
      <c r="A543" s="5">
        <v>74</v>
      </c>
      <c r="B543" s="40" t="s">
        <v>5688</v>
      </c>
      <c r="C543" s="39" t="s">
        <v>46</v>
      </c>
      <c r="D543" s="5"/>
      <c r="E543" s="40" t="s">
        <v>2055</v>
      </c>
      <c r="F543" s="170">
        <v>33249</v>
      </c>
      <c r="G543" s="156" t="s">
        <v>5689</v>
      </c>
      <c r="H543" s="68" t="s">
        <v>5690</v>
      </c>
      <c r="I543" s="5" t="s">
        <v>1717</v>
      </c>
      <c r="J543" s="161">
        <v>45383</v>
      </c>
      <c r="K543" s="5">
        <v>5</v>
      </c>
      <c r="L543" s="5">
        <v>1</v>
      </c>
      <c r="M543" s="12" t="s">
        <v>1739</v>
      </c>
      <c r="N543" s="161">
        <v>45017</v>
      </c>
      <c r="O543" s="5" t="s">
        <v>982</v>
      </c>
      <c r="P543" s="9" t="s">
        <v>5691</v>
      </c>
      <c r="Q543" s="160" t="s">
        <v>5692</v>
      </c>
      <c r="R543" s="9"/>
      <c r="S543" s="162"/>
      <c r="T543" s="183">
        <v>2001019102</v>
      </c>
      <c r="U543" s="150">
        <v>57011</v>
      </c>
      <c r="V543" s="11" t="s">
        <v>5132</v>
      </c>
      <c r="W543" s="160" t="s">
        <v>5693</v>
      </c>
      <c r="X543" s="9"/>
      <c r="Y543" s="10"/>
      <c r="Z543" s="153"/>
    </row>
    <row r="544" spans="1:26" ht="39" customHeight="1" x14ac:dyDescent="0.25">
      <c r="A544" s="5">
        <v>75</v>
      </c>
      <c r="B544" s="154" t="s">
        <v>5694</v>
      </c>
      <c r="C544" s="67" t="s">
        <v>46</v>
      </c>
      <c r="D544" s="5"/>
      <c r="E544" s="154" t="s">
        <v>2400</v>
      </c>
      <c r="F544" s="155">
        <v>32334</v>
      </c>
      <c r="G544" s="106" t="s">
        <v>5695</v>
      </c>
      <c r="H544" s="68" t="s">
        <v>5696</v>
      </c>
      <c r="I544" s="5" t="s">
        <v>1991</v>
      </c>
      <c r="J544" s="161">
        <v>43525</v>
      </c>
      <c r="K544" s="5">
        <v>0</v>
      </c>
      <c r="L544" s="5">
        <v>0</v>
      </c>
      <c r="M544" s="12" t="s">
        <v>1121</v>
      </c>
      <c r="N544" s="161">
        <v>44440</v>
      </c>
      <c r="O544" s="5" t="s">
        <v>982</v>
      </c>
      <c r="P544" s="9"/>
      <c r="Q544" s="160" t="s">
        <v>5697</v>
      </c>
      <c r="R544" s="9"/>
      <c r="S544" s="162"/>
      <c r="T544" s="183">
        <v>2010078801</v>
      </c>
      <c r="U544" s="150">
        <v>56097</v>
      </c>
      <c r="V544" s="11" t="s">
        <v>5193</v>
      </c>
      <c r="W544" s="160" t="s">
        <v>5698</v>
      </c>
      <c r="X544" s="9" t="s">
        <v>5699</v>
      </c>
      <c r="Y544" s="51">
        <v>45588</v>
      </c>
      <c r="Z544" s="40"/>
    </row>
    <row r="545" spans="1:26" ht="39" customHeight="1" x14ac:dyDescent="0.25">
      <c r="A545" s="5">
        <v>76</v>
      </c>
      <c r="B545" s="154" t="s">
        <v>5700</v>
      </c>
      <c r="C545" s="67" t="s">
        <v>46</v>
      </c>
      <c r="D545" s="5"/>
      <c r="E545" s="154" t="s">
        <v>5701</v>
      </c>
      <c r="F545" s="155">
        <v>31675</v>
      </c>
      <c r="G545" s="106" t="s">
        <v>5702</v>
      </c>
      <c r="H545" s="68" t="s">
        <v>5703</v>
      </c>
      <c r="I545" s="5" t="s">
        <v>1991</v>
      </c>
      <c r="J545" s="161">
        <v>43525</v>
      </c>
      <c r="K545" s="5">
        <v>0</v>
      </c>
      <c r="L545" s="5">
        <v>0</v>
      </c>
      <c r="M545" s="12" t="s">
        <v>1121</v>
      </c>
      <c r="N545" s="161">
        <v>44652</v>
      </c>
      <c r="O545" s="5" t="s">
        <v>982</v>
      </c>
      <c r="P545" s="9" t="s">
        <v>5704</v>
      </c>
      <c r="Q545" s="160" t="s">
        <v>5705</v>
      </c>
      <c r="R545" s="9"/>
      <c r="S545" s="162"/>
      <c r="T545" s="227" t="s">
        <v>5706</v>
      </c>
      <c r="U545" s="150">
        <v>55427</v>
      </c>
      <c r="V545" s="11" t="s">
        <v>5469</v>
      </c>
      <c r="W545" s="160" t="s">
        <v>2048</v>
      </c>
      <c r="X545" s="9" t="s">
        <v>5707</v>
      </c>
      <c r="Y545" s="31">
        <v>45632</v>
      </c>
      <c r="Z545" s="153"/>
    </row>
    <row r="546" spans="1:26" ht="39" customHeight="1" x14ac:dyDescent="0.25">
      <c r="A546" s="5">
        <v>77</v>
      </c>
      <c r="B546" s="154" t="s">
        <v>5708</v>
      </c>
      <c r="C546" s="67" t="s">
        <v>18</v>
      </c>
      <c r="D546" s="5"/>
      <c r="E546" s="154" t="s">
        <v>2927</v>
      </c>
      <c r="F546" s="155">
        <v>31818</v>
      </c>
      <c r="G546" s="106" t="s">
        <v>5709</v>
      </c>
      <c r="H546" s="68" t="s">
        <v>5710</v>
      </c>
      <c r="I546" s="5" t="s">
        <v>1991</v>
      </c>
      <c r="J546" s="161">
        <v>43525</v>
      </c>
      <c r="K546" s="5">
        <v>0</v>
      </c>
      <c r="L546" s="5">
        <v>0</v>
      </c>
      <c r="M546" s="12" t="s">
        <v>1121</v>
      </c>
      <c r="N546" s="161">
        <v>44256</v>
      </c>
      <c r="O546" s="5" t="s">
        <v>982</v>
      </c>
      <c r="P546" s="9" t="s">
        <v>5711</v>
      </c>
      <c r="Q546" s="160" t="s">
        <v>5712</v>
      </c>
      <c r="R546" s="9"/>
      <c r="S546" s="162"/>
      <c r="T546" s="183" t="s">
        <v>5713</v>
      </c>
      <c r="U546" s="150">
        <v>55579</v>
      </c>
      <c r="V546" s="11" t="s">
        <v>5296</v>
      </c>
      <c r="W546" s="160" t="s">
        <v>5714</v>
      </c>
      <c r="X546" s="9" t="s">
        <v>5715</v>
      </c>
      <c r="Y546" s="51">
        <v>45588</v>
      </c>
      <c r="Z546" s="172"/>
    </row>
    <row r="547" spans="1:26" ht="39" customHeight="1" x14ac:dyDescent="0.25">
      <c r="A547" s="5">
        <v>78</v>
      </c>
      <c r="B547" s="160" t="s">
        <v>5716</v>
      </c>
      <c r="C547" s="39" t="s">
        <v>46</v>
      </c>
      <c r="D547" s="5"/>
      <c r="E547" s="40" t="s">
        <v>1489</v>
      </c>
      <c r="F547" s="170">
        <v>33506</v>
      </c>
      <c r="G547" s="156" t="s">
        <v>5717</v>
      </c>
      <c r="H547" s="68" t="s">
        <v>5718</v>
      </c>
      <c r="I547" s="5" t="s">
        <v>1991</v>
      </c>
      <c r="J547" s="161">
        <v>43525</v>
      </c>
      <c r="K547" s="5">
        <v>0</v>
      </c>
      <c r="L547" s="5">
        <v>0</v>
      </c>
      <c r="M547" s="12" t="s">
        <v>1121</v>
      </c>
      <c r="N547" s="161">
        <v>44652</v>
      </c>
      <c r="O547" s="5" t="s">
        <v>982</v>
      </c>
      <c r="P547" s="9" t="s">
        <v>5719</v>
      </c>
      <c r="Q547" s="160" t="s">
        <v>5720</v>
      </c>
      <c r="R547" s="9"/>
      <c r="S547" s="162"/>
      <c r="T547" s="183">
        <v>2025099101</v>
      </c>
      <c r="U547" s="150">
        <v>57254</v>
      </c>
      <c r="V547" s="11" t="s">
        <v>5193</v>
      </c>
      <c r="W547" s="160" t="s">
        <v>5721</v>
      </c>
      <c r="X547" s="9"/>
      <c r="Y547" s="10"/>
      <c r="Z547" s="153"/>
    </row>
    <row r="548" spans="1:26" ht="39" customHeight="1" x14ac:dyDescent="0.25">
      <c r="A548" s="5">
        <v>79</v>
      </c>
      <c r="B548" s="154" t="s">
        <v>5722</v>
      </c>
      <c r="C548" s="67" t="s">
        <v>46</v>
      </c>
      <c r="D548" s="5"/>
      <c r="E548" s="154" t="s">
        <v>1489</v>
      </c>
      <c r="F548" s="155">
        <v>33760</v>
      </c>
      <c r="G548" s="106" t="s">
        <v>5723</v>
      </c>
      <c r="H548" s="68" t="s">
        <v>5724</v>
      </c>
      <c r="I548" s="5" t="s">
        <v>1991</v>
      </c>
      <c r="J548" s="161">
        <v>43525</v>
      </c>
      <c r="K548" s="5">
        <v>0</v>
      </c>
      <c r="L548" s="5">
        <v>0</v>
      </c>
      <c r="M548" s="12" t="s">
        <v>1121</v>
      </c>
      <c r="N548" s="161">
        <v>44440</v>
      </c>
      <c r="O548" s="5" t="s">
        <v>982</v>
      </c>
      <c r="P548" s="9" t="s">
        <v>5725</v>
      </c>
      <c r="Q548" s="160" t="s">
        <v>5726</v>
      </c>
      <c r="R548" s="9"/>
      <c r="S548" s="162"/>
      <c r="T548" s="183">
        <v>2005069202</v>
      </c>
      <c r="U548" s="150">
        <v>57497</v>
      </c>
      <c r="V548" s="11" t="s">
        <v>5132</v>
      </c>
      <c r="W548" s="160" t="s">
        <v>5727</v>
      </c>
      <c r="X548" s="9"/>
      <c r="Y548" s="10"/>
      <c r="Z548" s="153"/>
    </row>
    <row r="549" spans="1:26" ht="39" customHeight="1" x14ac:dyDescent="0.25">
      <c r="A549" s="5">
        <v>80</v>
      </c>
      <c r="B549" s="154" t="s">
        <v>5728</v>
      </c>
      <c r="C549" s="67" t="s">
        <v>18</v>
      </c>
      <c r="D549" s="12"/>
      <c r="E549" s="154" t="s">
        <v>1714</v>
      </c>
      <c r="F549" s="155">
        <v>32579</v>
      </c>
      <c r="G549" s="106" t="s">
        <v>5729</v>
      </c>
      <c r="H549" s="68" t="s">
        <v>5730</v>
      </c>
      <c r="I549" s="5" t="s">
        <v>1991</v>
      </c>
      <c r="J549" s="161">
        <v>43525</v>
      </c>
      <c r="K549" s="5">
        <v>0</v>
      </c>
      <c r="L549" s="5">
        <v>0</v>
      </c>
      <c r="M549" s="12" t="s">
        <v>1121</v>
      </c>
      <c r="N549" s="161">
        <v>44256</v>
      </c>
      <c r="O549" s="5" t="s">
        <v>982</v>
      </c>
      <c r="P549" s="160" t="s">
        <v>5731</v>
      </c>
      <c r="Q549" s="160" t="s">
        <v>5732</v>
      </c>
      <c r="R549" s="12"/>
      <c r="S549" s="162"/>
      <c r="T549" s="183">
        <v>2012038902</v>
      </c>
      <c r="U549" s="150">
        <v>56340</v>
      </c>
      <c r="V549" s="11" t="s">
        <v>5296</v>
      </c>
      <c r="W549" s="160" t="s">
        <v>3678</v>
      </c>
      <c r="X549" s="9"/>
      <c r="Y549" s="10"/>
      <c r="Z549" s="153" t="s">
        <v>1965</v>
      </c>
    </row>
    <row r="550" spans="1:26" ht="39" customHeight="1" x14ac:dyDescent="0.25">
      <c r="A550" s="5">
        <v>81</v>
      </c>
      <c r="B550" s="154" t="s">
        <v>5733</v>
      </c>
      <c r="C550" s="67" t="s">
        <v>46</v>
      </c>
      <c r="D550" s="12"/>
      <c r="E550" s="154" t="s">
        <v>2042</v>
      </c>
      <c r="F550" s="155">
        <v>32730</v>
      </c>
      <c r="G550" s="106" t="s">
        <v>5734</v>
      </c>
      <c r="H550" s="68" t="s">
        <v>5735</v>
      </c>
      <c r="I550" s="5" t="s">
        <v>1991</v>
      </c>
      <c r="J550" s="161">
        <v>43525</v>
      </c>
      <c r="K550" s="5">
        <v>0</v>
      </c>
      <c r="L550" s="5">
        <v>0</v>
      </c>
      <c r="M550" s="12" t="s">
        <v>1121</v>
      </c>
      <c r="N550" s="161">
        <v>44440</v>
      </c>
      <c r="O550" s="5" t="s">
        <v>982</v>
      </c>
      <c r="P550" s="160" t="s">
        <v>5736</v>
      </c>
      <c r="Q550" s="160" t="s">
        <v>5737</v>
      </c>
      <c r="R550" s="12"/>
      <c r="S550" s="162"/>
      <c r="T550" s="183">
        <v>2010088902</v>
      </c>
      <c r="U550" s="150">
        <v>56493</v>
      </c>
      <c r="V550" s="14" t="s">
        <v>5122</v>
      </c>
      <c r="W550" s="160" t="s">
        <v>5738</v>
      </c>
      <c r="X550" s="9"/>
      <c r="Y550" s="10"/>
      <c r="Z550" s="153"/>
    </row>
    <row r="551" spans="1:26" ht="39" customHeight="1" x14ac:dyDescent="0.25">
      <c r="A551" s="5">
        <v>82</v>
      </c>
      <c r="B551" s="154" t="s">
        <v>5739</v>
      </c>
      <c r="C551" s="67" t="s">
        <v>46</v>
      </c>
      <c r="D551" s="12"/>
      <c r="E551" s="154" t="s">
        <v>5740</v>
      </c>
      <c r="F551" s="155">
        <v>31708</v>
      </c>
      <c r="G551" s="106" t="s">
        <v>5741</v>
      </c>
      <c r="H551" s="68" t="s">
        <v>5742</v>
      </c>
      <c r="I551" s="5" t="s">
        <v>1991</v>
      </c>
      <c r="J551" s="161">
        <v>43525</v>
      </c>
      <c r="K551" s="5">
        <v>0</v>
      </c>
      <c r="L551" s="5">
        <v>0</v>
      </c>
      <c r="M551" s="12" t="s">
        <v>1121</v>
      </c>
      <c r="N551" s="161">
        <v>44652</v>
      </c>
      <c r="O551" s="5" t="s">
        <v>982</v>
      </c>
      <c r="P551" s="160" t="s">
        <v>5743</v>
      </c>
      <c r="Q551" s="160" t="s">
        <v>5744</v>
      </c>
      <c r="R551" s="12"/>
      <c r="S551" s="162"/>
      <c r="T551" s="183" t="s">
        <v>5745</v>
      </c>
      <c r="U551" s="150">
        <v>55458</v>
      </c>
      <c r="V551" s="14" t="s">
        <v>5193</v>
      </c>
      <c r="W551" s="160" t="s">
        <v>5746</v>
      </c>
      <c r="X551" s="9" t="s">
        <v>5747</v>
      </c>
      <c r="Y551" s="51">
        <v>45588</v>
      </c>
      <c r="Z551" s="172"/>
    </row>
    <row r="552" spans="1:26" ht="39" customHeight="1" x14ac:dyDescent="0.25">
      <c r="A552" s="5">
        <v>83</v>
      </c>
      <c r="B552" s="154" t="s">
        <v>5748</v>
      </c>
      <c r="C552" s="67" t="s">
        <v>46</v>
      </c>
      <c r="D552" s="12"/>
      <c r="E552" s="154" t="s">
        <v>1934</v>
      </c>
      <c r="F552" s="155">
        <v>33694</v>
      </c>
      <c r="G552" s="106" t="s">
        <v>5749</v>
      </c>
      <c r="H552" s="68" t="s">
        <v>5750</v>
      </c>
      <c r="I552" s="5" t="s">
        <v>1717</v>
      </c>
      <c r="J552" s="161">
        <v>45627</v>
      </c>
      <c r="K552" s="5">
        <v>5</v>
      </c>
      <c r="L552" s="5">
        <v>9</v>
      </c>
      <c r="M552" s="12" t="s">
        <v>1739</v>
      </c>
      <c r="N552" s="161">
        <v>45536</v>
      </c>
      <c r="O552" s="5" t="s">
        <v>982</v>
      </c>
      <c r="P552" s="160" t="s">
        <v>4336</v>
      </c>
      <c r="Q552" s="160" t="s">
        <v>5751</v>
      </c>
      <c r="R552" s="12"/>
      <c r="S552" s="162"/>
      <c r="T552" s="227">
        <v>2031039201</v>
      </c>
      <c r="U552" s="150">
        <v>57436</v>
      </c>
      <c r="V552" s="11" t="s">
        <v>5469</v>
      </c>
      <c r="W552" s="160" t="s">
        <v>5752</v>
      </c>
      <c r="X552" s="9" t="s">
        <v>5753</v>
      </c>
      <c r="Y552" s="51">
        <v>45588</v>
      </c>
      <c r="Z552" s="172"/>
    </row>
    <row r="553" spans="1:26" ht="39" customHeight="1" x14ac:dyDescent="0.25">
      <c r="A553" s="5">
        <v>84</v>
      </c>
      <c r="B553" s="154" t="s">
        <v>5754</v>
      </c>
      <c r="C553" s="67" t="s">
        <v>18</v>
      </c>
      <c r="D553" s="12"/>
      <c r="E553" s="154" t="s">
        <v>1489</v>
      </c>
      <c r="F553" s="155">
        <v>31888</v>
      </c>
      <c r="G553" s="106" t="s">
        <v>5755</v>
      </c>
      <c r="H553" s="68" t="s">
        <v>5756</v>
      </c>
      <c r="I553" s="5" t="s">
        <v>1717</v>
      </c>
      <c r="J553" s="161">
        <v>45627</v>
      </c>
      <c r="K553" s="5">
        <v>5</v>
      </c>
      <c r="L553" s="5">
        <v>9</v>
      </c>
      <c r="M553" s="12" t="s">
        <v>1739</v>
      </c>
      <c r="N553" s="161">
        <v>45536</v>
      </c>
      <c r="O553" s="5" t="s">
        <v>982</v>
      </c>
      <c r="P553" s="160" t="s">
        <v>5757</v>
      </c>
      <c r="Q553" s="160" t="s">
        <v>5758</v>
      </c>
      <c r="R553" s="12"/>
      <c r="S553" s="162"/>
      <c r="T553" s="183">
        <v>2021048704</v>
      </c>
      <c r="U553" s="150">
        <v>55640</v>
      </c>
      <c r="V553" s="11" t="s">
        <v>5193</v>
      </c>
      <c r="W553" s="160" t="s">
        <v>5759</v>
      </c>
      <c r="X553" s="9" t="s">
        <v>5760</v>
      </c>
      <c r="Y553" s="51">
        <v>45588</v>
      </c>
      <c r="Z553" s="40"/>
    </row>
    <row r="554" spans="1:26" ht="39" customHeight="1" x14ac:dyDescent="0.25">
      <c r="A554" s="5">
        <v>85</v>
      </c>
      <c r="B554" s="154" t="s">
        <v>5761</v>
      </c>
      <c r="C554" s="67" t="s">
        <v>46</v>
      </c>
      <c r="D554" s="12"/>
      <c r="E554" s="154" t="s">
        <v>3627</v>
      </c>
      <c r="F554" s="155">
        <v>32351</v>
      </c>
      <c r="G554" s="106" t="s">
        <v>5762</v>
      </c>
      <c r="H554" s="68" t="s">
        <v>5763</v>
      </c>
      <c r="I554" s="5" t="s">
        <v>1991</v>
      </c>
      <c r="J554" s="161">
        <v>43525</v>
      </c>
      <c r="K554" s="5">
        <v>0</v>
      </c>
      <c r="L554" s="5">
        <v>0</v>
      </c>
      <c r="M554" s="12" t="s">
        <v>1121</v>
      </c>
      <c r="N554" s="161">
        <v>44652</v>
      </c>
      <c r="O554" s="5" t="s">
        <v>982</v>
      </c>
      <c r="P554" s="160" t="s">
        <v>5764</v>
      </c>
      <c r="Q554" s="160" t="s">
        <v>5765</v>
      </c>
      <c r="R554" s="12"/>
      <c r="S554" s="162"/>
      <c r="T554" s="183">
        <v>2028078801</v>
      </c>
      <c r="U554" s="150">
        <v>56097</v>
      </c>
      <c r="V554" s="11" t="s">
        <v>5296</v>
      </c>
      <c r="W554" s="160" t="s">
        <v>5746</v>
      </c>
      <c r="X554" s="9"/>
      <c r="Y554" s="10"/>
      <c r="Z554" s="153"/>
    </row>
    <row r="555" spans="1:26" ht="39" customHeight="1" x14ac:dyDescent="0.25">
      <c r="A555" s="5">
        <v>86</v>
      </c>
      <c r="B555" s="154" t="s">
        <v>5766</v>
      </c>
      <c r="C555" s="67" t="s">
        <v>46</v>
      </c>
      <c r="D555" s="12"/>
      <c r="E555" s="154" t="s">
        <v>2114</v>
      </c>
      <c r="F555" s="155">
        <v>32302</v>
      </c>
      <c r="G555" s="106" t="s">
        <v>5767</v>
      </c>
      <c r="H555" s="68" t="s">
        <v>5768</v>
      </c>
      <c r="I555" s="5" t="s">
        <v>1991</v>
      </c>
      <c r="J555" s="161">
        <v>43525</v>
      </c>
      <c r="K555" s="5">
        <v>0</v>
      </c>
      <c r="L555" s="5">
        <v>0</v>
      </c>
      <c r="M555" s="12" t="s">
        <v>1121</v>
      </c>
      <c r="N555" s="161">
        <v>44866</v>
      </c>
      <c r="O555" s="5" t="s">
        <v>982</v>
      </c>
      <c r="P555" s="160" t="s">
        <v>2705</v>
      </c>
      <c r="Q555" s="160" t="s">
        <v>5769</v>
      </c>
      <c r="R555" s="12"/>
      <c r="S555" s="162"/>
      <c r="T555" s="183" t="s">
        <v>5770</v>
      </c>
      <c r="U555" s="150">
        <v>56066</v>
      </c>
      <c r="V555" s="14" t="s">
        <v>5122</v>
      </c>
      <c r="W555" s="160" t="s">
        <v>5771</v>
      </c>
      <c r="X555" s="9"/>
      <c r="Y555" s="10"/>
      <c r="Z555" s="153"/>
    </row>
    <row r="556" spans="1:26" ht="39" customHeight="1" x14ac:dyDescent="0.25">
      <c r="A556" s="5">
        <v>87</v>
      </c>
      <c r="B556" s="160" t="s">
        <v>5772</v>
      </c>
      <c r="C556" s="39" t="s">
        <v>46</v>
      </c>
      <c r="D556" s="12"/>
      <c r="E556" s="40" t="s">
        <v>2494</v>
      </c>
      <c r="F556" s="170">
        <v>33521</v>
      </c>
      <c r="G556" s="156" t="s">
        <v>5773</v>
      </c>
      <c r="H556" s="68" t="s">
        <v>5774</v>
      </c>
      <c r="I556" s="5" t="s">
        <v>1991</v>
      </c>
      <c r="J556" s="161">
        <v>43525</v>
      </c>
      <c r="K556" s="5">
        <v>0</v>
      </c>
      <c r="L556" s="5">
        <v>0</v>
      </c>
      <c r="M556" s="12" t="s">
        <v>1121</v>
      </c>
      <c r="N556" s="161">
        <v>44256</v>
      </c>
      <c r="O556" s="5" t="s">
        <v>982</v>
      </c>
      <c r="P556" s="160" t="s">
        <v>5775</v>
      </c>
      <c r="Q556" s="160" t="s">
        <v>5776</v>
      </c>
      <c r="R556" s="12"/>
      <c r="S556" s="162"/>
      <c r="T556" s="227">
        <v>2010109103</v>
      </c>
      <c r="U556" s="150">
        <v>57285</v>
      </c>
      <c r="V556" s="11" t="s">
        <v>5469</v>
      </c>
      <c r="W556" s="160" t="s">
        <v>5752</v>
      </c>
      <c r="X556" s="9"/>
      <c r="Y556" s="10"/>
      <c r="Z556" s="153"/>
    </row>
    <row r="557" spans="1:26" ht="39" customHeight="1" x14ac:dyDescent="0.25">
      <c r="A557" s="5">
        <v>88</v>
      </c>
      <c r="B557" s="160" t="s">
        <v>5777</v>
      </c>
      <c r="C557" s="39" t="s">
        <v>46</v>
      </c>
      <c r="D557" s="12"/>
      <c r="E557" s="40" t="s">
        <v>1648</v>
      </c>
      <c r="F557" s="170">
        <v>33236</v>
      </c>
      <c r="G557" s="156" t="s">
        <v>5778</v>
      </c>
      <c r="H557" s="68" t="s">
        <v>5779</v>
      </c>
      <c r="I557" s="5" t="s">
        <v>1991</v>
      </c>
      <c r="J557" s="161">
        <v>44166</v>
      </c>
      <c r="K557" s="5">
        <v>0</v>
      </c>
      <c r="L557" s="5">
        <v>0</v>
      </c>
      <c r="M557" s="12" t="s">
        <v>1121</v>
      </c>
      <c r="N557" s="161">
        <v>44835</v>
      </c>
      <c r="O557" s="5" t="s">
        <v>982</v>
      </c>
      <c r="P557" s="160"/>
      <c r="Q557" s="160" t="s">
        <v>5780</v>
      </c>
      <c r="R557" s="12"/>
      <c r="S557" s="162"/>
      <c r="T557" s="20">
        <v>2029129003</v>
      </c>
      <c r="U557" s="150">
        <v>56980</v>
      </c>
      <c r="V557" s="11" t="s">
        <v>5122</v>
      </c>
      <c r="W557" s="160" t="s">
        <v>5624</v>
      </c>
      <c r="X557" s="9"/>
      <c r="Y557" s="10"/>
      <c r="Z557" s="153" t="s">
        <v>1965</v>
      </c>
    </row>
    <row r="558" spans="1:26" ht="39" customHeight="1" x14ac:dyDescent="0.25">
      <c r="A558" s="5">
        <v>89</v>
      </c>
      <c r="B558" s="160" t="s">
        <v>5781</v>
      </c>
      <c r="C558" s="39" t="s">
        <v>46</v>
      </c>
      <c r="D558" s="12"/>
      <c r="E558" s="40" t="s">
        <v>1648</v>
      </c>
      <c r="F558" s="170">
        <v>33292</v>
      </c>
      <c r="G558" s="156" t="s">
        <v>5782</v>
      </c>
      <c r="H558" s="68" t="s">
        <v>5783</v>
      </c>
      <c r="I558" s="5" t="s">
        <v>1991</v>
      </c>
      <c r="J558" s="161">
        <v>44166</v>
      </c>
      <c r="K558" s="5">
        <v>0</v>
      </c>
      <c r="L558" s="5">
        <v>0</v>
      </c>
      <c r="M558" s="12" t="s">
        <v>1121</v>
      </c>
      <c r="N558" s="161">
        <v>44713</v>
      </c>
      <c r="O558" s="5" t="s">
        <v>982</v>
      </c>
      <c r="P558" s="160"/>
      <c r="Q558" s="160" t="s">
        <v>5784</v>
      </c>
      <c r="R558" s="12"/>
      <c r="S558" s="162"/>
      <c r="T558" s="20">
        <v>523029101</v>
      </c>
      <c r="U558" s="150">
        <v>57040</v>
      </c>
      <c r="V558" s="11" t="s">
        <v>5122</v>
      </c>
      <c r="W558" s="160" t="s">
        <v>5785</v>
      </c>
      <c r="X558" s="9"/>
      <c r="Y558" s="10"/>
      <c r="Z558" s="153"/>
    </row>
    <row r="559" spans="1:26" ht="39" customHeight="1" x14ac:dyDescent="0.25">
      <c r="A559" s="5">
        <v>90</v>
      </c>
      <c r="B559" s="160" t="s">
        <v>5786</v>
      </c>
      <c r="C559" s="39" t="s">
        <v>18</v>
      </c>
      <c r="D559" s="12"/>
      <c r="E559" s="40" t="s">
        <v>2042</v>
      </c>
      <c r="F559" s="170">
        <v>32035</v>
      </c>
      <c r="G559" s="156" t="s">
        <v>5787</v>
      </c>
      <c r="H559" s="68" t="s">
        <v>5788</v>
      </c>
      <c r="I559" s="5" t="s">
        <v>1717</v>
      </c>
      <c r="J559" s="161">
        <v>45627</v>
      </c>
      <c r="K559" s="5">
        <v>4</v>
      </c>
      <c r="L559" s="5">
        <v>0</v>
      </c>
      <c r="M559" s="12" t="s">
        <v>1739</v>
      </c>
      <c r="N559" s="161">
        <v>45536</v>
      </c>
      <c r="O559" s="5" t="s">
        <v>982</v>
      </c>
      <c r="P559" s="160"/>
      <c r="Q559" s="160" t="s">
        <v>5789</v>
      </c>
      <c r="R559" s="12"/>
      <c r="S559" s="162"/>
      <c r="T559" s="183" t="s">
        <v>5790</v>
      </c>
      <c r="U559" s="150">
        <v>55793</v>
      </c>
      <c r="V559" s="11" t="s">
        <v>5469</v>
      </c>
      <c r="W559" s="160" t="s">
        <v>5791</v>
      </c>
      <c r="X559" s="9"/>
      <c r="Y559" s="10"/>
      <c r="Z559" s="153"/>
    </row>
    <row r="560" spans="1:26" ht="39" customHeight="1" x14ac:dyDescent="0.25">
      <c r="A560" s="5">
        <v>91</v>
      </c>
      <c r="B560" s="40" t="s">
        <v>5792</v>
      </c>
      <c r="C560" s="39" t="s">
        <v>46</v>
      </c>
      <c r="D560" s="5"/>
      <c r="E560" s="40" t="s">
        <v>5793</v>
      </c>
      <c r="F560" s="170">
        <v>33006</v>
      </c>
      <c r="G560" s="156" t="s">
        <v>5794</v>
      </c>
      <c r="H560" s="68" t="s">
        <v>5795</v>
      </c>
      <c r="I560" s="5" t="s">
        <v>1991</v>
      </c>
      <c r="J560" s="161">
        <v>43525</v>
      </c>
      <c r="K560" s="5">
        <v>0</v>
      </c>
      <c r="L560" s="5">
        <v>0</v>
      </c>
      <c r="M560" s="12" t="s">
        <v>1121</v>
      </c>
      <c r="N560" s="161">
        <v>45017</v>
      </c>
      <c r="O560" s="5" t="s">
        <v>982</v>
      </c>
      <c r="P560" s="9" t="s">
        <v>2031</v>
      </c>
      <c r="Q560" s="160" t="s">
        <v>5796</v>
      </c>
      <c r="R560" s="9"/>
      <c r="S560" s="162"/>
      <c r="T560" s="227">
        <v>2013059001</v>
      </c>
      <c r="U560" s="150">
        <v>56766</v>
      </c>
      <c r="V560" s="11" t="s">
        <v>5469</v>
      </c>
      <c r="W560" s="160" t="s">
        <v>5797</v>
      </c>
      <c r="X560" s="9"/>
      <c r="Y560" s="10"/>
      <c r="Z560" s="153"/>
    </row>
    <row r="561" spans="1:26" ht="39" customHeight="1" x14ac:dyDescent="0.25">
      <c r="A561" s="5">
        <v>92</v>
      </c>
      <c r="B561" s="160" t="s">
        <v>5798</v>
      </c>
      <c r="C561" s="39" t="s">
        <v>18</v>
      </c>
      <c r="D561" s="12"/>
      <c r="E561" s="40" t="s">
        <v>1519</v>
      </c>
      <c r="F561" s="170">
        <v>34188</v>
      </c>
      <c r="G561" s="156" t="s">
        <v>5799</v>
      </c>
      <c r="H561" s="68" t="s">
        <v>5800</v>
      </c>
      <c r="I561" s="5" t="s">
        <v>1991</v>
      </c>
      <c r="J561" s="161">
        <v>44621</v>
      </c>
      <c r="K561" s="5">
        <v>0</v>
      </c>
      <c r="L561" s="5">
        <v>0</v>
      </c>
      <c r="M561" s="12" t="s">
        <v>1121</v>
      </c>
      <c r="N561" s="161">
        <v>45017</v>
      </c>
      <c r="O561" s="5" t="s">
        <v>982</v>
      </c>
      <c r="P561" s="160"/>
      <c r="Q561" s="160" t="s">
        <v>5801</v>
      </c>
      <c r="R561" s="12"/>
      <c r="S561" s="162"/>
      <c r="T561" s="183">
        <v>2007089302</v>
      </c>
      <c r="U561" s="150">
        <v>57954</v>
      </c>
      <c r="V561" s="11" t="s">
        <v>5132</v>
      </c>
      <c r="W561" s="160" t="s">
        <v>5802</v>
      </c>
      <c r="X561" s="9"/>
      <c r="Y561" s="10"/>
      <c r="Z561" s="153"/>
    </row>
    <row r="562" spans="1:26" ht="39" customHeight="1" x14ac:dyDescent="0.25">
      <c r="A562" s="5">
        <v>93</v>
      </c>
      <c r="B562" s="154" t="s">
        <v>5803</v>
      </c>
      <c r="C562" s="67" t="s">
        <v>46</v>
      </c>
      <c r="D562" s="5"/>
      <c r="E562" s="154" t="s">
        <v>1648</v>
      </c>
      <c r="F562" s="155">
        <v>33240</v>
      </c>
      <c r="G562" s="106" t="s">
        <v>5804</v>
      </c>
      <c r="H562" s="68" t="s">
        <v>5805</v>
      </c>
      <c r="I562" s="5" t="s">
        <v>1991</v>
      </c>
      <c r="J562" s="161">
        <v>43525</v>
      </c>
      <c r="K562" s="5">
        <v>0</v>
      </c>
      <c r="L562" s="5">
        <v>0</v>
      </c>
      <c r="M562" s="12" t="s">
        <v>5094</v>
      </c>
      <c r="N562" s="161">
        <v>43525</v>
      </c>
      <c r="O562" s="5" t="s">
        <v>982</v>
      </c>
      <c r="P562" s="9"/>
      <c r="Q562" s="160" t="s">
        <v>5806</v>
      </c>
      <c r="R562" s="9"/>
      <c r="S562" s="162"/>
      <c r="T562" s="183">
        <v>2002019102</v>
      </c>
      <c r="U562" s="150">
        <v>57040</v>
      </c>
      <c r="V562" s="11" t="s">
        <v>5122</v>
      </c>
      <c r="W562" s="160" t="s">
        <v>5807</v>
      </c>
      <c r="X562" s="9"/>
      <c r="Y562" s="10"/>
      <c r="Z562" s="153" t="s">
        <v>1965</v>
      </c>
    </row>
    <row r="563" spans="1:26" ht="39" customHeight="1" x14ac:dyDescent="0.25">
      <c r="A563" s="5">
        <v>94</v>
      </c>
      <c r="B563" s="160" t="s">
        <v>5808</v>
      </c>
      <c r="C563" s="39" t="s">
        <v>46</v>
      </c>
      <c r="D563" s="12"/>
      <c r="E563" s="40" t="s">
        <v>2759</v>
      </c>
      <c r="F563" s="170">
        <v>33206</v>
      </c>
      <c r="G563" s="156" t="s">
        <v>5809</v>
      </c>
      <c r="H563" s="68" t="s">
        <v>5810</v>
      </c>
      <c r="I563" s="5" t="s">
        <v>1991</v>
      </c>
      <c r="J563" s="161">
        <v>44621</v>
      </c>
      <c r="K563" s="5">
        <v>0</v>
      </c>
      <c r="L563" s="5">
        <v>0</v>
      </c>
      <c r="M563" s="12" t="s">
        <v>1121</v>
      </c>
      <c r="N563" s="161">
        <v>45047</v>
      </c>
      <c r="O563" s="5" t="s">
        <v>982</v>
      </c>
      <c r="P563" s="160"/>
      <c r="Q563" s="160" t="s">
        <v>5811</v>
      </c>
      <c r="R563" s="12"/>
      <c r="S563" s="162"/>
      <c r="T563" s="183">
        <v>2007089302</v>
      </c>
      <c r="U563" s="150">
        <v>56949</v>
      </c>
      <c r="V563" s="11" t="s">
        <v>5155</v>
      </c>
      <c r="W563" s="160" t="s">
        <v>5812</v>
      </c>
      <c r="X563" s="9"/>
      <c r="Y563" s="10"/>
      <c r="Z563" s="153" t="s">
        <v>1965</v>
      </c>
    </row>
    <row r="564" spans="1:26" ht="39" customHeight="1" x14ac:dyDescent="0.25">
      <c r="A564" s="5">
        <v>95</v>
      </c>
      <c r="B564" s="23" t="s">
        <v>5813</v>
      </c>
      <c r="C564" s="228" t="s">
        <v>46</v>
      </c>
      <c r="D564" s="229" t="s">
        <v>5814</v>
      </c>
      <c r="E564" s="23" t="s">
        <v>5815</v>
      </c>
      <c r="F564" s="230">
        <v>29193</v>
      </c>
      <c r="G564" s="231" t="s">
        <v>5816</v>
      </c>
      <c r="H564" s="34" t="s">
        <v>5817</v>
      </c>
      <c r="I564" s="228" t="s">
        <v>1699</v>
      </c>
      <c r="J564" s="230">
        <v>44652</v>
      </c>
      <c r="K564" s="228">
        <v>16</v>
      </c>
      <c r="L564" s="228">
        <v>0</v>
      </c>
      <c r="M564" s="12" t="s">
        <v>1739</v>
      </c>
      <c r="N564" s="161">
        <v>45536</v>
      </c>
      <c r="O564" s="5" t="s">
        <v>1028</v>
      </c>
      <c r="P564" s="160"/>
      <c r="Q564" s="160"/>
      <c r="R564" s="24" t="s">
        <v>5818</v>
      </c>
      <c r="S564" s="162"/>
      <c r="T564" s="183"/>
      <c r="U564" s="150">
        <v>52963</v>
      </c>
      <c r="V564" s="11"/>
      <c r="W564" s="160"/>
      <c r="X564" s="11" t="s">
        <v>5819</v>
      </c>
      <c r="Y564" s="51">
        <v>45579</v>
      </c>
      <c r="Z564" s="154"/>
    </row>
    <row r="565" spans="1:26" ht="39" customHeight="1" x14ac:dyDescent="0.25">
      <c r="A565" s="5">
        <v>96</v>
      </c>
      <c r="B565" s="232" t="s">
        <v>5820</v>
      </c>
      <c r="C565" s="203" t="s">
        <v>18</v>
      </c>
      <c r="D565" s="229"/>
      <c r="E565" s="199" t="s">
        <v>3388</v>
      </c>
      <c r="F565" s="203" t="s">
        <v>5821</v>
      </c>
      <c r="G565" s="231" t="s">
        <v>5822</v>
      </c>
      <c r="H565" s="169" t="s">
        <v>5823</v>
      </c>
      <c r="I565" s="206" t="s">
        <v>1717</v>
      </c>
      <c r="J565" s="203" t="s">
        <v>5824</v>
      </c>
      <c r="K565" s="206">
        <v>10</v>
      </c>
      <c r="L565" s="206">
        <v>9</v>
      </c>
      <c r="M565" s="12" t="s">
        <v>1121</v>
      </c>
      <c r="N565" s="161">
        <v>45536</v>
      </c>
      <c r="O565" s="228" t="s">
        <v>982</v>
      </c>
      <c r="P565" s="160"/>
      <c r="Q565" s="205" t="s">
        <v>5825</v>
      </c>
      <c r="R565" s="24"/>
      <c r="S565" s="162"/>
      <c r="T565" s="183"/>
      <c r="U565" s="150">
        <v>53783</v>
      </c>
      <c r="V565" s="11"/>
      <c r="W565" s="160"/>
      <c r="X565" s="9"/>
      <c r="Y565" s="10"/>
      <c r="Z565" s="153"/>
    </row>
    <row r="566" spans="1:26" ht="39" customHeight="1" x14ac:dyDescent="0.25">
      <c r="A566" s="173" t="s">
        <v>5826</v>
      </c>
      <c r="B566" s="173"/>
      <c r="C566" s="174"/>
      <c r="D566" s="174"/>
      <c r="E566" s="174"/>
      <c r="F566" s="174"/>
      <c r="G566" s="175"/>
      <c r="H566" s="12"/>
      <c r="I566" s="174"/>
      <c r="J566" s="177"/>
      <c r="K566" s="174"/>
      <c r="L566" s="174"/>
      <c r="M566" s="174"/>
      <c r="N566" s="177"/>
      <c r="O566" s="174"/>
      <c r="P566" s="63"/>
      <c r="Q566" s="63"/>
      <c r="R566" s="178"/>
      <c r="S566" s="179"/>
      <c r="T566" s="174"/>
      <c r="U566" s="174"/>
      <c r="V566" s="162"/>
      <c r="W566" s="179"/>
      <c r="X566" s="12"/>
      <c r="Y566" s="12"/>
      <c r="Z566" s="154"/>
    </row>
    <row r="567" spans="1:26" ht="39" customHeight="1" x14ac:dyDescent="0.25">
      <c r="A567" s="5">
        <v>1</v>
      </c>
      <c r="B567" s="14" t="s">
        <v>5827</v>
      </c>
      <c r="C567" s="5" t="s">
        <v>18</v>
      </c>
      <c r="D567" s="5" t="s">
        <v>5828</v>
      </c>
      <c r="E567" s="12" t="s">
        <v>2747</v>
      </c>
      <c r="F567" s="150">
        <v>26777</v>
      </c>
      <c r="G567" s="8" t="s">
        <v>5829</v>
      </c>
      <c r="H567" s="68" t="s">
        <v>5830</v>
      </c>
      <c r="I567" s="5" t="s">
        <v>1447</v>
      </c>
      <c r="J567" s="150">
        <v>45383</v>
      </c>
      <c r="K567" s="5">
        <v>17</v>
      </c>
      <c r="L567" s="5">
        <v>3</v>
      </c>
      <c r="M567" s="12" t="s">
        <v>1424</v>
      </c>
      <c r="N567" s="150">
        <v>43709</v>
      </c>
      <c r="O567" s="5" t="s">
        <v>1028</v>
      </c>
      <c r="P567" s="157" t="s">
        <v>5831</v>
      </c>
      <c r="Q567" s="157" t="s">
        <v>5832</v>
      </c>
      <c r="R567" s="9" t="s">
        <v>5833</v>
      </c>
      <c r="S567" s="162">
        <v>102100504670</v>
      </c>
      <c r="T567" s="20">
        <v>2023047301</v>
      </c>
      <c r="U567" s="150">
        <v>52352</v>
      </c>
      <c r="V567" s="14" t="s">
        <v>5834</v>
      </c>
      <c r="W567" s="14" t="s">
        <v>2170</v>
      </c>
      <c r="X567" s="89"/>
      <c r="Y567" s="89"/>
      <c r="Z567" s="89"/>
    </row>
    <row r="568" spans="1:26" ht="39" customHeight="1" x14ac:dyDescent="0.25">
      <c r="A568" s="5">
        <v>2</v>
      </c>
      <c r="B568" s="14" t="s">
        <v>5835</v>
      </c>
      <c r="C568" s="5" t="s">
        <v>46</v>
      </c>
      <c r="D568" s="5" t="s">
        <v>5836</v>
      </c>
      <c r="E568" s="12" t="s">
        <v>3627</v>
      </c>
      <c r="F568" s="150">
        <v>22509</v>
      </c>
      <c r="G568" s="8" t="s">
        <v>5837</v>
      </c>
      <c r="H568" s="68" t="s">
        <v>5838</v>
      </c>
      <c r="I568" s="5" t="s">
        <v>1699</v>
      </c>
      <c r="J568" s="150">
        <v>41730</v>
      </c>
      <c r="K568" s="5">
        <v>22</v>
      </c>
      <c r="L568" s="5">
        <v>1</v>
      </c>
      <c r="M568" s="12" t="s">
        <v>1501</v>
      </c>
      <c r="N568" s="150" t="s">
        <v>5839</v>
      </c>
      <c r="O568" s="5" t="s">
        <v>982</v>
      </c>
      <c r="P568" s="157" t="s">
        <v>5840</v>
      </c>
      <c r="Q568" s="157" t="s">
        <v>2897</v>
      </c>
      <c r="R568" s="9"/>
      <c r="S568" s="14" t="s">
        <v>5841</v>
      </c>
      <c r="T568" s="20">
        <v>2016086101</v>
      </c>
      <c r="U568" s="150">
        <v>46266</v>
      </c>
      <c r="V568" s="14" t="s">
        <v>5834</v>
      </c>
      <c r="W568" s="14" t="s">
        <v>2170</v>
      </c>
      <c r="X568" s="11"/>
      <c r="Y568" s="5"/>
      <c r="Z568" s="172"/>
    </row>
    <row r="569" spans="1:26" ht="39" customHeight="1" x14ac:dyDescent="0.25">
      <c r="A569" s="5">
        <v>3</v>
      </c>
      <c r="B569" s="14" t="s">
        <v>5842</v>
      </c>
      <c r="C569" s="5" t="s">
        <v>46</v>
      </c>
      <c r="D569" s="5" t="s">
        <v>5843</v>
      </c>
      <c r="E569" s="12" t="s">
        <v>5844</v>
      </c>
      <c r="F569" s="150">
        <v>26590</v>
      </c>
      <c r="G569" s="8" t="s">
        <v>5845</v>
      </c>
      <c r="H569" s="68" t="s">
        <v>5846</v>
      </c>
      <c r="I569" s="5" t="s">
        <v>1558</v>
      </c>
      <c r="J569" s="150">
        <v>45383</v>
      </c>
      <c r="K569" s="5">
        <v>19</v>
      </c>
      <c r="L569" s="5">
        <v>3</v>
      </c>
      <c r="M569" s="12" t="s">
        <v>1501</v>
      </c>
      <c r="N569" s="150">
        <v>43739</v>
      </c>
      <c r="O569" s="5" t="s">
        <v>1028</v>
      </c>
      <c r="P569" s="157" t="s">
        <v>5847</v>
      </c>
      <c r="Q569" s="157" t="s">
        <v>1460</v>
      </c>
      <c r="R569" s="11" t="s">
        <v>5848</v>
      </c>
      <c r="S569" s="162">
        <v>102100504716</v>
      </c>
      <c r="T569" s="20">
        <v>2018107201</v>
      </c>
      <c r="U569" s="150">
        <v>50345</v>
      </c>
      <c r="V569" s="14" t="s">
        <v>5849</v>
      </c>
      <c r="W569" s="14" t="s">
        <v>1841</v>
      </c>
      <c r="X569" s="12" t="s">
        <v>5850</v>
      </c>
      <c r="Y569" s="163">
        <v>45588</v>
      </c>
      <c r="Z569" s="154"/>
    </row>
    <row r="570" spans="1:26" ht="39" customHeight="1" x14ac:dyDescent="0.25">
      <c r="A570" s="5">
        <v>4</v>
      </c>
      <c r="B570" s="14" t="s">
        <v>5851</v>
      </c>
      <c r="C570" s="5" t="s">
        <v>46</v>
      </c>
      <c r="D570" s="5" t="s">
        <v>5852</v>
      </c>
      <c r="E570" s="12" t="s">
        <v>1489</v>
      </c>
      <c r="F570" s="150">
        <v>27528</v>
      </c>
      <c r="G570" s="8" t="s">
        <v>5853</v>
      </c>
      <c r="H570" s="68" t="s">
        <v>5854</v>
      </c>
      <c r="I570" s="5" t="s">
        <v>1558</v>
      </c>
      <c r="J570" s="150">
        <v>45383</v>
      </c>
      <c r="K570" s="5">
        <v>19</v>
      </c>
      <c r="L570" s="5">
        <v>3</v>
      </c>
      <c r="M570" s="12" t="s">
        <v>1501</v>
      </c>
      <c r="N570" s="150">
        <v>43800</v>
      </c>
      <c r="O570" s="5" t="s">
        <v>1028</v>
      </c>
      <c r="P570" s="157" t="s">
        <v>5855</v>
      </c>
      <c r="Q570" s="157" t="s">
        <v>5856</v>
      </c>
      <c r="R570" s="9" t="s">
        <v>4530</v>
      </c>
      <c r="S570" s="162">
        <v>102100504654</v>
      </c>
      <c r="T570" s="20">
        <v>2014057502</v>
      </c>
      <c r="U570" s="150">
        <v>51288</v>
      </c>
      <c r="V570" s="14" t="s">
        <v>5857</v>
      </c>
      <c r="W570" s="14" t="s">
        <v>5858</v>
      </c>
      <c r="X570" s="9" t="s">
        <v>5859</v>
      </c>
      <c r="Y570" s="51">
        <v>45553</v>
      </c>
      <c r="Z570" s="154"/>
    </row>
    <row r="571" spans="1:26" ht="39" customHeight="1" x14ac:dyDescent="0.25">
      <c r="A571" s="5">
        <v>5</v>
      </c>
      <c r="B571" s="14" t="s">
        <v>5860</v>
      </c>
      <c r="C571" s="5" t="s">
        <v>46</v>
      </c>
      <c r="D571" s="5" t="s">
        <v>5861</v>
      </c>
      <c r="E571" s="14" t="s">
        <v>2062</v>
      </c>
      <c r="F571" s="150">
        <v>29462</v>
      </c>
      <c r="G571" s="8" t="s">
        <v>5862</v>
      </c>
      <c r="H571" s="68" t="s">
        <v>5863</v>
      </c>
      <c r="I571" s="5" t="s">
        <v>1558</v>
      </c>
      <c r="J571" s="161">
        <v>45383</v>
      </c>
      <c r="K571" s="10">
        <v>15</v>
      </c>
      <c r="L571" s="10">
        <v>3</v>
      </c>
      <c r="M571" s="12" t="s">
        <v>1501</v>
      </c>
      <c r="N571" s="150">
        <v>43922</v>
      </c>
      <c r="O571" s="5" t="s">
        <v>1028</v>
      </c>
      <c r="P571" s="9" t="s">
        <v>5864</v>
      </c>
      <c r="Q571" s="157" t="s">
        <v>5865</v>
      </c>
      <c r="R571" s="9" t="s">
        <v>5866</v>
      </c>
      <c r="S571" s="33">
        <v>122100509808</v>
      </c>
      <c r="T571" s="20">
        <v>2029088001</v>
      </c>
      <c r="U571" s="150">
        <v>53206</v>
      </c>
      <c r="V571" s="14" t="s">
        <v>5849</v>
      </c>
      <c r="W571" s="14" t="s">
        <v>5867</v>
      </c>
      <c r="X571" s="11" t="s">
        <v>5868</v>
      </c>
      <c r="Y571" s="51">
        <v>45588</v>
      </c>
      <c r="Z571" s="154"/>
    </row>
    <row r="572" spans="1:26" ht="39" customHeight="1" x14ac:dyDescent="0.25">
      <c r="A572" s="5">
        <v>6</v>
      </c>
      <c r="B572" s="14" t="s">
        <v>5869</v>
      </c>
      <c r="C572" s="5" t="s">
        <v>46</v>
      </c>
      <c r="D572" s="5" t="s">
        <v>5870</v>
      </c>
      <c r="E572" s="11" t="s">
        <v>2144</v>
      </c>
      <c r="F572" s="150">
        <v>27353</v>
      </c>
      <c r="G572" s="151" t="s">
        <v>5871</v>
      </c>
      <c r="H572" s="68" t="s">
        <v>5872</v>
      </c>
      <c r="I572" s="10" t="s">
        <v>1469</v>
      </c>
      <c r="J572" s="161">
        <v>45383</v>
      </c>
      <c r="K572" s="10">
        <v>24</v>
      </c>
      <c r="L572" s="10">
        <v>1</v>
      </c>
      <c r="M572" s="12" t="s">
        <v>1501</v>
      </c>
      <c r="N572" s="161">
        <v>40210</v>
      </c>
      <c r="O572" s="5" t="s">
        <v>1028</v>
      </c>
      <c r="P572" s="157" t="s">
        <v>5873</v>
      </c>
      <c r="Q572" s="157" t="s">
        <v>4174</v>
      </c>
      <c r="R572" s="157" t="s">
        <v>5874</v>
      </c>
      <c r="S572" s="162">
        <v>102100504726</v>
      </c>
      <c r="T572" s="20">
        <v>2020117401</v>
      </c>
      <c r="U572" s="161">
        <v>51105</v>
      </c>
      <c r="V572" s="14" t="s">
        <v>5857</v>
      </c>
      <c r="W572" s="11" t="s">
        <v>2224</v>
      </c>
      <c r="X572" s="12"/>
      <c r="Y572" s="12"/>
      <c r="Z572" s="154"/>
    </row>
    <row r="573" spans="1:26" ht="39" customHeight="1" x14ac:dyDescent="0.25">
      <c r="A573" s="5">
        <v>7</v>
      </c>
      <c r="B573" s="14" t="s">
        <v>5875</v>
      </c>
      <c r="C573" s="5" t="s">
        <v>18</v>
      </c>
      <c r="D573" s="10" t="s">
        <v>5876</v>
      </c>
      <c r="E573" s="14" t="s">
        <v>2494</v>
      </c>
      <c r="F573" s="150">
        <v>26598</v>
      </c>
      <c r="G573" s="8" t="s">
        <v>5877</v>
      </c>
      <c r="H573" s="68" t="s">
        <v>5878</v>
      </c>
      <c r="I573" s="5" t="s">
        <v>1699</v>
      </c>
      <c r="J573" s="150">
        <v>45383</v>
      </c>
      <c r="K573" s="5">
        <v>20</v>
      </c>
      <c r="L573" s="5">
        <v>1</v>
      </c>
      <c r="M573" s="12" t="s">
        <v>1501</v>
      </c>
      <c r="N573" s="150">
        <v>44531</v>
      </c>
      <c r="O573" s="5" t="s">
        <v>1028</v>
      </c>
      <c r="P573" s="11" t="s">
        <v>5879</v>
      </c>
      <c r="Q573" s="11" t="s">
        <v>5880</v>
      </c>
      <c r="R573" s="168" t="s">
        <v>5881</v>
      </c>
      <c r="S573" s="162">
        <v>132100511985</v>
      </c>
      <c r="T573" s="20">
        <v>526107202</v>
      </c>
      <c r="U573" s="150">
        <v>50345</v>
      </c>
      <c r="V573" s="14" t="s">
        <v>5834</v>
      </c>
      <c r="W573" s="14" t="s">
        <v>5882</v>
      </c>
      <c r="X573" s="9" t="s">
        <v>5883</v>
      </c>
      <c r="Y573" s="51">
        <v>45579</v>
      </c>
      <c r="Z573" s="154"/>
    </row>
    <row r="574" spans="1:26" ht="39" customHeight="1" x14ac:dyDescent="0.25">
      <c r="A574" s="5">
        <v>8</v>
      </c>
      <c r="B574" s="14" t="s">
        <v>5884</v>
      </c>
      <c r="C574" s="5" t="s">
        <v>18</v>
      </c>
      <c r="D574" s="10" t="s">
        <v>5885</v>
      </c>
      <c r="E574" s="14" t="s">
        <v>1420</v>
      </c>
      <c r="F574" s="150">
        <v>25854</v>
      </c>
      <c r="G574" s="8" t="s">
        <v>5886</v>
      </c>
      <c r="H574" s="68" t="s">
        <v>5887</v>
      </c>
      <c r="I574" s="5" t="s">
        <v>1738</v>
      </c>
      <c r="J574" s="150">
        <v>40269</v>
      </c>
      <c r="K574" s="5">
        <v>12</v>
      </c>
      <c r="L574" s="5">
        <v>1</v>
      </c>
      <c r="M574" s="12" t="s">
        <v>1739</v>
      </c>
      <c r="N574" s="150" t="s">
        <v>5888</v>
      </c>
      <c r="O574" s="5" t="s">
        <v>1028</v>
      </c>
      <c r="P574" s="157" t="s">
        <v>5889</v>
      </c>
      <c r="Q574" s="157" t="s">
        <v>5890</v>
      </c>
      <c r="R574" s="9" t="s">
        <v>3465</v>
      </c>
      <c r="S574" s="162">
        <v>102100504551</v>
      </c>
      <c r="T574" s="20">
        <v>2013107003</v>
      </c>
      <c r="U574" s="150">
        <v>49614</v>
      </c>
      <c r="V574" s="14" t="s">
        <v>5849</v>
      </c>
      <c r="W574" s="14" t="s">
        <v>4998</v>
      </c>
      <c r="X574" s="11"/>
      <c r="Y574" s="51"/>
      <c r="Z574" s="154"/>
    </row>
    <row r="575" spans="1:26" ht="39" customHeight="1" x14ac:dyDescent="0.25">
      <c r="A575" s="5">
        <v>9</v>
      </c>
      <c r="B575" s="14" t="s">
        <v>5891</v>
      </c>
      <c r="C575" s="5" t="s">
        <v>18</v>
      </c>
      <c r="D575" s="5" t="s">
        <v>5892</v>
      </c>
      <c r="E575" s="12" t="s">
        <v>1519</v>
      </c>
      <c r="F575" s="150">
        <v>25279</v>
      </c>
      <c r="G575" s="8" t="s">
        <v>5893</v>
      </c>
      <c r="H575" s="68" t="s">
        <v>5894</v>
      </c>
      <c r="I575" s="5" t="s">
        <v>1738</v>
      </c>
      <c r="J575" s="150" t="s">
        <v>4751</v>
      </c>
      <c r="K575" s="5">
        <v>27</v>
      </c>
      <c r="L575" s="5">
        <v>7</v>
      </c>
      <c r="M575" s="12" t="s">
        <v>1501</v>
      </c>
      <c r="N575" s="150">
        <v>45139</v>
      </c>
      <c r="O575" s="5" t="s">
        <v>982</v>
      </c>
      <c r="P575" s="11" t="s">
        <v>5895</v>
      </c>
      <c r="Q575" s="11" t="s">
        <v>5896</v>
      </c>
      <c r="R575" s="9"/>
      <c r="S575" s="162">
        <v>112100511440011</v>
      </c>
      <c r="T575" s="20">
        <v>2017036902</v>
      </c>
      <c r="U575" s="5" t="s">
        <v>5897</v>
      </c>
      <c r="V575" s="14" t="s">
        <v>5834</v>
      </c>
      <c r="W575" s="14" t="s">
        <v>5898</v>
      </c>
      <c r="X575" s="11"/>
      <c r="Y575" s="5"/>
      <c r="Z575" s="67"/>
    </row>
    <row r="576" spans="1:26" ht="39" customHeight="1" x14ac:dyDescent="0.25">
      <c r="A576" s="5">
        <v>10</v>
      </c>
      <c r="B576" s="14" t="s">
        <v>5899</v>
      </c>
      <c r="C576" s="5" t="s">
        <v>46</v>
      </c>
      <c r="D576" s="5" t="s">
        <v>5900</v>
      </c>
      <c r="E576" s="12" t="s">
        <v>2590</v>
      </c>
      <c r="F576" s="150">
        <v>27647</v>
      </c>
      <c r="G576" s="8" t="s">
        <v>5901</v>
      </c>
      <c r="H576" s="68" t="s">
        <v>5902</v>
      </c>
      <c r="I576" s="5" t="s">
        <v>1738</v>
      </c>
      <c r="J576" s="150">
        <v>43374</v>
      </c>
      <c r="K576" s="5">
        <v>13</v>
      </c>
      <c r="L576" s="5">
        <v>9</v>
      </c>
      <c r="M576" s="12" t="s">
        <v>1739</v>
      </c>
      <c r="N576" s="150">
        <v>40391</v>
      </c>
      <c r="O576" s="5" t="s">
        <v>1028</v>
      </c>
      <c r="P576" s="157" t="s">
        <v>5903</v>
      </c>
      <c r="Q576" s="11" t="s">
        <v>5904</v>
      </c>
      <c r="R576" s="9" t="s">
        <v>5905</v>
      </c>
      <c r="S576" s="162">
        <v>102100504730</v>
      </c>
      <c r="T576" s="166" t="s">
        <v>5906</v>
      </c>
      <c r="U576" s="150">
        <v>51410</v>
      </c>
      <c r="V576" s="14" t="s">
        <v>5857</v>
      </c>
      <c r="W576" s="14" t="s">
        <v>2390</v>
      </c>
      <c r="X576" s="11"/>
      <c r="Y576" s="5"/>
      <c r="Z576" s="154"/>
    </row>
    <row r="577" spans="1:26" ht="39" customHeight="1" x14ac:dyDescent="0.25">
      <c r="A577" s="5">
        <v>11</v>
      </c>
      <c r="B577" s="14" t="s">
        <v>5907</v>
      </c>
      <c r="C577" s="5" t="s">
        <v>18</v>
      </c>
      <c r="D577" s="5" t="s">
        <v>5908</v>
      </c>
      <c r="E577" s="14" t="s">
        <v>5909</v>
      </c>
      <c r="F577" s="150">
        <v>21998</v>
      </c>
      <c r="G577" s="8" t="s">
        <v>5910</v>
      </c>
      <c r="H577" s="68" t="s">
        <v>5911</v>
      </c>
      <c r="I577" s="5" t="s">
        <v>1699</v>
      </c>
      <c r="J577" s="150" t="s">
        <v>3631</v>
      </c>
      <c r="K577" s="5">
        <v>17</v>
      </c>
      <c r="L577" s="5">
        <v>1</v>
      </c>
      <c r="M577" s="12" t="s">
        <v>1739</v>
      </c>
      <c r="N577" s="150">
        <v>41000</v>
      </c>
      <c r="O577" s="5" t="s">
        <v>982</v>
      </c>
      <c r="P577" s="36" t="s">
        <v>5912</v>
      </c>
      <c r="Q577" s="36" t="s">
        <v>5913</v>
      </c>
      <c r="R577" s="9"/>
      <c r="S577" s="162">
        <v>112100511510013</v>
      </c>
      <c r="T577" s="20">
        <v>2023036001</v>
      </c>
      <c r="U577" s="150">
        <v>45748</v>
      </c>
      <c r="V577" s="14" t="s">
        <v>5834</v>
      </c>
      <c r="W577" s="14" t="s">
        <v>5914</v>
      </c>
      <c r="X577" s="12"/>
      <c r="Y577" s="12"/>
      <c r="Z577" s="154"/>
    </row>
    <row r="578" spans="1:26" ht="39" customHeight="1" x14ac:dyDescent="0.25">
      <c r="A578" s="5">
        <v>12</v>
      </c>
      <c r="B578" s="14" t="s">
        <v>5915</v>
      </c>
      <c r="C578" s="5" t="s">
        <v>46</v>
      </c>
      <c r="D578" s="5" t="s">
        <v>5916</v>
      </c>
      <c r="E578" s="12" t="s">
        <v>2625</v>
      </c>
      <c r="F578" s="150">
        <v>27027</v>
      </c>
      <c r="G578" s="8" t="s">
        <v>5917</v>
      </c>
      <c r="H578" s="68" t="s">
        <v>5918</v>
      </c>
      <c r="I578" s="5" t="s">
        <v>1717</v>
      </c>
      <c r="J578" s="150">
        <v>41000</v>
      </c>
      <c r="K578" s="5">
        <v>4</v>
      </c>
      <c r="L578" s="5">
        <v>3</v>
      </c>
      <c r="M578" s="12" t="s">
        <v>1739</v>
      </c>
      <c r="N578" s="150">
        <v>41000</v>
      </c>
      <c r="O578" s="5" t="s">
        <v>982</v>
      </c>
      <c r="P578" s="11" t="s">
        <v>5873</v>
      </c>
      <c r="Q578" s="11" t="s">
        <v>4174</v>
      </c>
      <c r="R578" s="9"/>
      <c r="S578" s="162">
        <v>112100513400024</v>
      </c>
      <c r="T578" s="166" t="s">
        <v>5919</v>
      </c>
      <c r="U578" s="5" t="s">
        <v>5920</v>
      </c>
      <c r="V578" s="14" t="s">
        <v>5857</v>
      </c>
      <c r="W578" s="14" t="s">
        <v>5921</v>
      </c>
      <c r="X578" s="11" t="s">
        <v>1084</v>
      </c>
      <c r="Y578" s="51" t="s">
        <v>1084</v>
      </c>
      <c r="Z578" s="153" t="s">
        <v>1084</v>
      </c>
    </row>
    <row r="579" spans="1:26" ht="39" customHeight="1" x14ac:dyDescent="0.25">
      <c r="A579" s="5">
        <v>13</v>
      </c>
      <c r="B579" s="14" t="s">
        <v>5922</v>
      </c>
      <c r="C579" s="5" t="s">
        <v>46</v>
      </c>
      <c r="D579" s="5" t="s">
        <v>5923</v>
      </c>
      <c r="E579" s="12" t="s">
        <v>3388</v>
      </c>
      <c r="F579" s="150">
        <v>29306</v>
      </c>
      <c r="G579" s="8" t="s">
        <v>5924</v>
      </c>
      <c r="H579" s="68" t="s">
        <v>5925</v>
      </c>
      <c r="I579" s="5" t="s">
        <v>1738</v>
      </c>
      <c r="J579" s="150">
        <v>45505</v>
      </c>
      <c r="K579" s="5">
        <v>16</v>
      </c>
      <c r="L579" s="5">
        <v>7</v>
      </c>
      <c r="M579" s="12" t="s">
        <v>1501</v>
      </c>
      <c r="N579" s="150">
        <v>45139</v>
      </c>
      <c r="O579" s="5" t="s">
        <v>1028</v>
      </c>
      <c r="P579" s="11" t="s">
        <v>5926</v>
      </c>
      <c r="Q579" s="11" t="s">
        <v>5927</v>
      </c>
      <c r="R579" s="9" t="s">
        <v>5928</v>
      </c>
      <c r="S579" s="162">
        <v>112100511510015</v>
      </c>
      <c r="T579" s="20">
        <v>2026038001</v>
      </c>
      <c r="U579" s="5" t="s">
        <v>5929</v>
      </c>
      <c r="V579" s="14" t="s">
        <v>5834</v>
      </c>
      <c r="W579" s="14" t="s">
        <v>5930</v>
      </c>
      <c r="X579" s="89"/>
      <c r="Y579" s="89"/>
      <c r="Z579" s="89"/>
    </row>
    <row r="580" spans="1:26" ht="39" customHeight="1" x14ac:dyDescent="0.25">
      <c r="A580" s="5">
        <v>14</v>
      </c>
      <c r="B580" s="14" t="s">
        <v>5931</v>
      </c>
      <c r="C580" s="5" t="s">
        <v>46</v>
      </c>
      <c r="D580" s="5" t="s">
        <v>5932</v>
      </c>
      <c r="E580" s="12" t="s">
        <v>1714</v>
      </c>
      <c r="F580" s="150">
        <v>28104</v>
      </c>
      <c r="G580" s="8" t="s">
        <v>5933</v>
      </c>
      <c r="H580" s="68" t="s">
        <v>5934</v>
      </c>
      <c r="I580" s="5" t="s">
        <v>1738</v>
      </c>
      <c r="J580" s="150">
        <v>45566</v>
      </c>
      <c r="K580" s="5">
        <v>16</v>
      </c>
      <c r="L580" s="5">
        <v>9</v>
      </c>
      <c r="M580" s="12" t="s">
        <v>1739</v>
      </c>
      <c r="N580" s="150">
        <v>41275</v>
      </c>
      <c r="O580" s="5" t="s">
        <v>1028</v>
      </c>
      <c r="P580" s="11" t="s">
        <v>1512</v>
      </c>
      <c r="Q580" s="11" t="s">
        <v>5935</v>
      </c>
      <c r="R580" s="9" t="s">
        <v>5936</v>
      </c>
      <c r="S580" s="162">
        <v>112100513000019</v>
      </c>
      <c r="T580" s="20">
        <v>2010127601</v>
      </c>
      <c r="U580" s="5" t="s">
        <v>5937</v>
      </c>
      <c r="V580" s="14" t="s">
        <v>5849</v>
      </c>
      <c r="W580" s="14" t="s">
        <v>5938</v>
      </c>
      <c r="X580" s="9" t="s">
        <v>5939</v>
      </c>
      <c r="Y580" s="51">
        <v>45579</v>
      </c>
      <c r="Z580" s="154"/>
    </row>
    <row r="581" spans="1:26" ht="39" customHeight="1" x14ac:dyDescent="0.25">
      <c r="A581" s="5">
        <v>15</v>
      </c>
      <c r="B581" s="14" t="s">
        <v>5940</v>
      </c>
      <c r="C581" s="5" t="s">
        <v>18</v>
      </c>
      <c r="D581" s="5" t="s">
        <v>5941</v>
      </c>
      <c r="E581" s="12" t="s">
        <v>5942</v>
      </c>
      <c r="F581" s="150" t="s">
        <v>5943</v>
      </c>
      <c r="G581" s="8" t="s">
        <v>5944</v>
      </c>
      <c r="H581" s="68" t="s">
        <v>5945</v>
      </c>
      <c r="I581" s="5" t="s">
        <v>1738</v>
      </c>
      <c r="J581" s="150">
        <v>43009</v>
      </c>
      <c r="K581" s="5">
        <v>11</v>
      </c>
      <c r="L581" s="5">
        <v>6</v>
      </c>
      <c r="M581" s="12" t="s">
        <v>1739</v>
      </c>
      <c r="N581" s="150">
        <v>41334</v>
      </c>
      <c r="O581" s="5" t="s">
        <v>982</v>
      </c>
      <c r="P581" s="11" t="s">
        <v>5946</v>
      </c>
      <c r="Q581" s="11" t="s">
        <v>5947</v>
      </c>
      <c r="R581" s="9"/>
      <c r="S581" s="162">
        <v>102100504647</v>
      </c>
      <c r="T581" s="20">
        <v>2024117501</v>
      </c>
      <c r="U581" s="51">
        <v>51471</v>
      </c>
      <c r="V581" s="14" t="s">
        <v>5857</v>
      </c>
      <c r="W581" s="14" t="s">
        <v>5858</v>
      </c>
      <c r="X581" s="11"/>
      <c r="Y581" s="5"/>
      <c r="Z581" s="154" t="s">
        <v>1084</v>
      </c>
    </row>
    <row r="582" spans="1:26" ht="39" customHeight="1" x14ac:dyDescent="0.25">
      <c r="A582" s="5">
        <v>16</v>
      </c>
      <c r="B582" s="14" t="s">
        <v>5948</v>
      </c>
      <c r="C582" s="5" t="s">
        <v>18</v>
      </c>
      <c r="D582" s="5" t="s">
        <v>5949</v>
      </c>
      <c r="E582" s="14" t="s">
        <v>1479</v>
      </c>
      <c r="F582" s="150">
        <v>29217</v>
      </c>
      <c r="G582" s="8" t="s">
        <v>5950</v>
      </c>
      <c r="H582" s="68" t="s">
        <v>5951</v>
      </c>
      <c r="I582" s="5" t="s">
        <v>1738</v>
      </c>
      <c r="J582" s="161">
        <v>42644</v>
      </c>
      <c r="K582" s="10">
        <v>7</v>
      </c>
      <c r="L582" s="10">
        <v>9</v>
      </c>
      <c r="M582" s="12" t="s">
        <v>1739</v>
      </c>
      <c r="N582" s="150">
        <v>41334</v>
      </c>
      <c r="O582" s="5" t="s">
        <v>982</v>
      </c>
      <c r="P582" s="9" t="s">
        <v>5952</v>
      </c>
      <c r="Q582" s="157" t="s">
        <v>5953</v>
      </c>
      <c r="R582" s="9"/>
      <c r="S582" s="33">
        <v>122100509803</v>
      </c>
      <c r="T582" s="20">
        <v>2028127901</v>
      </c>
      <c r="U582" s="150">
        <v>52963</v>
      </c>
      <c r="V582" s="14" t="s">
        <v>5857</v>
      </c>
      <c r="W582" s="14" t="s">
        <v>5921</v>
      </c>
      <c r="X582" s="11"/>
      <c r="Y582" s="5"/>
      <c r="Z582" s="160" t="s">
        <v>1965</v>
      </c>
    </row>
    <row r="583" spans="1:26" ht="39" customHeight="1" x14ac:dyDescent="0.25">
      <c r="A583" s="5">
        <v>17</v>
      </c>
      <c r="B583" s="14" t="s">
        <v>5954</v>
      </c>
      <c r="C583" s="5" t="s">
        <v>46</v>
      </c>
      <c r="D583" s="5"/>
      <c r="E583" s="14" t="s">
        <v>1489</v>
      </c>
      <c r="F583" s="150">
        <v>28197</v>
      </c>
      <c r="G583" s="8" t="s">
        <v>5955</v>
      </c>
      <c r="H583" s="68" t="s">
        <v>5956</v>
      </c>
      <c r="I583" s="5" t="s">
        <v>1738</v>
      </c>
      <c r="J583" s="161">
        <v>42095</v>
      </c>
      <c r="K583" s="10">
        <v>5</v>
      </c>
      <c r="L583" s="10">
        <v>4</v>
      </c>
      <c r="M583" s="12" t="s">
        <v>1739</v>
      </c>
      <c r="N583" s="150">
        <v>41334</v>
      </c>
      <c r="O583" s="5" t="s">
        <v>982</v>
      </c>
      <c r="P583" s="167" t="s">
        <v>5957</v>
      </c>
      <c r="Q583" s="11" t="s">
        <v>5958</v>
      </c>
      <c r="R583" s="9"/>
      <c r="S583" s="162">
        <v>132100511973</v>
      </c>
      <c r="T583" s="20" t="s">
        <v>5959</v>
      </c>
      <c r="U583" s="150">
        <v>51957</v>
      </c>
      <c r="V583" s="14" t="s">
        <v>5857</v>
      </c>
      <c r="W583" s="14" t="s">
        <v>5960</v>
      </c>
      <c r="X583" s="11"/>
      <c r="Y583" s="5"/>
      <c r="Z583" s="160" t="s">
        <v>1084</v>
      </c>
    </row>
    <row r="584" spans="1:26" ht="39" customHeight="1" x14ac:dyDescent="0.25">
      <c r="A584" s="5">
        <v>18</v>
      </c>
      <c r="B584" s="14" t="s">
        <v>5961</v>
      </c>
      <c r="C584" s="5" t="s">
        <v>46</v>
      </c>
      <c r="D584" s="5" t="s">
        <v>5962</v>
      </c>
      <c r="E584" s="12" t="s">
        <v>1489</v>
      </c>
      <c r="F584" s="150">
        <v>27977</v>
      </c>
      <c r="G584" s="8" t="s">
        <v>5963</v>
      </c>
      <c r="H584" s="68" t="s">
        <v>5964</v>
      </c>
      <c r="I584" s="5" t="s">
        <v>1738</v>
      </c>
      <c r="J584" s="150">
        <v>43009</v>
      </c>
      <c r="K584" s="5">
        <v>12</v>
      </c>
      <c r="L584" s="5">
        <v>9</v>
      </c>
      <c r="M584" s="12" t="s">
        <v>1739</v>
      </c>
      <c r="N584" s="150">
        <v>41365</v>
      </c>
      <c r="O584" s="5" t="s">
        <v>982</v>
      </c>
      <c r="P584" s="157" t="s">
        <v>5965</v>
      </c>
      <c r="Q584" s="157" t="s">
        <v>5947</v>
      </c>
      <c r="R584" s="9"/>
      <c r="S584" s="162">
        <v>102100504737</v>
      </c>
      <c r="T584" s="20">
        <v>2005087601</v>
      </c>
      <c r="U584" s="150">
        <v>51745</v>
      </c>
      <c r="V584" s="14" t="s">
        <v>5857</v>
      </c>
      <c r="W584" s="14" t="s">
        <v>5966</v>
      </c>
      <c r="X584" s="11"/>
      <c r="Y584" s="5"/>
      <c r="Z584" s="160" t="s">
        <v>1965</v>
      </c>
    </row>
    <row r="585" spans="1:26" ht="39" customHeight="1" x14ac:dyDescent="0.25">
      <c r="A585" s="5">
        <v>19</v>
      </c>
      <c r="B585" s="14" t="s">
        <v>5967</v>
      </c>
      <c r="C585" s="5" t="s">
        <v>46</v>
      </c>
      <c r="D585" s="5" t="s">
        <v>5968</v>
      </c>
      <c r="E585" s="12" t="s">
        <v>1950</v>
      </c>
      <c r="F585" s="150">
        <v>27460</v>
      </c>
      <c r="G585" s="8" t="s">
        <v>5969</v>
      </c>
      <c r="H585" s="68" t="s">
        <v>5970</v>
      </c>
      <c r="I585" s="5" t="s">
        <v>1699</v>
      </c>
      <c r="J585" s="150">
        <v>45383</v>
      </c>
      <c r="K585" s="5">
        <v>18</v>
      </c>
      <c r="L585" s="5">
        <v>0</v>
      </c>
      <c r="M585" s="12" t="s">
        <v>1501</v>
      </c>
      <c r="N585" s="150">
        <v>45139</v>
      </c>
      <c r="O585" s="5" t="s">
        <v>1028</v>
      </c>
      <c r="P585" s="157" t="s">
        <v>5971</v>
      </c>
      <c r="Q585" s="157" t="s">
        <v>5972</v>
      </c>
      <c r="R585" s="168" t="s">
        <v>5973</v>
      </c>
      <c r="S585" s="186" t="s">
        <v>5974</v>
      </c>
      <c r="T585" s="20">
        <v>2007037501</v>
      </c>
      <c r="U585" s="150">
        <v>51227</v>
      </c>
      <c r="V585" s="14" t="s">
        <v>5834</v>
      </c>
      <c r="W585" s="14" t="s">
        <v>5975</v>
      </c>
      <c r="X585" s="11" t="s">
        <v>5976</v>
      </c>
      <c r="Y585" s="51">
        <v>45588</v>
      </c>
      <c r="Z585" s="154"/>
    </row>
    <row r="586" spans="1:26" ht="39" customHeight="1" x14ac:dyDescent="0.25">
      <c r="A586" s="5">
        <v>20</v>
      </c>
      <c r="B586" s="14" t="s">
        <v>5977</v>
      </c>
      <c r="C586" s="5" t="s">
        <v>18</v>
      </c>
      <c r="D586" s="5" t="s">
        <v>5978</v>
      </c>
      <c r="E586" s="12" t="s">
        <v>1489</v>
      </c>
      <c r="F586" s="150">
        <v>24888</v>
      </c>
      <c r="G586" s="8" t="s">
        <v>5979</v>
      </c>
      <c r="H586" s="68" t="s">
        <v>5980</v>
      </c>
      <c r="I586" s="5" t="s">
        <v>1738</v>
      </c>
      <c r="J586" s="150">
        <v>42826</v>
      </c>
      <c r="K586" s="5">
        <v>14</v>
      </c>
      <c r="L586" s="5">
        <v>9</v>
      </c>
      <c r="M586" s="12" t="s">
        <v>1739</v>
      </c>
      <c r="N586" s="150">
        <v>41365</v>
      </c>
      <c r="O586" s="5" t="s">
        <v>982</v>
      </c>
      <c r="P586" s="11" t="s">
        <v>5981</v>
      </c>
      <c r="Q586" s="11" t="s">
        <v>4174</v>
      </c>
      <c r="R586" s="9"/>
      <c r="S586" s="162">
        <v>112100511510016</v>
      </c>
      <c r="T586" s="20">
        <v>2020026801</v>
      </c>
      <c r="U586" s="51" t="s">
        <v>5982</v>
      </c>
      <c r="V586" s="14" t="s">
        <v>5857</v>
      </c>
      <c r="W586" s="14" t="s">
        <v>2390</v>
      </c>
      <c r="X586" s="11"/>
      <c r="Y586" s="5"/>
      <c r="Z586" s="154"/>
    </row>
    <row r="587" spans="1:26" ht="39" customHeight="1" x14ac:dyDescent="0.25">
      <c r="A587" s="5">
        <v>21</v>
      </c>
      <c r="B587" s="14" t="s">
        <v>5983</v>
      </c>
      <c r="C587" s="5" t="s">
        <v>18</v>
      </c>
      <c r="D587" s="5" t="s">
        <v>5984</v>
      </c>
      <c r="E587" s="14" t="s">
        <v>2076</v>
      </c>
      <c r="F587" s="150">
        <v>30002</v>
      </c>
      <c r="G587" s="8" t="s">
        <v>5985</v>
      </c>
      <c r="H587" s="68" t="s">
        <v>5986</v>
      </c>
      <c r="I587" s="5" t="s">
        <v>1699</v>
      </c>
      <c r="J587" s="161">
        <v>44287</v>
      </c>
      <c r="K587" s="10">
        <v>12</v>
      </c>
      <c r="L587" s="10">
        <v>3</v>
      </c>
      <c r="M587" s="14" t="s">
        <v>1739</v>
      </c>
      <c r="N587" s="150">
        <v>41548</v>
      </c>
      <c r="O587" s="5" t="s">
        <v>1028</v>
      </c>
      <c r="P587" s="9" t="s">
        <v>5987</v>
      </c>
      <c r="Q587" s="157" t="s">
        <v>5988</v>
      </c>
      <c r="R587" s="9" t="s">
        <v>5989</v>
      </c>
      <c r="S587" s="33">
        <v>122100509802</v>
      </c>
      <c r="T587" s="20">
        <v>2020028201</v>
      </c>
      <c r="U587" s="150">
        <v>53752</v>
      </c>
      <c r="V587" s="14" t="s">
        <v>5857</v>
      </c>
      <c r="W587" s="14" t="s">
        <v>5858</v>
      </c>
      <c r="X587" s="11"/>
      <c r="Y587" s="51" t="s">
        <v>1084</v>
      </c>
      <c r="Z587" s="40" t="s">
        <v>5990</v>
      </c>
    </row>
    <row r="588" spans="1:26" ht="39" customHeight="1" x14ac:dyDescent="0.25">
      <c r="A588" s="5">
        <v>22</v>
      </c>
      <c r="B588" s="14" t="s">
        <v>5991</v>
      </c>
      <c r="C588" s="5" t="s">
        <v>46</v>
      </c>
      <c r="D588" s="10" t="s">
        <v>5992</v>
      </c>
      <c r="E588" s="14" t="s">
        <v>5993</v>
      </c>
      <c r="F588" s="150">
        <v>31304</v>
      </c>
      <c r="G588" s="8" t="s">
        <v>5994</v>
      </c>
      <c r="H588" s="68" t="s">
        <v>5995</v>
      </c>
      <c r="I588" s="5" t="s">
        <v>1717</v>
      </c>
      <c r="J588" s="150">
        <v>42278</v>
      </c>
      <c r="K588" s="5">
        <v>4</v>
      </c>
      <c r="L588" s="5">
        <v>9</v>
      </c>
      <c r="M588" s="12" t="s">
        <v>1739</v>
      </c>
      <c r="N588" s="150">
        <v>42125</v>
      </c>
      <c r="O588" s="5" t="s">
        <v>1028</v>
      </c>
      <c r="P588" s="11" t="s">
        <v>5996</v>
      </c>
      <c r="Q588" s="11" t="s">
        <v>5997</v>
      </c>
      <c r="R588" s="168" t="s">
        <v>5998</v>
      </c>
      <c r="S588" s="162">
        <v>1321000511987</v>
      </c>
      <c r="T588" s="20">
        <v>2014098501</v>
      </c>
      <c r="U588" s="150">
        <v>55062</v>
      </c>
      <c r="V588" s="14" t="s">
        <v>5834</v>
      </c>
      <c r="W588" s="14" t="s">
        <v>5999</v>
      </c>
      <c r="X588" s="11" t="s">
        <v>6000</v>
      </c>
      <c r="Y588" s="31">
        <v>45579</v>
      </c>
      <c r="Z588" s="154"/>
    </row>
    <row r="589" spans="1:26" ht="39" customHeight="1" x14ac:dyDescent="0.25">
      <c r="A589" s="5">
        <v>23</v>
      </c>
      <c r="B589" s="14" t="s">
        <v>6001</v>
      </c>
      <c r="C589" s="5" t="s">
        <v>46</v>
      </c>
      <c r="D589" s="5"/>
      <c r="E589" s="14" t="s">
        <v>1902</v>
      </c>
      <c r="F589" s="150">
        <v>29056</v>
      </c>
      <c r="G589" s="8" t="s">
        <v>6002</v>
      </c>
      <c r="H589" s="68" t="s">
        <v>6003</v>
      </c>
      <c r="I589" s="5" t="s">
        <v>1738</v>
      </c>
      <c r="J589" s="161">
        <v>45566</v>
      </c>
      <c r="K589" s="10">
        <v>14</v>
      </c>
      <c r="L589" s="10">
        <v>10</v>
      </c>
      <c r="M589" s="12" t="s">
        <v>1501</v>
      </c>
      <c r="N589" s="150">
        <v>45139</v>
      </c>
      <c r="O589" s="5" t="s">
        <v>1028</v>
      </c>
      <c r="P589" s="167" t="s">
        <v>6004</v>
      </c>
      <c r="Q589" s="11" t="s">
        <v>6005</v>
      </c>
      <c r="R589" s="9"/>
      <c r="S589" s="33">
        <v>142100512836</v>
      </c>
      <c r="T589" s="20">
        <v>2020077901</v>
      </c>
      <c r="U589" s="150">
        <v>52810</v>
      </c>
      <c r="V589" s="14" t="s">
        <v>5834</v>
      </c>
      <c r="W589" s="14" t="s">
        <v>6006</v>
      </c>
      <c r="X589" s="233" t="s">
        <v>6007</v>
      </c>
      <c r="Y589" s="234">
        <v>45637</v>
      </c>
      <c r="Z589" s="184"/>
    </row>
    <row r="590" spans="1:26" ht="39" customHeight="1" x14ac:dyDescent="0.25">
      <c r="A590" s="5">
        <v>24</v>
      </c>
      <c r="B590" s="14" t="s">
        <v>6008</v>
      </c>
      <c r="C590" s="5" t="s">
        <v>46</v>
      </c>
      <c r="D590" s="5"/>
      <c r="E590" s="14" t="s">
        <v>2428</v>
      </c>
      <c r="F590" s="150">
        <v>28031</v>
      </c>
      <c r="G590" s="8" t="s">
        <v>6009</v>
      </c>
      <c r="H590" s="68" t="s">
        <v>6010</v>
      </c>
      <c r="I590" s="5" t="s">
        <v>1738</v>
      </c>
      <c r="J590" s="161">
        <v>45444</v>
      </c>
      <c r="K590" s="10">
        <v>14</v>
      </c>
      <c r="L590" s="10">
        <v>6</v>
      </c>
      <c r="M590" s="12" t="s">
        <v>1739</v>
      </c>
      <c r="N590" s="150">
        <v>42522</v>
      </c>
      <c r="O590" s="5" t="s">
        <v>982</v>
      </c>
      <c r="P590" s="167" t="s">
        <v>6011</v>
      </c>
      <c r="Q590" s="11" t="s">
        <v>6012</v>
      </c>
      <c r="R590" s="9"/>
      <c r="S590" s="33">
        <v>122100509805</v>
      </c>
      <c r="T590" s="20">
        <v>2028107601</v>
      </c>
      <c r="U590" s="150">
        <v>51806</v>
      </c>
      <c r="V590" s="14" t="s">
        <v>5857</v>
      </c>
      <c r="W590" s="14" t="s">
        <v>6013</v>
      </c>
      <c r="X590" s="89"/>
      <c r="Y590" s="89"/>
      <c r="Z590" s="89"/>
    </row>
    <row r="591" spans="1:26" ht="39" customHeight="1" x14ac:dyDescent="0.25">
      <c r="A591" s="5">
        <v>25</v>
      </c>
      <c r="B591" s="12" t="s">
        <v>6014</v>
      </c>
      <c r="C591" s="5" t="s">
        <v>18</v>
      </c>
      <c r="D591" s="5"/>
      <c r="E591" s="14" t="s">
        <v>1902</v>
      </c>
      <c r="F591" s="51" t="s">
        <v>6015</v>
      </c>
      <c r="G591" s="8" t="s">
        <v>6016</v>
      </c>
      <c r="H591" s="68" t="s">
        <v>6017</v>
      </c>
      <c r="I591" s="5" t="s">
        <v>1738</v>
      </c>
      <c r="J591" s="150" t="s">
        <v>2498</v>
      </c>
      <c r="K591" s="5">
        <v>17</v>
      </c>
      <c r="L591" s="5">
        <v>0</v>
      </c>
      <c r="M591" s="12" t="s">
        <v>1739</v>
      </c>
      <c r="N591" s="150">
        <v>42856</v>
      </c>
      <c r="O591" s="5" t="s">
        <v>1028</v>
      </c>
      <c r="P591" s="9" t="s">
        <v>6018</v>
      </c>
      <c r="Q591" s="9" t="s">
        <v>6019</v>
      </c>
      <c r="R591" s="9" t="s">
        <v>6020</v>
      </c>
      <c r="S591" s="186" t="s">
        <v>6021</v>
      </c>
      <c r="T591" s="20" t="s">
        <v>6022</v>
      </c>
      <c r="U591" s="51" t="s">
        <v>6023</v>
      </c>
      <c r="V591" s="14" t="s">
        <v>5849</v>
      </c>
      <c r="W591" s="14" t="s">
        <v>6024</v>
      </c>
      <c r="X591" s="11" t="s">
        <v>6025</v>
      </c>
      <c r="Y591" s="51">
        <v>45588</v>
      </c>
      <c r="Z591" s="154"/>
    </row>
    <row r="592" spans="1:26" ht="39" customHeight="1" x14ac:dyDescent="0.25">
      <c r="A592" s="5">
        <v>26</v>
      </c>
      <c r="B592" s="14" t="s">
        <v>6026</v>
      </c>
      <c r="C592" s="5" t="s">
        <v>46</v>
      </c>
      <c r="D592" s="5" t="s">
        <v>6027</v>
      </c>
      <c r="E592" s="12" t="s">
        <v>1489</v>
      </c>
      <c r="F592" s="150">
        <v>28225</v>
      </c>
      <c r="G592" s="8" t="s">
        <v>6028</v>
      </c>
      <c r="H592" s="68" t="s">
        <v>6029</v>
      </c>
      <c r="I592" s="5" t="s">
        <v>1717</v>
      </c>
      <c r="J592" s="150">
        <v>43922</v>
      </c>
      <c r="K592" s="10">
        <v>15</v>
      </c>
      <c r="L592" s="10">
        <v>3</v>
      </c>
      <c r="M592" s="12" t="s">
        <v>1739</v>
      </c>
      <c r="N592" s="150">
        <v>42917</v>
      </c>
      <c r="O592" s="5" t="s">
        <v>982</v>
      </c>
      <c r="P592" s="157" t="s">
        <v>5903</v>
      </c>
      <c r="Q592" s="11" t="s">
        <v>6030</v>
      </c>
      <c r="R592" s="9"/>
      <c r="S592" s="162">
        <v>122100509806</v>
      </c>
      <c r="T592" s="20">
        <v>2010047701</v>
      </c>
      <c r="U592" s="150">
        <v>51987</v>
      </c>
      <c r="V592" s="14" t="s">
        <v>5857</v>
      </c>
      <c r="W592" s="14" t="s">
        <v>5921</v>
      </c>
      <c r="X592" s="11"/>
      <c r="Y592" s="5"/>
      <c r="Z592" s="154" t="s">
        <v>1084</v>
      </c>
    </row>
    <row r="593" spans="1:26" ht="39" customHeight="1" x14ac:dyDescent="0.25">
      <c r="A593" s="5">
        <v>27</v>
      </c>
      <c r="B593" s="14" t="s">
        <v>6031</v>
      </c>
      <c r="C593" s="5" t="s">
        <v>46</v>
      </c>
      <c r="D593" s="10" t="s">
        <v>6032</v>
      </c>
      <c r="E593" s="14" t="s">
        <v>2590</v>
      </c>
      <c r="F593" s="150">
        <v>27616</v>
      </c>
      <c r="G593" s="8" t="s">
        <v>6033</v>
      </c>
      <c r="H593" s="68" t="s">
        <v>6034</v>
      </c>
      <c r="I593" s="5" t="s">
        <v>1738</v>
      </c>
      <c r="J593" s="150">
        <v>45383</v>
      </c>
      <c r="K593" s="5">
        <v>15</v>
      </c>
      <c r="L593" s="5">
        <v>4</v>
      </c>
      <c r="M593" s="12" t="s">
        <v>1739</v>
      </c>
      <c r="N593" s="150">
        <v>42917</v>
      </c>
      <c r="O593" s="5" t="s">
        <v>982</v>
      </c>
      <c r="P593" s="11" t="s">
        <v>5856</v>
      </c>
      <c r="Q593" s="11" t="s">
        <v>6035</v>
      </c>
      <c r="R593" s="168" t="s">
        <v>1084</v>
      </c>
      <c r="S593" s="186" t="s">
        <v>6036</v>
      </c>
      <c r="T593" s="20">
        <v>2010087502</v>
      </c>
      <c r="U593" s="150">
        <v>51380</v>
      </c>
      <c r="V593" s="14" t="s">
        <v>5857</v>
      </c>
      <c r="W593" s="14" t="s">
        <v>2390</v>
      </c>
      <c r="X593" s="89"/>
      <c r="Y593" s="89"/>
      <c r="Z593" s="67"/>
    </row>
    <row r="594" spans="1:26" ht="39" customHeight="1" x14ac:dyDescent="0.25">
      <c r="A594" s="5">
        <v>28</v>
      </c>
      <c r="B594" s="14" t="s">
        <v>6037</v>
      </c>
      <c r="C594" s="5" t="s">
        <v>46</v>
      </c>
      <c r="D594" s="5" t="s">
        <v>6038</v>
      </c>
      <c r="E594" s="14" t="s">
        <v>6039</v>
      </c>
      <c r="F594" s="150">
        <v>29873</v>
      </c>
      <c r="G594" s="8" t="s">
        <v>6040</v>
      </c>
      <c r="H594" s="68" t="s">
        <v>6041</v>
      </c>
      <c r="I594" s="5" t="s">
        <v>1738</v>
      </c>
      <c r="J594" s="161">
        <v>45383</v>
      </c>
      <c r="K594" s="10">
        <v>15</v>
      </c>
      <c r="L594" s="10">
        <v>3</v>
      </c>
      <c r="M594" s="12" t="s">
        <v>1739</v>
      </c>
      <c r="N594" s="150">
        <v>42948</v>
      </c>
      <c r="O594" s="5" t="s">
        <v>982</v>
      </c>
      <c r="P594" s="9" t="s">
        <v>5856</v>
      </c>
      <c r="Q594" s="157" t="s">
        <v>5988</v>
      </c>
      <c r="R594" s="9"/>
      <c r="S594" s="33">
        <v>132100511990</v>
      </c>
      <c r="T594" s="20">
        <v>2014108101</v>
      </c>
      <c r="U594" s="150">
        <v>53632</v>
      </c>
      <c r="V594" s="14" t="s">
        <v>5857</v>
      </c>
      <c r="W594" s="14" t="s">
        <v>6042</v>
      </c>
      <c r="X594" s="11"/>
      <c r="Y594" s="5"/>
      <c r="Z594" s="154"/>
    </row>
    <row r="595" spans="1:26" ht="39" customHeight="1" x14ac:dyDescent="0.25">
      <c r="A595" s="5">
        <v>29</v>
      </c>
      <c r="B595" s="14" t="s">
        <v>6043</v>
      </c>
      <c r="C595" s="5" t="s">
        <v>46</v>
      </c>
      <c r="D595" s="5" t="s">
        <v>6044</v>
      </c>
      <c r="E595" s="14" t="s">
        <v>1489</v>
      </c>
      <c r="F595" s="150">
        <v>29711</v>
      </c>
      <c r="G595" s="8" t="s">
        <v>6045</v>
      </c>
      <c r="H595" s="68" t="s">
        <v>6046</v>
      </c>
      <c r="I595" s="5" t="s">
        <v>1738</v>
      </c>
      <c r="J595" s="161">
        <v>45444</v>
      </c>
      <c r="K595" s="10">
        <v>15</v>
      </c>
      <c r="L595" s="10">
        <v>5</v>
      </c>
      <c r="M595" s="12" t="s">
        <v>1739</v>
      </c>
      <c r="N595" s="150">
        <v>43009</v>
      </c>
      <c r="O595" s="5" t="s">
        <v>982</v>
      </c>
      <c r="P595" s="11" t="s">
        <v>5947</v>
      </c>
      <c r="Q595" s="11" t="s">
        <v>6047</v>
      </c>
      <c r="R595" s="9"/>
      <c r="S595" s="162">
        <v>132100511970</v>
      </c>
      <c r="T595" s="20">
        <v>2005058102</v>
      </c>
      <c r="U595" s="150">
        <v>53479</v>
      </c>
      <c r="V595" s="14" t="s">
        <v>5857</v>
      </c>
      <c r="W595" s="14" t="s">
        <v>5858</v>
      </c>
      <c r="X595" s="11"/>
      <c r="Y595" s="51"/>
      <c r="Z595" s="172"/>
    </row>
    <row r="596" spans="1:26" ht="39" customHeight="1" x14ac:dyDescent="0.25">
      <c r="A596" s="5">
        <v>30</v>
      </c>
      <c r="B596" s="14" t="s">
        <v>6048</v>
      </c>
      <c r="C596" s="5" t="s">
        <v>46</v>
      </c>
      <c r="D596" s="5" t="s">
        <v>6049</v>
      </c>
      <c r="E596" s="12" t="s">
        <v>6039</v>
      </c>
      <c r="F596" s="150">
        <v>27350</v>
      </c>
      <c r="G596" s="8" t="s">
        <v>6050</v>
      </c>
      <c r="H596" s="68" t="s">
        <v>6051</v>
      </c>
      <c r="I596" s="5" t="s">
        <v>1738</v>
      </c>
      <c r="J596" s="150">
        <v>44105</v>
      </c>
      <c r="K596" s="5">
        <v>15</v>
      </c>
      <c r="L596" s="5">
        <v>9</v>
      </c>
      <c r="M596" s="12" t="s">
        <v>1739</v>
      </c>
      <c r="N596" s="150">
        <v>43191</v>
      </c>
      <c r="O596" s="5" t="s">
        <v>1028</v>
      </c>
      <c r="P596" s="157" t="s">
        <v>5873</v>
      </c>
      <c r="Q596" s="11" t="s">
        <v>4530</v>
      </c>
      <c r="R596" s="9" t="s">
        <v>6052</v>
      </c>
      <c r="S596" s="162" t="s">
        <v>6053</v>
      </c>
      <c r="T596" s="20">
        <v>2017117401</v>
      </c>
      <c r="U596" s="150">
        <v>51105</v>
      </c>
      <c r="V596" s="14" t="s">
        <v>5857</v>
      </c>
      <c r="W596" s="14" t="s">
        <v>6054</v>
      </c>
      <c r="X596" s="11"/>
      <c r="Y596" s="5"/>
      <c r="Z596" s="154" t="s">
        <v>1084</v>
      </c>
    </row>
    <row r="597" spans="1:26" ht="39" customHeight="1" x14ac:dyDescent="0.25">
      <c r="A597" s="5">
        <v>31</v>
      </c>
      <c r="B597" s="9" t="s">
        <v>6055</v>
      </c>
      <c r="C597" s="5" t="s">
        <v>18</v>
      </c>
      <c r="D597" s="10"/>
      <c r="E597" s="9" t="s">
        <v>2625</v>
      </c>
      <c r="F597" s="161">
        <v>32341</v>
      </c>
      <c r="G597" s="151" t="s">
        <v>6056</v>
      </c>
      <c r="H597" s="68" t="s">
        <v>6057</v>
      </c>
      <c r="I597" s="10" t="s">
        <v>1738</v>
      </c>
      <c r="J597" s="161">
        <v>45383</v>
      </c>
      <c r="K597" s="5">
        <v>9</v>
      </c>
      <c r="L597" s="5">
        <v>1</v>
      </c>
      <c r="M597" s="12" t="s">
        <v>1739</v>
      </c>
      <c r="N597" s="161">
        <v>43313</v>
      </c>
      <c r="O597" s="5" t="s">
        <v>982</v>
      </c>
      <c r="P597" s="157" t="s">
        <v>6030</v>
      </c>
      <c r="Q597" s="9" t="s">
        <v>6058</v>
      </c>
      <c r="R597" s="168"/>
      <c r="S597" s="14" t="s">
        <v>6059</v>
      </c>
      <c r="T597" s="20">
        <v>2017078801</v>
      </c>
      <c r="U597" s="150">
        <v>56097</v>
      </c>
      <c r="V597" s="14" t="s">
        <v>5857</v>
      </c>
      <c r="W597" s="9" t="s">
        <v>6060</v>
      </c>
      <c r="X597" s="9"/>
      <c r="Y597" s="10"/>
      <c r="Z597" s="154"/>
    </row>
    <row r="598" spans="1:26" ht="39" customHeight="1" x14ac:dyDescent="0.25">
      <c r="A598" s="5">
        <v>32</v>
      </c>
      <c r="B598" s="9" t="s">
        <v>6061</v>
      </c>
      <c r="C598" s="5" t="s">
        <v>46</v>
      </c>
      <c r="D598" s="10"/>
      <c r="E598" s="9" t="s">
        <v>6062</v>
      </c>
      <c r="F598" s="161">
        <v>30818</v>
      </c>
      <c r="G598" s="151" t="s">
        <v>6063</v>
      </c>
      <c r="H598" s="68" t="s">
        <v>6064</v>
      </c>
      <c r="I598" s="10" t="s">
        <v>1738</v>
      </c>
      <c r="J598" s="161">
        <v>45383</v>
      </c>
      <c r="K598" s="5">
        <v>9</v>
      </c>
      <c r="L598" s="5">
        <v>1</v>
      </c>
      <c r="M598" s="12" t="s">
        <v>1739</v>
      </c>
      <c r="N598" s="161">
        <v>43556</v>
      </c>
      <c r="O598" s="5" t="s">
        <v>982</v>
      </c>
      <c r="P598" s="11" t="s">
        <v>6065</v>
      </c>
      <c r="Q598" s="11" t="s">
        <v>6066</v>
      </c>
      <c r="R598" s="168"/>
      <c r="S598" s="14" t="s">
        <v>6067</v>
      </c>
      <c r="T598" s="20" t="s">
        <v>6068</v>
      </c>
      <c r="U598" s="150">
        <v>54575</v>
      </c>
      <c r="V598" s="14" t="s">
        <v>5834</v>
      </c>
      <c r="W598" s="9" t="s">
        <v>6069</v>
      </c>
      <c r="X598" s="9"/>
      <c r="Y598" s="10"/>
      <c r="Z598" s="154" t="s">
        <v>1965</v>
      </c>
    </row>
    <row r="599" spans="1:26" ht="39" customHeight="1" x14ac:dyDescent="0.25">
      <c r="A599" s="5">
        <v>33</v>
      </c>
      <c r="B599" s="9" t="s">
        <v>6070</v>
      </c>
      <c r="C599" s="5" t="s">
        <v>46</v>
      </c>
      <c r="D599" s="10"/>
      <c r="E599" s="9" t="s">
        <v>1934</v>
      </c>
      <c r="F599" s="161">
        <v>31169</v>
      </c>
      <c r="G599" s="151" t="s">
        <v>6071</v>
      </c>
      <c r="H599" s="68" t="s">
        <v>6072</v>
      </c>
      <c r="I599" s="10" t="s">
        <v>1738</v>
      </c>
      <c r="J599" s="161">
        <v>45017</v>
      </c>
      <c r="K599" s="5">
        <v>8</v>
      </c>
      <c r="L599" s="5">
        <v>1</v>
      </c>
      <c r="M599" s="12" t="s">
        <v>1739</v>
      </c>
      <c r="N599" s="150">
        <v>44044</v>
      </c>
      <c r="O599" s="5" t="s">
        <v>1028</v>
      </c>
      <c r="P599" s="11" t="s">
        <v>6073</v>
      </c>
      <c r="Q599" s="9" t="s">
        <v>6074</v>
      </c>
      <c r="R599" s="168" t="s">
        <v>6075</v>
      </c>
      <c r="S599" s="79">
        <v>192100517414</v>
      </c>
      <c r="T599" s="20">
        <v>2002058501</v>
      </c>
      <c r="U599" s="150">
        <v>54940</v>
      </c>
      <c r="V599" s="14" t="s">
        <v>5849</v>
      </c>
      <c r="W599" s="9" t="s">
        <v>6076</v>
      </c>
      <c r="X599" s="9" t="s">
        <v>6077</v>
      </c>
      <c r="Y599" s="51">
        <v>45579</v>
      </c>
      <c r="Z599" s="154"/>
    </row>
    <row r="600" spans="1:26" ht="39" customHeight="1" x14ac:dyDescent="0.25">
      <c r="A600" s="5">
        <v>34</v>
      </c>
      <c r="B600" s="9" t="s">
        <v>6078</v>
      </c>
      <c r="C600" s="5" t="s">
        <v>18</v>
      </c>
      <c r="D600" s="10"/>
      <c r="E600" s="9" t="s">
        <v>3342</v>
      </c>
      <c r="F600" s="161">
        <v>31767</v>
      </c>
      <c r="G600" s="151" t="s">
        <v>6079</v>
      </c>
      <c r="H600" s="68" t="s">
        <v>6080</v>
      </c>
      <c r="I600" s="10" t="s">
        <v>1738</v>
      </c>
      <c r="J600" s="161">
        <v>45566</v>
      </c>
      <c r="K600" s="5">
        <v>9</v>
      </c>
      <c r="L600" s="5">
        <v>9</v>
      </c>
      <c r="M600" s="12" t="s">
        <v>1739</v>
      </c>
      <c r="N600" s="161">
        <v>44652</v>
      </c>
      <c r="O600" s="5" t="s">
        <v>982</v>
      </c>
      <c r="P600" s="11" t="s">
        <v>6081</v>
      </c>
      <c r="Q600" s="9" t="s">
        <v>6082</v>
      </c>
      <c r="R600" s="168"/>
      <c r="S600" s="14" t="s">
        <v>6083</v>
      </c>
      <c r="T600" s="20" t="s">
        <v>6084</v>
      </c>
      <c r="U600" s="150">
        <v>55519</v>
      </c>
      <c r="V600" s="14" t="s">
        <v>5834</v>
      </c>
      <c r="W600" s="9" t="s">
        <v>6085</v>
      </c>
      <c r="X600" s="11" t="s">
        <v>6086</v>
      </c>
      <c r="Y600" s="51">
        <v>45579</v>
      </c>
      <c r="Z600" s="154"/>
    </row>
    <row r="601" spans="1:26" ht="39" customHeight="1" x14ac:dyDescent="0.25">
      <c r="A601" s="5">
        <v>35</v>
      </c>
      <c r="B601" s="9" t="s">
        <v>6087</v>
      </c>
      <c r="C601" s="5" t="s">
        <v>46</v>
      </c>
      <c r="D601" s="10"/>
      <c r="E601" s="9" t="s">
        <v>1860</v>
      </c>
      <c r="F601" s="161">
        <v>30327</v>
      </c>
      <c r="G601" s="151" t="s">
        <v>6088</v>
      </c>
      <c r="H601" s="68" t="s">
        <v>6089</v>
      </c>
      <c r="I601" s="10" t="s">
        <v>1738</v>
      </c>
      <c r="J601" s="161">
        <v>45566</v>
      </c>
      <c r="K601" s="5">
        <v>9</v>
      </c>
      <c r="L601" s="5">
        <v>7</v>
      </c>
      <c r="M601" s="12" t="s">
        <v>1739</v>
      </c>
      <c r="N601" s="161">
        <v>44652</v>
      </c>
      <c r="O601" s="5" t="s">
        <v>982</v>
      </c>
      <c r="P601" s="11" t="s">
        <v>6090</v>
      </c>
      <c r="Q601" s="9" t="s">
        <v>6091</v>
      </c>
      <c r="R601" s="168"/>
      <c r="S601" s="14" t="s">
        <v>6092</v>
      </c>
      <c r="T601" s="171" t="s">
        <v>6093</v>
      </c>
      <c r="U601" s="150">
        <v>54089</v>
      </c>
      <c r="V601" s="14" t="s">
        <v>5834</v>
      </c>
      <c r="W601" s="9" t="s">
        <v>6094</v>
      </c>
      <c r="X601" s="9"/>
      <c r="Y601" s="10"/>
      <c r="Z601" s="172"/>
    </row>
    <row r="602" spans="1:26" ht="39" customHeight="1" x14ac:dyDescent="0.25">
      <c r="A602" s="5">
        <v>36</v>
      </c>
      <c r="B602" s="9" t="s">
        <v>6095</v>
      </c>
      <c r="C602" s="5" t="s">
        <v>18</v>
      </c>
      <c r="D602" s="10"/>
      <c r="E602" s="9" t="s">
        <v>6096</v>
      </c>
      <c r="F602" s="161">
        <v>32886</v>
      </c>
      <c r="G602" s="151" t="s">
        <v>6097</v>
      </c>
      <c r="H602" s="169" t="s">
        <v>6098</v>
      </c>
      <c r="I602" s="10" t="s">
        <v>1717</v>
      </c>
      <c r="J602" s="161">
        <v>44835</v>
      </c>
      <c r="K602" s="5">
        <v>4</v>
      </c>
      <c r="L602" s="5">
        <v>9</v>
      </c>
      <c r="M602" s="12" t="s">
        <v>1739</v>
      </c>
      <c r="N602" s="150">
        <v>44713</v>
      </c>
      <c r="O602" s="5" t="s">
        <v>982</v>
      </c>
      <c r="P602" s="11" t="s">
        <v>1084</v>
      </c>
      <c r="Q602" s="9" t="s">
        <v>6099</v>
      </c>
      <c r="R602" s="168"/>
      <c r="S602" s="14" t="s">
        <v>6100</v>
      </c>
      <c r="T602" s="171" t="s">
        <v>6101</v>
      </c>
      <c r="U602" s="150">
        <v>56646</v>
      </c>
      <c r="V602" s="14" t="s">
        <v>5849</v>
      </c>
      <c r="W602" s="9" t="s">
        <v>6102</v>
      </c>
      <c r="X602" s="89"/>
      <c r="Y602" s="89"/>
      <c r="Z602" s="164"/>
    </row>
    <row r="603" spans="1:26" ht="39" customHeight="1" x14ac:dyDescent="0.25">
      <c r="A603" s="5">
        <v>37</v>
      </c>
      <c r="B603" s="154" t="s">
        <v>6103</v>
      </c>
      <c r="C603" s="5" t="s">
        <v>46</v>
      </c>
      <c r="D603" s="10"/>
      <c r="E603" s="154" t="s">
        <v>1489</v>
      </c>
      <c r="F603" s="155">
        <v>33557</v>
      </c>
      <c r="G603" s="106" t="s">
        <v>6104</v>
      </c>
      <c r="H603" s="68" t="s">
        <v>6105</v>
      </c>
      <c r="I603" s="10" t="s">
        <v>1717</v>
      </c>
      <c r="J603" s="161">
        <v>45200</v>
      </c>
      <c r="K603" s="5">
        <v>4</v>
      </c>
      <c r="L603" s="5">
        <v>7</v>
      </c>
      <c r="M603" s="12" t="s">
        <v>1739</v>
      </c>
      <c r="N603" s="161">
        <v>44927</v>
      </c>
      <c r="O603" s="5" t="s">
        <v>982</v>
      </c>
      <c r="P603" s="11" t="s">
        <v>5775</v>
      </c>
      <c r="Q603" s="160" t="s">
        <v>6106</v>
      </c>
      <c r="R603" s="168"/>
      <c r="S603" s="14"/>
      <c r="T603" s="171" t="s">
        <v>6107</v>
      </c>
      <c r="U603" s="150">
        <v>57315</v>
      </c>
      <c r="V603" s="11" t="s">
        <v>5857</v>
      </c>
      <c r="W603" s="160" t="s">
        <v>6108</v>
      </c>
      <c r="X603" s="9"/>
      <c r="Y603" s="10"/>
      <c r="Z603" s="172"/>
    </row>
    <row r="604" spans="1:26" ht="39" customHeight="1" x14ac:dyDescent="0.25">
      <c r="A604" s="5">
        <v>38</v>
      </c>
      <c r="B604" s="160" t="s">
        <v>6109</v>
      </c>
      <c r="C604" s="39" t="s">
        <v>18</v>
      </c>
      <c r="D604" s="12"/>
      <c r="E604" s="40" t="s">
        <v>5148</v>
      </c>
      <c r="F604" s="170">
        <v>27758</v>
      </c>
      <c r="G604" s="156" t="s">
        <v>6110</v>
      </c>
      <c r="H604" s="68" t="s">
        <v>6111</v>
      </c>
      <c r="I604" s="5" t="s">
        <v>1717</v>
      </c>
      <c r="J604" s="161">
        <v>41913</v>
      </c>
      <c r="K604" s="5" t="s">
        <v>1084</v>
      </c>
      <c r="L604" s="5" t="s">
        <v>1084</v>
      </c>
      <c r="M604" s="12" t="s">
        <v>1739</v>
      </c>
      <c r="N604" s="161">
        <v>41760</v>
      </c>
      <c r="O604" s="5" t="s">
        <v>1028</v>
      </c>
      <c r="P604" s="160"/>
      <c r="Q604" s="160" t="s">
        <v>6112</v>
      </c>
      <c r="R604" s="9" t="s">
        <v>6113</v>
      </c>
      <c r="S604" s="162"/>
      <c r="T604" s="183"/>
      <c r="U604" s="150">
        <v>51502</v>
      </c>
      <c r="V604" s="14" t="s">
        <v>5849</v>
      </c>
      <c r="W604" s="160" t="s">
        <v>2282</v>
      </c>
      <c r="X604" s="12" t="s">
        <v>6114</v>
      </c>
      <c r="Y604" s="163">
        <v>45588</v>
      </c>
      <c r="Z604" s="154"/>
    </row>
    <row r="605" spans="1:26" ht="39" customHeight="1" x14ac:dyDescent="0.25">
      <c r="A605" s="5">
        <v>39</v>
      </c>
      <c r="B605" s="14" t="s">
        <v>6115</v>
      </c>
      <c r="C605" s="5" t="s">
        <v>18</v>
      </c>
      <c r="D605" s="5" t="s">
        <v>6116</v>
      </c>
      <c r="E605" s="12" t="s">
        <v>1456</v>
      </c>
      <c r="F605" s="150" t="s">
        <v>6117</v>
      </c>
      <c r="G605" s="8" t="s">
        <v>6118</v>
      </c>
      <c r="H605" s="68" t="s">
        <v>6119</v>
      </c>
      <c r="I605" s="5" t="s">
        <v>1991</v>
      </c>
      <c r="J605" s="150">
        <v>41730</v>
      </c>
      <c r="K605" s="5">
        <v>8</v>
      </c>
      <c r="L605" s="5">
        <v>0</v>
      </c>
      <c r="M605" s="12" t="s">
        <v>1739</v>
      </c>
      <c r="N605" s="150">
        <v>44927</v>
      </c>
      <c r="O605" s="5" t="s">
        <v>982</v>
      </c>
      <c r="P605" s="11" t="s">
        <v>6120</v>
      </c>
      <c r="Q605" s="11" t="s">
        <v>6081</v>
      </c>
      <c r="R605" s="9"/>
      <c r="S605" s="162">
        <v>112100513510027</v>
      </c>
      <c r="T605" s="20">
        <v>2013077701</v>
      </c>
      <c r="U605" s="150">
        <v>52079</v>
      </c>
      <c r="V605" s="14" t="s">
        <v>5834</v>
      </c>
      <c r="W605" s="14" t="s">
        <v>6121</v>
      </c>
      <c r="X605" s="11" t="s">
        <v>6122</v>
      </c>
      <c r="Y605" s="163">
        <v>45588</v>
      </c>
      <c r="Z605" s="154"/>
    </row>
    <row r="606" spans="1:26" ht="39" customHeight="1" x14ac:dyDescent="0.25">
      <c r="A606" s="5">
        <v>40</v>
      </c>
      <c r="B606" s="14" t="s">
        <v>6123</v>
      </c>
      <c r="C606" s="5" t="s">
        <v>18</v>
      </c>
      <c r="D606" s="5" t="s">
        <v>6124</v>
      </c>
      <c r="E606" s="14" t="s">
        <v>2400</v>
      </c>
      <c r="F606" s="150">
        <v>27937</v>
      </c>
      <c r="G606" s="8" t="s">
        <v>6125</v>
      </c>
      <c r="H606" s="68" t="s">
        <v>6126</v>
      </c>
      <c r="I606" s="5" t="s">
        <v>1717</v>
      </c>
      <c r="J606" s="161">
        <v>45383</v>
      </c>
      <c r="K606" s="10">
        <v>15</v>
      </c>
      <c r="L606" s="10">
        <v>3</v>
      </c>
      <c r="M606" s="12" t="s">
        <v>1739</v>
      </c>
      <c r="N606" s="150">
        <v>44927</v>
      </c>
      <c r="O606" s="5" t="s">
        <v>982</v>
      </c>
      <c r="P606" s="9" t="s">
        <v>6127</v>
      </c>
      <c r="Q606" s="157" t="s">
        <v>6128</v>
      </c>
      <c r="R606" s="9"/>
      <c r="S606" s="162" t="s">
        <v>6129</v>
      </c>
      <c r="T606" s="20">
        <v>2026067601</v>
      </c>
      <c r="U606" s="150">
        <v>51683</v>
      </c>
      <c r="V606" s="14" t="s">
        <v>5834</v>
      </c>
      <c r="W606" s="14" t="s">
        <v>2615</v>
      </c>
      <c r="X606" s="11" t="s">
        <v>6130</v>
      </c>
      <c r="Y606" s="163">
        <v>45588</v>
      </c>
      <c r="Z606" s="154"/>
    </row>
    <row r="607" spans="1:26" ht="39" customHeight="1" x14ac:dyDescent="0.25">
      <c r="A607" s="5">
        <v>41</v>
      </c>
      <c r="B607" s="14" t="s">
        <v>6131</v>
      </c>
      <c r="C607" s="5" t="s">
        <v>18</v>
      </c>
      <c r="D607" s="10" t="s">
        <v>1084</v>
      </c>
      <c r="E607" s="14" t="s">
        <v>1996</v>
      </c>
      <c r="F607" s="150">
        <v>26846</v>
      </c>
      <c r="G607" s="8" t="s">
        <v>6132</v>
      </c>
      <c r="H607" s="68" t="s">
        <v>6133</v>
      </c>
      <c r="I607" s="5" t="s">
        <v>1717</v>
      </c>
      <c r="J607" s="150">
        <v>45383</v>
      </c>
      <c r="K607" s="5">
        <v>15</v>
      </c>
      <c r="L607" s="5">
        <v>8</v>
      </c>
      <c r="M607" s="12" t="s">
        <v>1739</v>
      </c>
      <c r="N607" s="161">
        <v>44927</v>
      </c>
      <c r="O607" s="5" t="s">
        <v>982</v>
      </c>
      <c r="P607" s="11" t="s">
        <v>5971</v>
      </c>
      <c r="Q607" s="157" t="s">
        <v>6134</v>
      </c>
      <c r="R607" s="168" t="s">
        <v>1084</v>
      </c>
      <c r="S607" s="162" t="s">
        <v>6135</v>
      </c>
      <c r="T607" s="20" t="s">
        <v>6136</v>
      </c>
      <c r="U607" s="150">
        <v>50618</v>
      </c>
      <c r="V607" s="14" t="s">
        <v>5834</v>
      </c>
      <c r="W607" s="14" t="s">
        <v>6137</v>
      </c>
      <c r="X607" s="11"/>
      <c r="Y607" s="5"/>
      <c r="Z607" s="172"/>
    </row>
    <row r="608" spans="1:26" ht="39" customHeight="1" x14ac:dyDescent="0.25">
      <c r="A608" s="5">
        <v>42</v>
      </c>
      <c r="B608" s="14" t="s">
        <v>6138</v>
      </c>
      <c r="C608" s="5" t="s">
        <v>18</v>
      </c>
      <c r="D608" s="10" t="s">
        <v>6139</v>
      </c>
      <c r="E608" s="14" t="s">
        <v>2941</v>
      </c>
      <c r="F608" s="150">
        <v>28564</v>
      </c>
      <c r="G608" s="8" t="s">
        <v>6140</v>
      </c>
      <c r="H608" s="68" t="s">
        <v>6141</v>
      </c>
      <c r="I608" s="5" t="s">
        <v>1738</v>
      </c>
      <c r="J608" s="150">
        <v>45383</v>
      </c>
      <c r="K608" s="5">
        <v>13</v>
      </c>
      <c r="L608" s="5">
        <v>3</v>
      </c>
      <c r="M608" s="12" t="s">
        <v>1739</v>
      </c>
      <c r="N608" s="161">
        <v>44986</v>
      </c>
      <c r="O608" s="5" t="s">
        <v>1028</v>
      </c>
      <c r="P608" s="11" t="s">
        <v>6142</v>
      </c>
      <c r="Q608" s="11" t="s">
        <v>6143</v>
      </c>
      <c r="R608" s="168" t="s">
        <v>6144</v>
      </c>
      <c r="S608" s="14" t="s">
        <v>6145</v>
      </c>
      <c r="T608" s="20" t="s">
        <v>6146</v>
      </c>
      <c r="U608" s="150">
        <v>52322</v>
      </c>
      <c r="V608" s="14" t="s">
        <v>5849</v>
      </c>
      <c r="W608" s="14" t="s">
        <v>6024</v>
      </c>
      <c r="X608" s="11"/>
      <c r="Y608" s="51"/>
      <c r="Z608" s="154" t="s">
        <v>1084</v>
      </c>
    </row>
    <row r="609" spans="1:26" ht="39" customHeight="1" x14ac:dyDescent="0.25">
      <c r="A609" s="5">
        <v>43</v>
      </c>
      <c r="B609" s="40" t="s">
        <v>6147</v>
      </c>
      <c r="C609" s="5" t="s">
        <v>18</v>
      </c>
      <c r="D609" s="10"/>
      <c r="E609" s="40" t="s">
        <v>1776</v>
      </c>
      <c r="F609" s="170">
        <v>31467</v>
      </c>
      <c r="G609" s="156" t="s">
        <v>6148</v>
      </c>
      <c r="H609" s="68" t="s">
        <v>6149</v>
      </c>
      <c r="I609" s="10" t="s">
        <v>1717</v>
      </c>
      <c r="J609" s="161">
        <v>45383</v>
      </c>
      <c r="K609" s="5">
        <v>5</v>
      </c>
      <c r="L609" s="5">
        <v>1</v>
      </c>
      <c r="M609" s="12" t="s">
        <v>1739</v>
      </c>
      <c r="N609" s="161">
        <v>44927</v>
      </c>
      <c r="O609" s="5" t="s">
        <v>982</v>
      </c>
      <c r="P609" s="11" t="s">
        <v>2681</v>
      </c>
      <c r="Q609" s="160" t="s">
        <v>6150</v>
      </c>
      <c r="R609" s="168"/>
      <c r="S609" s="14"/>
      <c r="T609" s="171" t="s">
        <v>6151</v>
      </c>
      <c r="U609" s="150">
        <v>55213</v>
      </c>
      <c r="V609" s="11" t="s">
        <v>5849</v>
      </c>
      <c r="W609" s="160" t="s">
        <v>1841</v>
      </c>
      <c r="X609" s="9"/>
      <c r="Y609" s="10"/>
      <c r="Z609" s="172"/>
    </row>
    <row r="610" spans="1:26" ht="39" customHeight="1" x14ac:dyDescent="0.25">
      <c r="A610" s="5">
        <v>44</v>
      </c>
      <c r="B610" s="154" t="s">
        <v>6152</v>
      </c>
      <c r="C610" s="67" t="s">
        <v>18</v>
      </c>
      <c r="D610" s="160"/>
      <c r="E610" s="154" t="s">
        <v>1519</v>
      </c>
      <c r="F610" s="155">
        <v>30738</v>
      </c>
      <c r="G610" s="106" t="s">
        <v>6153</v>
      </c>
      <c r="H610" s="68" t="s">
        <v>6154</v>
      </c>
      <c r="I610" s="10" t="s">
        <v>1717</v>
      </c>
      <c r="J610" s="161">
        <v>45383</v>
      </c>
      <c r="K610" s="5">
        <v>5</v>
      </c>
      <c r="L610" s="5">
        <v>1</v>
      </c>
      <c r="M610" s="12" t="s">
        <v>1739</v>
      </c>
      <c r="N610" s="161">
        <v>45108</v>
      </c>
      <c r="O610" s="5" t="s">
        <v>982</v>
      </c>
      <c r="P610" s="160" t="s">
        <v>6155</v>
      </c>
      <c r="Q610" s="154" t="s">
        <v>6156</v>
      </c>
      <c r="R610" s="12"/>
      <c r="S610" s="14"/>
      <c r="T610" s="183">
        <v>2126028403</v>
      </c>
      <c r="U610" s="150">
        <v>54483</v>
      </c>
      <c r="V610" s="11" t="s">
        <v>5857</v>
      </c>
      <c r="W610" s="160" t="s">
        <v>6157</v>
      </c>
      <c r="X610" s="9"/>
      <c r="Y610" s="10"/>
      <c r="Z610" s="172"/>
    </row>
    <row r="611" spans="1:26" ht="39" customHeight="1" x14ac:dyDescent="0.25">
      <c r="A611" s="5">
        <v>45</v>
      </c>
      <c r="B611" s="9" t="s">
        <v>6158</v>
      </c>
      <c r="C611" s="5" t="s">
        <v>46</v>
      </c>
      <c r="D611" s="10"/>
      <c r="E611" s="9" t="s">
        <v>1894</v>
      </c>
      <c r="F611" s="161">
        <v>30866</v>
      </c>
      <c r="G611" s="151" t="s">
        <v>6159</v>
      </c>
      <c r="H611" s="68" t="s">
        <v>6160</v>
      </c>
      <c r="I611" s="10" t="s">
        <v>1717</v>
      </c>
      <c r="J611" s="161">
        <v>45383</v>
      </c>
      <c r="K611" s="5">
        <v>9</v>
      </c>
      <c r="L611" s="5">
        <v>1</v>
      </c>
      <c r="M611" s="12" t="s">
        <v>1739</v>
      </c>
      <c r="N611" s="150">
        <v>44927</v>
      </c>
      <c r="O611" s="5" t="s">
        <v>982</v>
      </c>
      <c r="P611" s="11" t="s">
        <v>6161</v>
      </c>
      <c r="Q611" s="9" t="s">
        <v>6030</v>
      </c>
      <c r="R611" s="168"/>
      <c r="S611" s="14" t="s">
        <v>6162</v>
      </c>
      <c r="T611" s="20">
        <v>2003078401</v>
      </c>
      <c r="U611" s="150">
        <v>54636</v>
      </c>
      <c r="V611" s="14" t="s">
        <v>5857</v>
      </c>
      <c r="W611" s="9" t="s">
        <v>5966</v>
      </c>
      <c r="X611" s="9"/>
      <c r="Y611" s="10"/>
      <c r="Z611" s="172"/>
    </row>
    <row r="612" spans="1:26" ht="39" customHeight="1" x14ac:dyDescent="0.25">
      <c r="A612" s="5">
        <v>46</v>
      </c>
      <c r="B612" s="9" t="s">
        <v>6163</v>
      </c>
      <c r="C612" s="5" t="s">
        <v>46</v>
      </c>
      <c r="D612" s="10" t="s">
        <v>6164</v>
      </c>
      <c r="E612" s="9" t="s">
        <v>1942</v>
      </c>
      <c r="F612" s="161">
        <v>31144</v>
      </c>
      <c r="G612" s="151" t="s">
        <v>6165</v>
      </c>
      <c r="H612" s="169" t="s">
        <v>6166</v>
      </c>
      <c r="I612" s="10" t="s">
        <v>1717</v>
      </c>
      <c r="J612" s="161">
        <v>45383</v>
      </c>
      <c r="K612" s="5">
        <v>6</v>
      </c>
      <c r="L612" s="5">
        <v>3</v>
      </c>
      <c r="M612" s="12" t="s">
        <v>1739</v>
      </c>
      <c r="N612" s="150">
        <v>44927</v>
      </c>
      <c r="O612" s="5" t="s">
        <v>982</v>
      </c>
      <c r="P612" s="11" t="s">
        <v>1084</v>
      </c>
      <c r="Q612" s="9" t="s">
        <v>6167</v>
      </c>
      <c r="R612" s="168"/>
      <c r="S612" s="14" t="s">
        <v>6168</v>
      </c>
      <c r="T612" s="20" t="s">
        <v>6169</v>
      </c>
      <c r="U612" s="150">
        <v>54909</v>
      </c>
      <c r="V612" s="14" t="s">
        <v>5849</v>
      </c>
      <c r="W612" s="9" t="s">
        <v>2282</v>
      </c>
      <c r="X612" s="11"/>
      <c r="Y612" s="51"/>
      <c r="Z612" s="154"/>
    </row>
    <row r="613" spans="1:26" ht="39" customHeight="1" x14ac:dyDescent="0.25">
      <c r="A613" s="5">
        <v>47</v>
      </c>
      <c r="B613" s="154" t="s">
        <v>6170</v>
      </c>
      <c r="C613" s="5" t="s">
        <v>46</v>
      </c>
      <c r="D613" s="10"/>
      <c r="E613" s="154" t="s">
        <v>1648</v>
      </c>
      <c r="F613" s="155">
        <v>32970</v>
      </c>
      <c r="G613" s="106" t="s">
        <v>6171</v>
      </c>
      <c r="H613" s="68" t="s">
        <v>6172</v>
      </c>
      <c r="I613" s="10" t="s">
        <v>1717</v>
      </c>
      <c r="J613" s="161">
        <v>45383</v>
      </c>
      <c r="K613" s="5">
        <v>5</v>
      </c>
      <c r="L613" s="5">
        <v>1</v>
      </c>
      <c r="M613" s="12" t="s">
        <v>1739</v>
      </c>
      <c r="N613" s="161">
        <v>45108</v>
      </c>
      <c r="O613" s="5" t="s">
        <v>982</v>
      </c>
      <c r="P613" s="11" t="s">
        <v>4336</v>
      </c>
      <c r="Q613" s="160" t="s">
        <v>6173</v>
      </c>
      <c r="R613" s="168"/>
      <c r="S613" s="14"/>
      <c r="T613" s="171" t="s">
        <v>6174</v>
      </c>
      <c r="U613" s="150">
        <v>56735</v>
      </c>
      <c r="V613" s="11" t="s">
        <v>5857</v>
      </c>
      <c r="W613" s="160" t="s">
        <v>6175</v>
      </c>
      <c r="X613" s="11" t="s">
        <v>6176</v>
      </c>
      <c r="Y613" s="51">
        <v>45588</v>
      </c>
      <c r="Z613" s="154"/>
    </row>
    <row r="614" spans="1:26" ht="39" customHeight="1" x14ac:dyDescent="0.25">
      <c r="A614" s="5">
        <v>48</v>
      </c>
      <c r="B614" s="154" t="s">
        <v>6177</v>
      </c>
      <c r="C614" s="67" t="s">
        <v>46</v>
      </c>
      <c r="D614" s="160"/>
      <c r="E614" s="154" t="s">
        <v>1638</v>
      </c>
      <c r="F614" s="155">
        <v>32187</v>
      </c>
      <c r="G614" s="106" t="s">
        <v>6178</v>
      </c>
      <c r="H614" s="68" t="s">
        <v>6179</v>
      </c>
      <c r="I614" s="10" t="s">
        <v>1717</v>
      </c>
      <c r="J614" s="161">
        <v>45383</v>
      </c>
      <c r="K614" s="5">
        <v>5</v>
      </c>
      <c r="L614" s="5">
        <v>1</v>
      </c>
      <c r="M614" s="12" t="s">
        <v>1739</v>
      </c>
      <c r="N614" s="161">
        <v>45108</v>
      </c>
      <c r="O614" s="5" t="s">
        <v>982</v>
      </c>
      <c r="P614" s="11" t="s">
        <v>6180</v>
      </c>
      <c r="Q614" s="160" t="s">
        <v>6181</v>
      </c>
      <c r="R614" s="12"/>
      <c r="S614" s="14"/>
      <c r="T614" s="171" t="s">
        <v>6182</v>
      </c>
      <c r="U614" s="150">
        <v>55944</v>
      </c>
      <c r="V614" s="11" t="s">
        <v>5857</v>
      </c>
      <c r="W614" s="160" t="s">
        <v>6183</v>
      </c>
      <c r="X614" s="9"/>
      <c r="Y614" s="10"/>
      <c r="Z614" s="172"/>
    </row>
    <row r="615" spans="1:26" ht="39" customHeight="1" x14ac:dyDescent="0.25">
      <c r="A615" s="5">
        <v>49</v>
      </c>
      <c r="B615" s="154" t="s">
        <v>6184</v>
      </c>
      <c r="C615" s="5" t="s">
        <v>18</v>
      </c>
      <c r="D615" s="10"/>
      <c r="E615" s="154" t="s">
        <v>6185</v>
      </c>
      <c r="F615" s="155">
        <v>33954</v>
      </c>
      <c r="G615" s="106" t="s">
        <v>6186</v>
      </c>
      <c r="H615" s="68" t="s">
        <v>6187</v>
      </c>
      <c r="I615" s="10" t="s">
        <v>1991</v>
      </c>
      <c r="J615" s="161">
        <v>43525</v>
      </c>
      <c r="K615" s="5">
        <v>0</v>
      </c>
      <c r="L615" s="5">
        <v>0</v>
      </c>
      <c r="M615" s="12" t="s">
        <v>1121</v>
      </c>
      <c r="N615" s="161">
        <v>44256</v>
      </c>
      <c r="O615" s="5" t="s">
        <v>982</v>
      </c>
      <c r="P615" s="11" t="s">
        <v>2584</v>
      </c>
      <c r="Q615" s="160" t="s">
        <v>2629</v>
      </c>
      <c r="R615" s="168"/>
      <c r="S615" s="14"/>
      <c r="T615" s="183">
        <v>2016129202</v>
      </c>
      <c r="U615" s="150">
        <v>57711</v>
      </c>
      <c r="V615" s="11" t="s">
        <v>5834</v>
      </c>
      <c r="W615" s="160" t="s">
        <v>2722</v>
      </c>
      <c r="X615" s="11" t="s">
        <v>2099</v>
      </c>
      <c r="Y615" s="51">
        <v>45632</v>
      </c>
      <c r="Z615" s="172"/>
    </row>
    <row r="616" spans="1:26" ht="39" customHeight="1" x14ac:dyDescent="0.25">
      <c r="A616" s="5">
        <v>50</v>
      </c>
      <c r="B616" s="40" t="s">
        <v>6188</v>
      </c>
      <c r="C616" s="5" t="s">
        <v>18</v>
      </c>
      <c r="D616" s="10"/>
      <c r="E616" s="40" t="s">
        <v>1519</v>
      </c>
      <c r="F616" s="170">
        <v>31760</v>
      </c>
      <c r="G616" s="156" t="s">
        <v>6189</v>
      </c>
      <c r="H616" s="68" t="s">
        <v>6190</v>
      </c>
      <c r="I616" s="10" t="s">
        <v>1717</v>
      </c>
      <c r="J616" s="161">
        <v>45627</v>
      </c>
      <c r="K616" s="5">
        <v>5</v>
      </c>
      <c r="L616" s="5">
        <v>9</v>
      </c>
      <c r="M616" s="12" t="s">
        <v>1739</v>
      </c>
      <c r="N616" s="161">
        <v>45536</v>
      </c>
      <c r="O616" s="5" t="s">
        <v>982</v>
      </c>
      <c r="P616" s="11" t="s">
        <v>6191</v>
      </c>
      <c r="Q616" s="160" t="s">
        <v>6192</v>
      </c>
      <c r="R616" s="168"/>
      <c r="S616" s="14"/>
      <c r="T616" s="171" t="s">
        <v>6193</v>
      </c>
      <c r="U616" s="150">
        <v>55154</v>
      </c>
      <c r="V616" s="11" t="s">
        <v>5857</v>
      </c>
      <c r="W616" s="160" t="s">
        <v>6194</v>
      </c>
      <c r="X616" s="9"/>
      <c r="Y616" s="10"/>
      <c r="Z616" s="172"/>
    </row>
    <row r="617" spans="1:26" ht="39" customHeight="1" x14ac:dyDescent="0.25">
      <c r="A617" s="5">
        <v>51</v>
      </c>
      <c r="B617" s="40" t="s">
        <v>6195</v>
      </c>
      <c r="C617" s="39" t="s">
        <v>18</v>
      </c>
      <c r="D617" s="160"/>
      <c r="E617" s="40" t="s">
        <v>2114</v>
      </c>
      <c r="F617" s="170">
        <v>32884</v>
      </c>
      <c r="G617" s="156" t="s">
        <v>6196</v>
      </c>
      <c r="H617" s="68" t="s">
        <v>6197</v>
      </c>
      <c r="I617" s="10" t="s">
        <v>1717</v>
      </c>
      <c r="J617" s="150" t="s">
        <v>6198</v>
      </c>
      <c r="K617" s="5">
        <v>5</v>
      </c>
      <c r="L617" s="5">
        <v>9</v>
      </c>
      <c r="M617" s="12" t="s">
        <v>1121</v>
      </c>
      <c r="N617" s="161">
        <v>44287</v>
      </c>
      <c r="O617" s="5" t="s">
        <v>982</v>
      </c>
      <c r="P617" s="160" t="s">
        <v>4336</v>
      </c>
      <c r="Q617" s="160" t="s">
        <v>6199</v>
      </c>
      <c r="R617" s="12"/>
      <c r="S617" s="14"/>
      <c r="T617" s="171" t="s">
        <v>6200</v>
      </c>
      <c r="U617" s="150">
        <v>56949</v>
      </c>
      <c r="V617" s="11" t="s">
        <v>5834</v>
      </c>
      <c r="W617" s="160" t="s">
        <v>5914</v>
      </c>
      <c r="X617" s="11" t="s">
        <v>6201</v>
      </c>
      <c r="Y617" s="51">
        <v>45588</v>
      </c>
      <c r="Z617" s="154"/>
    </row>
    <row r="618" spans="1:26" ht="39" customHeight="1" x14ac:dyDescent="0.25">
      <c r="A618" s="5">
        <v>52</v>
      </c>
      <c r="B618" s="40" t="s">
        <v>6202</v>
      </c>
      <c r="C618" s="39" t="s">
        <v>18</v>
      </c>
      <c r="D618" s="160"/>
      <c r="E618" s="40" t="s">
        <v>1934</v>
      </c>
      <c r="F618" s="170">
        <v>32666</v>
      </c>
      <c r="G618" s="156" t="s">
        <v>6203</v>
      </c>
      <c r="H618" s="68" t="s">
        <v>6204</v>
      </c>
      <c r="I618" s="10" t="s">
        <v>1991</v>
      </c>
      <c r="J618" s="161">
        <v>43525</v>
      </c>
      <c r="K618" s="5">
        <v>0</v>
      </c>
      <c r="L618" s="5">
        <v>0</v>
      </c>
      <c r="M618" s="12" t="s">
        <v>1121</v>
      </c>
      <c r="N618" s="161">
        <v>44378</v>
      </c>
      <c r="O618" s="5" t="s">
        <v>982</v>
      </c>
      <c r="P618" s="160" t="s">
        <v>6180</v>
      </c>
      <c r="Q618" s="160" t="s">
        <v>6205</v>
      </c>
      <c r="R618" s="12"/>
      <c r="S618" s="14"/>
      <c r="T618" s="171" t="s">
        <v>6206</v>
      </c>
      <c r="U618" s="150">
        <v>56431</v>
      </c>
      <c r="V618" s="11" t="s">
        <v>5857</v>
      </c>
      <c r="W618" s="160" t="s">
        <v>5858</v>
      </c>
      <c r="X618" s="9" t="s">
        <v>6207</v>
      </c>
      <c r="Y618" s="10" t="s">
        <v>6208</v>
      </c>
      <c r="Z618" s="172"/>
    </row>
    <row r="619" spans="1:26" ht="39" customHeight="1" x14ac:dyDescent="0.25">
      <c r="A619" s="5">
        <v>53</v>
      </c>
      <c r="B619" s="40" t="s">
        <v>6209</v>
      </c>
      <c r="C619" s="5" t="s">
        <v>18</v>
      </c>
      <c r="D619" s="10"/>
      <c r="E619" s="40" t="s">
        <v>4477</v>
      </c>
      <c r="F619" s="170">
        <v>33510</v>
      </c>
      <c r="G619" s="156" t="s">
        <v>6210</v>
      </c>
      <c r="H619" s="68" t="s">
        <v>6211</v>
      </c>
      <c r="I619" s="10" t="s">
        <v>1991</v>
      </c>
      <c r="J619" s="161">
        <v>43525</v>
      </c>
      <c r="K619" s="5">
        <v>0</v>
      </c>
      <c r="L619" s="5">
        <v>0</v>
      </c>
      <c r="M619" s="12" t="s">
        <v>1121</v>
      </c>
      <c r="N619" s="161">
        <v>44652</v>
      </c>
      <c r="O619" s="5" t="s">
        <v>982</v>
      </c>
      <c r="P619" s="11" t="s">
        <v>2584</v>
      </c>
      <c r="Q619" s="160" t="s">
        <v>6199</v>
      </c>
      <c r="R619" s="168"/>
      <c r="S619" s="14"/>
      <c r="T619" s="171" t="s">
        <v>6212</v>
      </c>
      <c r="U619" s="150">
        <v>57254</v>
      </c>
      <c r="V619" s="11" t="s">
        <v>5834</v>
      </c>
      <c r="W619" s="160" t="s">
        <v>5999</v>
      </c>
      <c r="X619" s="9" t="s">
        <v>6213</v>
      </c>
      <c r="Y619" s="31">
        <v>45576</v>
      </c>
      <c r="Z619" s="172"/>
    </row>
    <row r="620" spans="1:26" ht="39" customHeight="1" x14ac:dyDescent="0.25">
      <c r="A620" s="5">
        <v>54</v>
      </c>
      <c r="B620" s="154" t="s">
        <v>6214</v>
      </c>
      <c r="C620" s="67" t="s">
        <v>18</v>
      </c>
      <c r="D620" s="160"/>
      <c r="E620" s="154" t="s">
        <v>2042</v>
      </c>
      <c r="F620" s="155">
        <v>31169</v>
      </c>
      <c r="G620" s="106" t="s">
        <v>6215</v>
      </c>
      <c r="H620" s="68" t="s">
        <v>6216</v>
      </c>
      <c r="I620" s="10" t="s">
        <v>1991</v>
      </c>
      <c r="J620" s="161">
        <v>43525</v>
      </c>
      <c r="K620" s="5">
        <v>0</v>
      </c>
      <c r="L620" s="5">
        <v>0</v>
      </c>
      <c r="M620" s="12" t="s">
        <v>1121</v>
      </c>
      <c r="N620" s="161">
        <v>44805</v>
      </c>
      <c r="O620" s="5" t="s">
        <v>982</v>
      </c>
      <c r="P620" s="160" t="s">
        <v>6217</v>
      </c>
      <c r="Q620" s="160" t="s">
        <v>6218</v>
      </c>
      <c r="R620" s="12"/>
      <c r="S620" s="14" t="s">
        <v>6219</v>
      </c>
      <c r="T620" s="227">
        <v>2002058505</v>
      </c>
      <c r="U620" s="150">
        <v>54940</v>
      </c>
      <c r="V620" s="14" t="s">
        <v>5834</v>
      </c>
      <c r="W620" s="160" t="s">
        <v>6220</v>
      </c>
      <c r="X620" s="9"/>
      <c r="Y620" s="10"/>
      <c r="Z620" s="172"/>
    </row>
    <row r="621" spans="1:26" ht="39" customHeight="1" x14ac:dyDescent="0.25">
      <c r="A621" s="5">
        <v>55</v>
      </c>
      <c r="B621" s="154" t="s">
        <v>6221</v>
      </c>
      <c r="C621" s="67" t="s">
        <v>18</v>
      </c>
      <c r="D621" s="10"/>
      <c r="E621" s="154" t="s">
        <v>1844</v>
      </c>
      <c r="F621" s="155">
        <v>33931</v>
      </c>
      <c r="G621" s="106" t="s">
        <v>6222</v>
      </c>
      <c r="H621" s="68" t="s">
        <v>6223</v>
      </c>
      <c r="I621" s="5" t="s">
        <v>1991</v>
      </c>
      <c r="J621" s="161">
        <v>44166</v>
      </c>
      <c r="K621" s="5">
        <v>0</v>
      </c>
      <c r="L621" s="5">
        <v>0</v>
      </c>
      <c r="M621" s="12" t="s">
        <v>1121</v>
      </c>
      <c r="N621" s="161">
        <v>44866</v>
      </c>
      <c r="O621" s="5" t="s">
        <v>982</v>
      </c>
      <c r="P621" s="11"/>
      <c r="Q621" s="160" t="s">
        <v>6224</v>
      </c>
      <c r="R621" s="168"/>
      <c r="S621" s="162"/>
      <c r="T621" s="189" t="s">
        <v>6225</v>
      </c>
      <c r="U621" s="150">
        <v>57680</v>
      </c>
      <c r="V621" s="11" t="s">
        <v>5834</v>
      </c>
      <c r="W621" s="160" t="s">
        <v>6226</v>
      </c>
      <c r="X621" s="11"/>
      <c r="Y621" s="5"/>
      <c r="Z621" s="172"/>
    </row>
    <row r="622" spans="1:26" ht="39" customHeight="1" x14ac:dyDescent="0.25">
      <c r="A622" s="5">
        <v>56</v>
      </c>
      <c r="B622" s="9" t="s">
        <v>6227</v>
      </c>
      <c r="C622" s="5" t="s">
        <v>46</v>
      </c>
      <c r="D622" s="10" t="s">
        <v>6228</v>
      </c>
      <c r="E622" s="9" t="s">
        <v>1489</v>
      </c>
      <c r="F622" s="161">
        <v>30437</v>
      </c>
      <c r="G622" s="151" t="s">
        <v>6229</v>
      </c>
      <c r="H622" s="68" t="s">
        <v>6230</v>
      </c>
      <c r="I622" s="10" t="s">
        <v>1991</v>
      </c>
      <c r="J622" s="161">
        <v>42064</v>
      </c>
      <c r="K622" s="5">
        <v>0</v>
      </c>
      <c r="L622" s="5">
        <v>0</v>
      </c>
      <c r="M622" s="12" t="s">
        <v>1121</v>
      </c>
      <c r="N622" s="161">
        <v>43952</v>
      </c>
      <c r="O622" s="5" t="s">
        <v>982</v>
      </c>
      <c r="P622" s="11" t="s">
        <v>6231</v>
      </c>
      <c r="Q622" s="9" t="s">
        <v>6232</v>
      </c>
      <c r="R622" s="168"/>
      <c r="S622" s="14" t="s">
        <v>6233</v>
      </c>
      <c r="T622" s="20">
        <v>2001058303</v>
      </c>
      <c r="U622" s="150">
        <v>54575</v>
      </c>
      <c r="V622" s="14" t="s">
        <v>5857</v>
      </c>
      <c r="W622" s="9" t="s">
        <v>6054</v>
      </c>
      <c r="X622" s="9"/>
      <c r="Y622" s="10"/>
      <c r="Z622" s="172"/>
    </row>
    <row r="623" spans="1:26" ht="39" customHeight="1" x14ac:dyDescent="0.25">
      <c r="A623" s="5">
        <v>57</v>
      </c>
      <c r="B623" s="154" t="s">
        <v>6234</v>
      </c>
      <c r="C623" s="5" t="s">
        <v>46</v>
      </c>
      <c r="D623" s="10"/>
      <c r="E623" s="154" t="s">
        <v>1648</v>
      </c>
      <c r="F623" s="155">
        <v>33240</v>
      </c>
      <c r="G623" s="106" t="s">
        <v>6235</v>
      </c>
      <c r="H623" s="68" t="s">
        <v>6236</v>
      </c>
      <c r="I623" s="10" t="s">
        <v>1991</v>
      </c>
      <c r="J623" s="161">
        <v>43525</v>
      </c>
      <c r="K623" s="5">
        <v>0</v>
      </c>
      <c r="L623" s="5">
        <v>0</v>
      </c>
      <c r="M623" s="12" t="s">
        <v>1121</v>
      </c>
      <c r="N623" s="161">
        <v>44378</v>
      </c>
      <c r="O623" s="5" t="s">
        <v>982</v>
      </c>
      <c r="P623" s="11" t="s">
        <v>5594</v>
      </c>
      <c r="Q623" s="160" t="s">
        <v>6106</v>
      </c>
      <c r="R623" s="168"/>
      <c r="S623" s="14"/>
      <c r="T623" s="171" t="s">
        <v>6237</v>
      </c>
      <c r="U623" s="150">
        <v>57040</v>
      </c>
      <c r="V623" s="11" t="s">
        <v>5857</v>
      </c>
      <c r="W623" s="160" t="s">
        <v>6238</v>
      </c>
      <c r="X623" s="11" t="s">
        <v>6239</v>
      </c>
      <c r="Y623" s="51">
        <v>45611</v>
      </c>
      <c r="Z623" s="154"/>
    </row>
    <row r="624" spans="1:26" ht="39" customHeight="1" x14ac:dyDescent="0.25">
      <c r="A624" s="5">
        <v>58</v>
      </c>
      <c r="B624" s="154" t="s">
        <v>6240</v>
      </c>
      <c r="C624" s="5" t="s">
        <v>46</v>
      </c>
      <c r="D624" s="10"/>
      <c r="E624" s="154" t="s">
        <v>1844</v>
      </c>
      <c r="F624" s="155">
        <v>33261</v>
      </c>
      <c r="G624" s="106" t="s">
        <v>6241</v>
      </c>
      <c r="H624" s="68" t="s">
        <v>6242</v>
      </c>
      <c r="I624" s="10" t="s">
        <v>1717</v>
      </c>
      <c r="J624" s="161">
        <v>45627</v>
      </c>
      <c r="K624" s="5">
        <v>5</v>
      </c>
      <c r="L624" s="5">
        <v>9</v>
      </c>
      <c r="M624" s="12" t="s">
        <v>1739</v>
      </c>
      <c r="N624" s="161">
        <v>45536</v>
      </c>
      <c r="O624" s="5" t="s">
        <v>982</v>
      </c>
      <c r="P624" s="11"/>
      <c r="Q624" s="160" t="s">
        <v>6243</v>
      </c>
      <c r="R624" s="168"/>
      <c r="S624" s="14"/>
      <c r="T624" s="171" t="s">
        <v>6244</v>
      </c>
      <c r="U624" s="150">
        <v>57011</v>
      </c>
      <c r="V624" s="11" t="s">
        <v>5849</v>
      </c>
      <c r="W624" s="160" t="s">
        <v>6024</v>
      </c>
      <c r="X624" s="9"/>
      <c r="Y624" s="10"/>
      <c r="Z624" s="172"/>
    </row>
    <row r="625" spans="1:26" ht="39" customHeight="1" x14ac:dyDescent="0.25">
      <c r="A625" s="5">
        <v>59</v>
      </c>
      <c r="B625" s="154" t="s">
        <v>6245</v>
      </c>
      <c r="C625" s="5" t="s">
        <v>46</v>
      </c>
      <c r="D625" s="10"/>
      <c r="E625" s="154" t="s">
        <v>1555</v>
      </c>
      <c r="F625" s="155">
        <v>31895</v>
      </c>
      <c r="G625" s="106" t="s">
        <v>6246</v>
      </c>
      <c r="H625" s="68" t="s">
        <v>6247</v>
      </c>
      <c r="I625" s="10" t="s">
        <v>1991</v>
      </c>
      <c r="J625" s="161">
        <v>43525</v>
      </c>
      <c r="K625" s="5">
        <v>0</v>
      </c>
      <c r="L625" s="5">
        <v>0</v>
      </c>
      <c r="M625" s="12" t="s">
        <v>1121</v>
      </c>
      <c r="N625" s="161">
        <v>44256</v>
      </c>
      <c r="O625" s="5" t="s">
        <v>982</v>
      </c>
      <c r="P625" s="11" t="s">
        <v>6248</v>
      </c>
      <c r="Q625" s="160" t="s">
        <v>6249</v>
      </c>
      <c r="R625" s="168"/>
      <c r="S625" s="14"/>
      <c r="T625" s="183">
        <v>2128048703</v>
      </c>
      <c r="U625" s="150">
        <v>55640</v>
      </c>
      <c r="V625" s="11" t="s">
        <v>5834</v>
      </c>
      <c r="W625" s="160" t="s">
        <v>6250</v>
      </c>
      <c r="X625" s="9"/>
      <c r="Y625" s="10"/>
      <c r="Z625" s="172"/>
    </row>
    <row r="626" spans="1:26" ht="39" customHeight="1" x14ac:dyDescent="0.25">
      <c r="A626" s="5">
        <v>60</v>
      </c>
      <c r="B626" s="153" t="s">
        <v>6251</v>
      </c>
      <c r="C626" s="155" t="s">
        <v>46</v>
      </c>
      <c r="D626" s="160"/>
      <c r="E626" s="153" t="s">
        <v>1811</v>
      </c>
      <c r="F626" s="155">
        <v>29035</v>
      </c>
      <c r="G626" s="106" t="s">
        <v>6252</v>
      </c>
      <c r="H626" s="10" t="s">
        <v>6253</v>
      </c>
      <c r="I626" s="67" t="s">
        <v>1738</v>
      </c>
      <c r="J626" s="155" t="s">
        <v>6254</v>
      </c>
      <c r="K626" s="67">
        <v>10</v>
      </c>
      <c r="L626" s="67">
        <v>3</v>
      </c>
      <c r="M626" s="12" t="s">
        <v>1121</v>
      </c>
      <c r="N626" s="161">
        <v>44470</v>
      </c>
      <c r="O626" s="5" t="s">
        <v>982</v>
      </c>
      <c r="P626" s="160" t="s">
        <v>1084</v>
      </c>
      <c r="Q626" s="160" t="s">
        <v>6255</v>
      </c>
      <c r="R626" s="12"/>
      <c r="S626" s="14"/>
      <c r="T626" s="20">
        <v>2029067904</v>
      </c>
      <c r="U626" s="150">
        <v>52779</v>
      </c>
      <c r="V626" s="14" t="s">
        <v>5857</v>
      </c>
      <c r="W626" s="160"/>
      <c r="X626" s="9"/>
      <c r="Y626" s="10"/>
      <c r="Z626" s="154"/>
    </row>
    <row r="627" spans="1:26" ht="39" customHeight="1" x14ac:dyDescent="0.25">
      <c r="A627" s="5">
        <v>61</v>
      </c>
      <c r="B627" s="154" t="s">
        <v>6256</v>
      </c>
      <c r="C627" s="67" t="s">
        <v>46</v>
      </c>
      <c r="D627" s="160"/>
      <c r="E627" s="154" t="s">
        <v>1489</v>
      </c>
      <c r="F627" s="155">
        <v>33120</v>
      </c>
      <c r="G627" s="106" t="s">
        <v>6257</v>
      </c>
      <c r="H627" s="68" t="s">
        <v>6258</v>
      </c>
      <c r="I627" s="10" t="s">
        <v>1991</v>
      </c>
      <c r="J627" s="161">
        <v>44166</v>
      </c>
      <c r="K627" s="5">
        <v>0</v>
      </c>
      <c r="L627" s="5">
        <v>0</v>
      </c>
      <c r="M627" s="12" t="s">
        <v>1121</v>
      </c>
      <c r="N627" s="161">
        <v>44866</v>
      </c>
      <c r="O627" s="5" t="s">
        <v>982</v>
      </c>
      <c r="P627" s="160"/>
      <c r="Q627" s="160" t="s">
        <v>6259</v>
      </c>
      <c r="R627" s="12"/>
      <c r="S627" s="14"/>
      <c r="T627" s="20">
        <v>2004099003</v>
      </c>
      <c r="U627" s="150">
        <v>56888</v>
      </c>
      <c r="V627" s="14" t="s">
        <v>5849</v>
      </c>
      <c r="W627" s="160" t="s">
        <v>2734</v>
      </c>
      <c r="X627" s="9"/>
      <c r="Y627" s="10"/>
      <c r="Z627" s="172"/>
    </row>
    <row r="628" spans="1:26" ht="39" customHeight="1" x14ac:dyDescent="0.25">
      <c r="A628" s="5">
        <v>62</v>
      </c>
      <c r="B628" s="154" t="s">
        <v>6260</v>
      </c>
      <c r="C628" s="67" t="s">
        <v>46</v>
      </c>
      <c r="D628" s="160"/>
      <c r="E628" s="154" t="s">
        <v>1566</v>
      </c>
      <c r="F628" s="155">
        <v>34507</v>
      </c>
      <c r="G628" s="106" t="s">
        <v>6261</v>
      </c>
      <c r="H628" s="68" t="s">
        <v>6262</v>
      </c>
      <c r="I628" s="10" t="s">
        <v>1991</v>
      </c>
      <c r="J628" s="161">
        <v>44166</v>
      </c>
      <c r="K628" s="5">
        <v>0</v>
      </c>
      <c r="L628" s="5">
        <v>0</v>
      </c>
      <c r="M628" s="12" t="s">
        <v>1121</v>
      </c>
      <c r="N628" s="161">
        <v>44927</v>
      </c>
      <c r="O628" s="5" t="s">
        <v>982</v>
      </c>
      <c r="P628" s="160"/>
      <c r="Q628" s="160" t="s">
        <v>6259</v>
      </c>
      <c r="R628" s="12"/>
      <c r="S628" s="14"/>
      <c r="T628" s="183">
        <v>2022069401</v>
      </c>
      <c r="U628" s="150">
        <v>58257</v>
      </c>
      <c r="V628" s="11" t="s">
        <v>5849</v>
      </c>
      <c r="W628" s="160" t="s">
        <v>6263</v>
      </c>
      <c r="X628" s="9"/>
      <c r="Y628" s="10"/>
      <c r="Z628" s="172"/>
    </row>
    <row r="629" spans="1:26" ht="39" customHeight="1" x14ac:dyDescent="0.25">
      <c r="A629" s="5">
        <v>63</v>
      </c>
      <c r="B629" s="154" t="s">
        <v>6264</v>
      </c>
      <c r="C629" s="67" t="s">
        <v>46</v>
      </c>
      <c r="D629" s="5" t="s">
        <v>1084</v>
      </c>
      <c r="E629" s="154" t="s">
        <v>6265</v>
      </c>
      <c r="F629" s="155">
        <v>32959</v>
      </c>
      <c r="G629" s="106" t="s">
        <v>6266</v>
      </c>
      <c r="H629" s="68" t="s">
        <v>6267</v>
      </c>
      <c r="I629" s="5" t="s">
        <v>1991</v>
      </c>
      <c r="J629" s="161">
        <v>44621</v>
      </c>
      <c r="K629" s="5">
        <v>0</v>
      </c>
      <c r="L629" s="5">
        <v>0</v>
      </c>
      <c r="M629" s="12" t="s">
        <v>1121</v>
      </c>
      <c r="N629" s="161">
        <v>44927</v>
      </c>
      <c r="O629" s="5" t="s">
        <v>982</v>
      </c>
      <c r="P629" s="157"/>
      <c r="Q629" s="160" t="s">
        <v>6268</v>
      </c>
      <c r="R629" s="9"/>
      <c r="S629" s="162"/>
      <c r="T629" s="5" t="s">
        <v>6269</v>
      </c>
      <c r="U629" s="150">
        <v>56705</v>
      </c>
      <c r="V629" s="14" t="s">
        <v>5834</v>
      </c>
      <c r="W629" s="160" t="s">
        <v>6270</v>
      </c>
      <c r="X629" s="11"/>
      <c r="Y629" s="5"/>
      <c r="Z629" s="172"/>
    </row>
    <row r="630" spans="1:26" ht="39" customHeight="1" x14ac:dyDescent="0.25">
      <c r="A630" s="5">
        <v>64</v>
      </c>
      <c r="B630" s="154" t="s">
        <v>6271</v>
      </c>
      <c r="C630" s="67" t="s">
        <v>46</v>
      </c>
      <c r="D630" s="160"/>
      <c r="E630" s="40" t="s">
        <v>6272</v>
      </c>
      <c r="F630" s="155">
        <v>31057</v>
      </c>
      <c r="G630" s="106" t="s">
        <v>6273</v>
      </c>
      <c r="H630" s="68" t="s">
        <v>6274</v>
      </c>
      <c r="I630" s="10" t="s">
        <v>1991</v>
      </c>
      <c r="J630" s="161">
        <v>43525</v>
      </c>
      <c r="K630" s="5">
        <v>0</v>
      </c>
      <c r="L630" s="5">
        <v>0</v>
      </c>
      <c r="M630" s="12" t="s">
        <v>1121</v>
      </c>
      <c r="N630" s="161">
        <v>44896</v>
      </c>
      <c r="O630" s="5" t="s">
        <v>982</v>
      </c>
      <c r="P630" s="160" t="s">
        <v>5600</v>
      </c>
      <c r="Q630" s="160" t="s">
        <v>6275</v>
      </c>
      <c r="R630" s="12"/>
      <c r="S630" s="14"/>
      <c r="T630" s="183" t="s">
        <v>6276</v>
      </c>
      <c r="U630" s="150">
        <v>54820</v>
      </c>
      <c r="V630" s="14" t="s">
        <v>5857</v>
      </c>
      <c r="W630" s="160" t="s">
        <v>5966</v>
      </c>
      <c r="X630" s="9"/>
      <c r="Y630" s="10"/>
      <c r="Z630" s="172"/>
    </row>
    <row r="631" spans="1:26" ht="39" customHeight="1" x14ac:dyDescent="0.25">
      <c r="A631" s="5">
        <v>65</v>
      </c>
      <c r="B631" s="154" t="s">
        <v>6277</v>
      </c>
      <c r="C631" s="67" t="s">
        <v>46</v>
      </c>
      <c r="D631" s="160"/>
      <c r="E631" s="154" t="s">
        <v>1934</v>
      </c>
      <c r="F631" s="155">
        <v>33325</v>
      </c>
      <c r="G631" s="106" t="s">
        <v>6278</v>
      </c>
      <c r="H631" s="68" t="s">
        <v>6279</v>
      </c>
      <c r="I631" s="10" t="s">
        <v>1991</v>
      </c>
      <c r="J631" s="161">
        <v>44621</v>
      </c>
      <c r="K631" s="5">
        <v>0</v>
      </c>
      <c r="L631" s="5">
        <v>0</v>
      </c>
      <c r="M631" s="12" t="s">
        <v>5094</v>
      </c>
      <c r="N631" s="161">
        <v>44621</v>
      </c>
      <c r="O631" s="5" t="s">
        <v>982</v>
      </c>
      <c r="P631" s="160"/>
      <c r="Q631" s="160" t="s">
        <v>6280</v>
      </c>
      <c r="R631" s="12"/>
      <c r="S631" s="14"/>
      <c r="T631" s="20">
        <v>2028039104</v>
      </c>
      <c r="U631" s="150">
        <v>57071</v>
      </c>
      <c r="V631" s="14" t="s">
        <v>5857</v>
      </c>
      <c r="W631" s="160" t="s">
        <v>6281</v>
      </c>
      <c r="X631" s="9"/>
      <c r="Y631" s="10"/>
      <c r="Z631" s="172"/>
    </row>
    <row r="632" spans="1:26" ht="39" customHeight="1" x14ac:dyDescent="0.25">
      <c r="A632" s="173" t="s">
        <v>6282</v>
      </c>
      <c r="B632" s="173"/>
      <c r="C632" s="174"/>
      <c r="D632" s="174"/>
      <c r="E632" s="174"/>
      <c r="F632" s="174"/>
      <c r="G632" s="175"/>
      <c r="H632" s="12"/>
      <c r="I632" s="174"/>
      <c r="J632" s="177"/>
      <c r="K632" s="174"/>
      <c r="L632" s="174"/>
      <c r="M632" s="174"/>
      <c r="N632" s="177"/>
      <c r="O632" s="174"/>
      <c r="P632" s="63"/>
      <c r="Q632" s="63"/>
      <c r="R632" s="178"/>
      <c r="S632" s="179"/>
      <c r="T632" s="174"/>
      <c r="U632" s="174"/>
      <c r="V632" s="162"/>
      <c r="W632" s="179"/>
      <c r="X632" s="12"/>
      <c r="Y632" s="12"/>
      <c r="Z632" s="154"/>
    </row>
    <row r="633" spans="1:26" ht="39" customHeight="1" x14ac:dyDescent="0.25">
      <c r="A633" s="5">
        <v>1</v>
      </c>
      <c r="B633" s="9" t="s">
        <v>6283</v>
      </c>
      <c r="C633" s="5" t="s">
        <v>18</v>
      </c>
      <c r="D633" s="5" t="s">
        <v>6284</v>
      </c>
      <c r="E633" s="11" t="s">
        <v>1545</v>
      </c>
      <c r="F633" s="150">
        <v>26205</v>
      </c>
      <c r="G633" s="151" t="s">
        <v>6285</v>
      </c>
      <c r="H633" s="68" t="s">
        <v>6286</v>
      </c>
      <c r="I633" s="10" t="s">
        <v>1558</v>
      </c>
      <c r="J633" s="150">
        <v>45017</v>
      </c>
      <c r="K633" s="5">
        <v>23</v>
      </c>
      <c r="L633" s="5">
        <v>1</v>
      </c>
      <c r="M633" s="12" t="s">
        <v>1424</v>
      </c>
      <c r="N633" s="150">
        <v>44896</v>
      </c>
      <c r="O633" s="5" t="s">
        <v>1028</v>
      </c>
      <c r="P633" s="157" t="s">
        <v>6287</v>
      </c>
      <c r="Q633" s="157" t="s">
        <v>6288</v>
      </c>
      <c r="R633" s="9" t="s">
        <v>6289</v>
      </c>
      <c r="S633" s="162">
        <v>102100504691</v>
      </c>
      <c r="T633" s="166">
        <v>2029097101</v>
      </c>
      <c r="U633" s="161">
        <v>51775</v>
      </c>
      <c r="V633" s="11" t="s">
        <v>6290</v>
      </c>
      <c r="W633" s="11" t="s">
        <v>1012</v>
      </c>
      <c r="X633" s="9" t="s">
        <v>6291</v>
      </c>
      <c r="Y633" s="51">
        <v>45553</v>
      </c>
      <c r="Z633" s="154"/>
    </row>
    <row r="634" spans="1:26" ht="39" customHeight="1" x14ac:dyDescent="0.25">
      <c r="A634" s="5">
        <v>2</v>
      </c>
      <c r="B634" s="9" t="s">
        <v>6292</v>
      </c>
      <c r="C634" s="5" t="s">
        <v>18</v>
      </c>
      <c r="D634" s="5" t="s">
        <v>6293</v>
      </c>
      <c r="E634" s="11" t="s">
        <v>1489</v>
      </c>
      <c r="F634" s="150">
        <v>24610</v>
      </c>
      <c r="G634" s="151" t="s">
        <v>6294</v>
      </c>
      <c r="H634" s="68" t="s">
        <v>6295</v>
      </c>
      <c r="I634" s="10" t="s">
        <v>1469</v>
      </c>
      <c r="J634" s="150">
        <v>45200</v>
      </c>
      <c r="K634" s="5">
        <v>26</v>
      </c>
      <c r="L634" s="5">
        <v>7</v>
      </c>
      <c r="M634" s="12" t="s">
        <v>1424</v>
      </c>
      <c r="N634" s="150">
        <v>44896</v>
      </c>
      <c r="O634" s="5" t="s">
        <v>1028</v>
      </c>
      <c r="P634" s="157" t="s">
        <v>2879</v>
      </c>
      <c r="Q634" s="157" t="s">
        <v>6296</v>
      </c>
      <c r="R634" s="9" t="s">
        <v>6297</v>
      </c>
      <c r="S634" s="14" t="s">
        <v>6298</v>
      </c>
      <c r="T634" s="20">
        <v>2018056701</v>
      </c>
      <c r="U634" s="161">
        <v>50192</v>
      </c>
      <c r="V634" s="11" t="s">
        <v>6290</v>
      </c>
      <c r="W634" s="11" t="s">
        <v>2353</v>
      </c>
      <c r="X634" s="12"/>
      <c r="Y634" s="12"/>
      <c r="Z634" s="154"/>
    </row>
    <row r="635" spans="1:26" ht="39" customHeight="1" x14ac:dyDescent="0.25">
      <c r="A635" s="5">
        <v>3</v>
      </c>
      <c r="B635" s="9" t="s">
        <v>6299</v>
      </c>
      <c r="C635" s="5" t="s">
        <v>18</v>
      </c>
      <c r="D635" s="5" t="s">
        <v>6300</v>
      </c>
      <c r="E635" s="11" t="s">
        <v>2428</v>
      </c>
      <c r="F635" s="150">
        <v>28125</v>
      </c>
      <c r="G635" s="151" t="s">
        <v>6301</v>
      </c>
      <c r="H635" s="68" t="s">
        <v>6302</v>
      </c>
      <c r="I635" s="10" t="s">
        <v>1469</v>
      </c>
      <c r="J635" s="150">
        <v>45444</v>
      </c>
      <c r="K635" s="5">
        <v>24</v>
      </c>
      <c r="L635" s="5">
        <v>3</v>
      </c>
      <c r="M635" s="12" t="s">
        <v>1501</v>
      </c>
      <c r="N635" s="150">
        <v>39753</v>
      </c>
      <c r="O635" s="5" t="s">
        <v>1028</v>
      </c>
      <c r="P635" s="157" t="s">
        <v>6303</v>
      </c>
      <c r="Q635" s="157" t="s">
        <v>6304</v>
      </c>
      <c r="R635" s="152" t="s">
        <v>6305</v>
      </c>
      <c r="S635" s="14" t="s">
        <v>6306</v>
      </c>
      <c r="T635" s="20">
        <v>2031127603</v>
      </c>
      <c r="U635" s="161">
        <v>51867</v>
      </c>
      <c r="V635" s="11" t="s">
        <v>6290</v>
      </c>
      <c r="W635" s="11" t="s">
        <v>6307</v>
      </c>
      <c r="X635" s="89"/>
      <c r="Y635" s="89"/>
      <c r="Z635" s="164"/>
    </row>
    <row r="636" spans="1:26" ht="39" customHeight="1" x14ac:dyDescent="0.25">
      <c r="A636" s="5">
        <v>4</v>
      </c>
      <c r="B636" s="9" t="s">
        <v>6308</v>
      </c>
      <c r="C636" s="5" t="s">
        <v>46</v>
      </c>
      <c r="D636" s="5" t="s">
        <v>6309</v>
      </c>
      <c r="E636" s="11" t="s">
        <v>1648</v>
      </c>
      <c r="F636" s="150">
        <v>27283</v>
      </c>
      <c r="G636" s="151" t="s">
        <v>6310</v>
      </c>
      <c r="H636" s="68" t="s">
        <v>6311</v>
      </c>
      <c r="I636" s="10" t="s">
        <v>1558</v>
      </c>
      <c r="J636" s="150">
        <v>45383</v>
      </c>
      <c r="K636" s="5">
        <v>25</v>
      </c>
      <c r="L636" s="5">
        <v>1</v>
      </c>
      <c r="M636" s="12" t="s">
        <v>1501</v>
      </c>
      <c r="N636" s="150">
        <v>40179</v>
      </c>
      <c r="O636" s="10" t="s">
        <v>982</v>
      </c>
      <c r="P636" s="157" t="s">
        <v>6312</v>
      </c>
      <c r="Q636" s="157" t="s">
        <v>6313</v>
      </c>
      <c r="R636" s="9"/>
      <c r="S636" s="162">
        <v>102100504760</v>
      </c>
      <c r="T636" s="166">
        <v>2011097401</v>
      </c>
      <c r="U636" s="161">
        <v>51044</v>
      </c>
      <c r="V636" s="11" t="s">
        <v>6314</v>
      </c>
      <c r="W636" s="11" t="s">
        <v>2353</v>
      </c>
      <c r="X636" s="11"/>
      <c r="Y636" s="163"/>
      <c r="Z636" s="235"/>
    </row>
    <row r="637" spans="1:26" ht="39" customHeight="1" x14ac:dyDescent="0.25">
      <c r="A637" s="5">
        <v>5</v>
      </c>
      <c r="B637" s="14" t="s">
        <v>6315</v>
      </c>
      <c r="C637" s="5" t="s">
        <v>18</v>
      </c>
      <c r="D637" s="5"/>
      <c r="E637" s="14" t="s">
        <v>1934</v>
      </c>
      <c r="F637" s="150">
        <v>29294</v>
      </c>
      <c r="G637" s="151" t="s">
        <v>6316</v>
      </c>
      <c r="H637" s="68" t="s">
        <v>6317</v>
      </c>
      <c r="I637" s="10" t="s">
        <v>1469</v>
      </c>
      <c r="J637" s="150">
        <v>45383</v>
      </c>
      <c r="K637" s="5">
        <v>20</v>
      </c>
      <c r="L637" s="5">
        <v>4</v>
      </c>
      <c r="M637" s="12" t="s">
        <v>1501</v>
      </c>
      <c r="N637" s="150">
        <v>41883</v>
      </c>
      <c r="O637" s="5" t="s">
        <v>1028</v>
      </c>
      <c r="P637" s="157" t="s">
        <v>6318</v>
      </c>
      <c r="Q637" s="157" t="s">
        <v>6319</v>
      </c>
      <c r="R637" s="9" t="s">
        <v>6320</v>
      </c>
      <c r="S637" s="162">
        <v>102100504695</v>
      </c>
      <c r="T637" s="166">
        <v>2014039001</v>
      </c>
      <c r="U637" s="161">
        <v>53053</v>
      </c>
      <c r="V637" s="11" t="s">
        <v>6321</v>
      </c>
      <c r="W637" s="11" t="s">
        <v>6322</v>
      </c>
      <c r="X637" s="11" t="s">
        <v>6323</v>
      </c>
      <c r="Y637" s="31">
        <v>45588</v>
      </c>
      <c r="Z637" s="40"/>
    </row>
    <row r="638" spans="1:26" ht="39" customHeight="1" x14ac:dyDescent="0.25">
      <c r="A638" s="5">
        <v>6</v>
      </c>
      <c r="B638" s="12" t="s">
        <v>6324</v>
      </c>
      <c r="C638" s="5" t="s">
        <v>18</v>
      </c>
      <c r="D638" s="5" t="s">
        <v>6325</v>
      </c>
      <c r="E638" s="11" t="s">
        <v>1489</v>
      </c>
      <c r="F638" s="150">
        <v>24430</v>
      </c>
      <c r="G638" s="151" t="s">
        <v>6326</v>
      </c>
      <c r="H638" s="68" t="s">
        <v>6327</v>
      </c>
      <c r="I638" s="10" t="s">
        <v>1717</v>
      </c>
      <c r="J638" s="150">
        <v>36800</v>
      </c>
      <c r="K638" s="5">
        <v>8</v>
      </c>
      <c r="L638" s="5">
        <v>7</v>
      </c>
      <c r="M638" s="12" t="s">
        <v>1739</v>
      </c>
      <c r="N638" s="150">
        <v>36892</v>
      </c>
      <c r="O638" s="10" t="s">
        <v>982</v>
      </c>
      <c r="P638" s="157" t="s">
        <v>6328</v>
      </c>
      <c r="Q638" s="157" t="s">
        <v>2897</v>
      </c>
      <c r="R638" s="9"/>
      <c r="S638" s="14" t="s">
        <v>6329</v>
      </c>
      <c r="T638" s="20">
        <v>2019116601</v>
      </c>
      <c r="U638" s="161">
        <v>48183</v>
      </c>
      <c r="V638" s="11" t="s">
        <v>6330</v>
      </c>
      <c r="W638" s="11" t="s">
        <v>6331</v>
      </c>
      <c r="X638" s="11"/>
      <c r="Y638" s="31"/>
      <c r="Z638" s="154"/>
    </row>
    <row r="639" spans="1:26" ht="39" customHeight="1" x14ac:dyDescent="0.25">
      <c r="A639" s="5">
        <v>7</v>
      </c>
      <c r="B639" s="9" t="s">
        <v>6332</v>
      </c>
      <c r="C639" s="5" t="s">
        <v>18</v>
      </c>
      <c r="D639" s="5" t="s">
        <v>6333</v>
      </c>
      <c r="E639" s="11" t="s">
        <v>1725</v>
      </c>
      <c r="F639" s="150">
        <v>23298</v>
      </c>
      <c r="G639" s="151" t="s">
        <v>6334</v>
      </c>
      <c r="H639" s="68" t="s">
        <v>6335</v>
      </c>
      <c r="I639" s="5" t="s">
        <v>1717</v>
      </c>
      <c r="J639" s="150">
        <v>39173</v>
      </c>
      <c r="K639" s="5">
        <v>15</v>
      </c>
      <c r="L639" s="5">
        <v>1</v>
      </c>
      <c r="M639" s="12" t="s">
        <v>1739</v>
      </c>
      <c r="N639" s="150">
        <v>39173</v>
      </c>
      <c r="O639" s="10" t="s">
        <v>982</v>
      </c>
      <c r="P639" s="157" t="s">
        <v>3841</v>
      </c>
      <c r="Q639" s="157" t="s">
        <v>6336</v>
      </c>
      <c r="R639" s="9"/>
      <c r="S639" s="162">
        <v>102100504750</v>
      </c>
      <c r="T639" s="166">
        <v>2014106301</v>
      </c>
      <c r="U639" s="161">
        <v>47058</v>
      </c>
      <c r="V639" s="11" t="s">
        <v>6321</v>
      </c>
      <c r="W639" s="11" t="s">
        <v>6337</v>
      </c>
      <c r="X639" s="11"/>
      <c r="Y639" s="31"/>
      <c r="Z639" s="235"/>
    </row>
    <row r="640" spans="1:26" ht="39" customHeight="1" x14ac:dyDescent="0.25">
      <c r="A640" s="5">
        <v>8</v>
      </c>
      <c r="B640" s="14" t="s">
        <v>6338</v>
      </c>
      <c r="C640" s="5" t="s">
        <v>18</v>
      </c>
      <c r="D640" s="5" t="s">
        <v>6339</v>
      </c>
      <c r="E640" s="14" t="s">
        <v>2608</v>
      </c>
      <c r="F640" s="150">
        <v>26555</v>
      </c>
      <c r="G640" s="151" t="s">
        <v>6340</v>
      </c>
      <c r="H640" s="68" t="s">
        <v>6341</v>
      </c>
      <c r="I640" s="10" t="s">
        <v>1738</v>
      </c>
      <c r="J640" s="150">
        <v>45444</v>
      </c>
      <c r="K640" s="5">
        <v>20</v>
      </c>
      <c r="L640" s="5">
        <v>6</v>
      </c>
      <c r="M640" s="12" t="s">
        <v>1501</v>
      </c>
      <c r="N640" s="150">
        <v>45170</v>
      </c>
      <c r="O640" s="10" t="s">
        <v>982</v>
      </c>
      <c r="P640" s="157" t="s">
        <v>6342</v>
      </c>
      <c r="Q640" s="157" t="s">
        <v>6343</v>
      </c>
      <c r="R640" s="9"/>
      <c r="S640" s="162">
        <v>102100504706</v>
      </c>
      <c r="T640" s="166">
        <v>2013097201</v>
      </c>
      <c r="U640" s="161">
        <v>50314</v>
      </c>
      <c r="V640" s="11" t="s">
        <v>6314</v>
      </c>
      <c r="W640" s="11" t="s">
        <v>6344</v>
      </c>
      <c r="X640" s="9" t="s">
        <v>6345</v>
      </c>
      <c r="Y640" s="51">
        <v>45579</v>
      </c>
      <c r="Z640" s="154"/>
    </row>
    <row r="641" spans="1:26" ht="39" customHeight="1" x14ac:dyDescent="0.25">
      <c r="A641" s="5">
        <v>9</v>
      </c>
      <c r="B641" s="9" t="s">
        <v>6346</v>
      </c>
      <c r="C641" s="5" t="s">
        <v>46</v>
      </c>
      <c r="D641" s="5" t="s">
        <v>6347</v>
      </c>
      <c r="E641" s="11" t="s">
        <v>1489</v>
      </c>
      <c r="F641" s="150">
        <v>27709</v>
      </c>
      <c r="G641" s="151" t="s">
        <v>6348</v>
      </c>
      <c r="H641" s="68" t="s">
        <v>6349</v>
      </c>
      <c r="I641" s="10" t="s">
        <v>1738</v>
      </c>
      <c r="J641" s="150">
        <v>40634</v>
      </c>
      <c r="K641" s="5">
        <v>7</v>
      </c>
      <c r="L641" s="5">
        <v>1</v>
      </c>
      <c r="M641" s="12" t="s">
        <v>1739</v>
      </c>
      <c r="N641" s="150">
        <v>39692</v>
      </c>
      <c r="O641" s="5" t="s">
        <v>1028</v>
      </c>
      <c r="P641" s="157" t="s">
        <v>6350</v>
      </c>
      <c r="Q641" s="157" t="s">
        <v>6351</v>
      </c>
      <c r="R641" s="9" t="s">
        <v>6352</v>
      </c>
      <c r="S641" s="162">
        <v>102100504761</v>
      </c>
      <c r="T641" s="166">
        <v>2011117501</v>
      </c>
      <c r="U641" s="161">
        <v>51471</v>
      </c>
      <c r="V641" s="11" t="s">
        <v>6321</v>
      </c>
      <c r="W641" s="11" t="s">
        <v>1022</v>
      </c>
      <c r="X641" s="9" t="s">
        <v>6353</v>
      </c>
      <c r="Y641" s="51">
        <v>45579</v>
      </c>
      <c r="Z641" s="154"/>
    </row>
    <row r="642" spans="1:26" ht="39" customHeight="1" x14ac:dyDescent="0.25">
      <c r="A642" s="5">
        <v>10</v>
      </c>
      <c r="B642" s="9" t="s">
        <v>6354</v>
      </c>
      <c r="C642" s="5" t="s">
        <v>18</v>
      </c>
      <c r="D642" s="5" t="s">
        <v>6355</v>
      </c>
      <c r="E642" s="11" t="s">
        <v>5510</v>
      </c>
      <c r="F642" s="150">
        <v>26847</v>
      </c>
      <c r="G642" s="151" t="s">
        <v>6356</v>
      </c>
      <c r="H642" s="68" t="s">
        <v>6357</v>
      </c>
      <c r="I642" s="10" t="s">
        <v>1699</v>
      </c>
      <c r="J642" s="150">
        <v>45444</v>
      </c>
      <c r="K642" s="5">
        <v>21</v>
      </c>
      <c r="L642" s="5">
        <v>6</v>
      </c>
      <c r="M642" s="12" t="s">
        <v>1501</v>
      </c>
      <c r="N642" s="161">
        <v>45139</v>
      </c>
      <c r="O642" s="5" t="s">
        <v>1028</v>
      </c>
      <c r="P642" s="157" t="s">
        <v>6358</v>
      </c>
      <c r="Q642" s="157" t="s">
        <v>6359</v>
      </c>
      <c r="R642" s="9" t="s">
        <v>6360</v>
      </c>
      <c r="S642" s="162">
        <v>102100504673</v>
      </c>
      <c r="T642" s="166">
        <v>2002077301</v>
      </c>
      <c r="U642" s="161">
        <v>50618</v>
      </c>
      <c r="V642" s="11" t="s">
        <v>6330</v>
      </c>
      <c r="W642" s="11" t="s">
        <v>2353</v>
      </c>
      <c r="X642" s="89"/>
      <c r="Y642" s="89"/>
      <c r="Z642" s="89"/>
    </row>
    <row r="643" spans="1:26" ht="39" customHeight="1" x14ac:dyDescent="0.25">
      <c r="A643" s="5">
        <v>11</v>
      </c>
      <c r="B643" s="14" t="s">
        <v>6361</v>
      </c>
      <c r="C643" s="5" t="s">
        <v>18</v>
      </c>
      <c r="D643" s="10" t="s">
        <v>6362</v>
      </c>
      <c r="E643" s="14" t="s">
        <v>1967</v>
      </c>
      <c r="F643" s="150">
        <v>26047</v>
      </c>
      <c r="G643" s="8" t="s">
        <v>6363</v>
      </c>
      <c r="H643" s="68" t="s">
        <v>6364</v>
      </c>
      <c r="I643" s="5" t="s">
        <v>1738</v>
      </c>
      <c r="J643" s="150">
        <v>40087</v>
      </c>
      <c r="K643" s="5">
        <v>10</v>
      </c>
      <c r="L643" s="5">
        <v>7</v>
      </c>
      <c r="M643" s="12" t="s">
        <v>1739</v>
      </c>
      <c r="N643" s="150">
        <v>40087</v>
      </c>
      <c r="O643" s="5" t="s">
        <v>1028</v>
      </c>
      <c r="P643" s="167" t="s">
        <v>6365</v>
      </c>
      <c r="Q643" s="11" t="s">
        <v>6366</v>
      </c>
      <c r="R643" s="168" t="s">
        <v>1461</v>
      </c>
      <c r="S643" s="14" t="s">
        <v>6367</v>
      </c>
      <c r="T643" s="171" t="s">
        <v>6368</v>
      </c>
      <c r="U643" s="150">
        <v>49796</v>
      </c>
      <c r="V643" s="11" t="s">
        <v>6290</v>
      </c>
      <c r="W643" s="14" t="s">
        <v>6369</v>
      </c>
      <c r="X643" s="12"/>
      <c r="Y643" s="12"/>
      <c r="Z643" s="154"/>
    </row>
    <row r="644" spans="1:26" ht="39" customHeight="1" x14ac:dyDescent="0.25">
      <c r="A644" s="5">
        <v>12</v>
      </c>
      <c r="B644" s="12" t="s">
        <v>6370</v>
      </c>
      <c r="C644" s="5" t="s">
        <v>46</v>
      </c>
      <c r="D644" s="5" t="s">
        <v>6371</v>
      </c>
      <c r="E644" s="14" t="s">
        <v>1489</v>
      </c>
      <c r="F644" s="150">
        <v>27927</v>
      </c>
      <c r="G644" s="151" t="s">
        <v>6372</v>
      </c>
      <c r="H644" s="68" t="s">
        <v>6373</v>
      </c>
      <c r="I644" s="5" t="s">
        <v>1738</v>
      </c>
      <c r="J644" s="150">
        <v>43191</v>
      </c>
      <c r="K644" s="5">
        <v>13</v>
      </c>
      <c r="L644" s="5">
        <v>3</v>
      </c>
      <c r="M644" s="12" t="s">
        <v>1739</v>
      </c>
      <c r="N644" s="150">
        <v>40269</v>
      </c>
      <c r="O644" s="5" t="s">
        <v>982</v>
      </c>
      <c r="P644" s="157" t="s">
        <v>5903</v>
      </c>
      <c r="Q644" s="157" t="s">
        <v>6374</v>
      </c>
      <c r="R644" s="9"/>
      <c r="S644" s="162">
        <v>102100504734</v>
      </c>
      <c r="T644" s="20">
        <v>2016067602</v>
      </c>
      <c r="U644" s="150">
        <v>51683</v>
      </c>
      <c r="V644" s="11" t="s">
        <v>6330</v>
      </c>
      <c r="W644" s="14" t="s">
        <v>2539</v>
      </c>
      <c r="X644" s="11" t="s">
        <v>6375</v>
      </c>
      <c r="Y644" s="51">
        <v>45579</v>
      </c>
      <c r="Z644" s="154"/>
    </row>
    <row r="645" spans="1:26" ht="39" customHeight="1" x14ac:dyDescent="0.25">
      <c r="A645" s="5">
        <v>13</v>
      </c>
      <c r="B645" s="9" t="s">
        <v>6376</v>
      </c>
      <c r="C645" s="5" t="s">
        <v>18</v>
      </c>
      <c r="D645" s="10"/>
      <c r="E645" s="9" t="s">
        <v>3049</v>
      </c>
      <c r="F645" s="161">
        <v>28378</v>
      </c>
      <c r="G645" s="151" t="s">
        <v>6377</v>
      </c>
      <c r="H645" s="68" t="s">
        <v>6378</v>
      </c>
      <c r="I645" s="5" t="s">
        <v>1738</v>
      </c>
      <c r="J645" s="150">
        <v>45383</v>
      </c>
      <c r="K645" s="5">
        <v>15</v>
      </c>
      <c r="L645" s="5">
        <v>3</v>
      </c>
      <c r="M645" s="12" t="s">
        <v>1501</v>
      </c>
      <c r="N645" s="150">
        <v>45139</v>
      </c>
      <c r="O645" s="5" t="s">
        <v>1028</v>
      </c>
      <c r="P645" s="167" t="s">
        <v>6379</v>
      </c>
      <c r="Q645" s="9" t="s">
        <v>6380</v>
      </c>
      <c r="R645" s="168" t="s">
        <v>6381</v>
      </c>
      <c r="S645" s="162">
        <v>112102714102135</v>
      </c>
      <c r="T645" s="166" t="s">
        <v>6382</v>
      </c>
      <c r="U645" s="161">
        <v>52140</v>
      </c>
      <c r="V645" s="11" t="s">
        <v>6383</v>
      </c>
      <c r="W645" s="9" t="s">
        <v>6384</v>
      </c>
      <c r="X645" s="11" t="s">
        <v>6385</v>
      </c>
      <c r="Y645" s="51">
        <v>45579</v>
      </c>
      <c r="Z645" s="154"/>
    </row>
    <row r="646" spans="1:26" ht="39" customHeight="1" x14ac:dyDescent="0.25">
      <c r="A646" s="5">
        <v>14</v>
      </c>
      <c r="B646" s="14" t="s">
        <v>6386</v>
      </c>
      <c r="C646" s="5" t="s">
        <v>18</v>
      </c>
      <c r="D646" s="10" t="s">
        <v>6387</v>
      </c>
      <c r="E646" s="14" t="s">
        <v>1811</v>
      </c>
      <c r="F646" s="150">
        <v>30825</v>
      </c>
      <c r="G646" s="8" t="s">
        <v>6388</v>
      </c>
      <c r="H646" s="68" t="s">
        <v>6389</v>
      </c>
      <c r="I646" s="5" t="s">
        <v>1738</v>
      </c>
      <c r="J646" s="150">
        <v>45383</v>
      </c>
      <c r="K646" s="5">
        <v>13</v>
      </c>
      <c r="L646" s="5">
        <v>3</v>
      </c>
      <c r="M646" s="12" t="s">
        <v>1739</v>
      </c>
      <c r="N646" s="150">
        <v>42856</v>
      </c>
      <c r="O646" s="5" t="s">
        <v>982</v>
      </c>
      <c r="P646" s="11" t="s">
        <v>6390</v>
      </c>
      <c r="Q646" s="11" t="s">
        <v>6391</v>
      </c>
      <c r="R646" s="168" t="s">
        <v>1084</v>
      </c>
      <c r="S646" s="186" t="s">
        <v>6392</v>
      </c>
      <c r="T646" s="166" t="s">
        <v>6393</v>
      </c>
      <c r="U646" s="150">
        <v>54575</v>
      </c>
      <c r="V646" s="11" t="s">
        <v>6330</v>
      </c>
      <c r="W646" s="14" t="s">
        <v>6394</v>
      </c>
      <c r="X646" s="12"/>
      <c r="Y646" s="163"/>
      <c r="Z646" s="154"/>
    </row>
    <row r="647" spans="1:26" ht="39" customHeight="1" x14ac:dyDescent="0.25">
      <c r="A647" s="5">
        <v>15</v>
      </c>
      <c r="B647" s="9" t="s">
        <v>6395</v>
      </c>
      <c r="C647" s="5" t="s">
        <v>18</v>
      </c>
      <c r="D647" s="10"/>
      <c r="E647" s="9" t="s">
        <v>6396</v>
      </c>
      <c r="F647" s="161">
        <v>27999</v>
      </c>
      <c r="G647" s="236" t="s">
        <v>6397</v>
      </c>
      <c r="H647" s="68" t="s">
        <v>6398</v>
      </c>
      <c r="I647" s="5" t="s">
        <v>1738</v>
      </c>
      <c r="J647" s="150">
        <v>44835</v>
      </c>
      <c r="K647" s="5">
        <v>12</v>
      </c>
      <c r="L647" s="5">
        <v>9</v>
      </c>
      <c r="M647" s="12" t="s">
        <v>1739</v>
      </c>
      <c r="N647" s="150">
        <v>43160</v>
      </c>
      <c r="O647" s="5" t="s">
        <v>1028</v>
      </c>
      <c r="P647" s="167" t="s">
        <v>6399</v>
      </c>
      <c r="Q647" s="11" t="s">
        <v>6400</v>
      </c>
      <c r="R647" s="168" t="s">
        <v>6401</v>
      </c>
      <c r="S647" s="162" t="s">
        <v>6402</v>
      </c>
      <c r="T647" s="166" t="s">
        <v>6403</v>
      </c>
      <c r="U647" s="150">
        <v>51745</v>
      </c>
      <c r="V647" s="11" t="s">
        <v>6314</v>
      </c>
      <c r="W647" s="9" t="s">
        <v>6404</v>
      </c>
      <c r="X647" s="9" t="s">
        <v>6405</v>
      </c>
      <c r="Y647" s="51">
        <v>45588</v>
      </c>
      <c r="Z647" s="154"/>
    </row>
    <row r="648" spans="1:26" ht="39" customHeight="1" x14ac:dyDescent="0.25">
      <c r="A648" s="5">
        <v>16</v>
      </c>
      <c r="B648" s="9" t="s">
        <v>6406</v>
      </c>
      <c r="C648" s="5" t="s">
        <v>18</v>
      </c>
      <c r="D648" s="10"/>
      <c r="E648" s="9" t="s">
        <v>6407</v>
      </c>
      <c r="F648" s="161">
        <v>31228</v>
      </c>
      <c r="G648" s="151" t="s">
        <v>6408</v>
      </c>
      <c r="H648" s="68" t="s">
        <v>6409</v>
      </c>
      <c r="I648" s="5" t="s">
        <v>1699</v>
      </c>
      <c r="J648" s="150">
        <v>45383</v>
      </c>
      <c r="K648" s="5">
        <v>9</v>
      </c>
      <c r="L648" s="5">
        <v>1</v>
      </c>
      <c r="M648" s="12" t="s">
        <v>1501</v>
      </c>
      <c r="N648" s="161">
        <v>44986</v>
      </c>
      <c r="O648" s="5" t="s">
        <v>982</v>
      </c>
      <c r="P648" s="167" t="s">
        <v>6410</v>
      </c>
      <c r="Q648" s="9" t="s">
        <v>6411</v>
      </c>
      <c r="R648" s="168"/>
      <c r="S648" s="186" t="s">
        <v>6412</v>
      </c>
      <c r="T648" s="166" t="s">
        <v>6413</v>
      </c>
      <c r="U648" s="150">
        <v>54970</v>
      </c>
      <c r="V648" s="11" t="s">
        <v>6314</v>
      </c>
      <c r="W648" s="9" t="s">
        <v>6344</v>
      </c>
      <c r="X648" s="11" t="s">
        <v>6414</v>
      </c>
      <c r="Y648" s="31">
        <v>45553</v>
      </c>
      <c r="Z648" s="154"/>
    </row>
    <row r="649" spans="1:26" ht="39" customHeight="1" x14ac:dyDescent="0.25">
      <c r="A649" s="5">
        <v>17</v>
      </c>
      <c r="B649" s="9" t="s">
        <v>6415</v>
      </c>
      <c r="C649" s="5" t="s">
        <v>18</v>
      </c>
      <c r="D649" s="10"/>
      <c r="E649" s="9" t="s">
        <v>6416</v>
      </c>
      <c r="F649" s="161">
        <v>30425</v>
      </c>
      <c r="G649" s="151" t="s">
        <v>6417</v>
      </c>
      <c r="H649" s="68" t="s">
        <v>6418</v>
      </c>
      <c r="I649" s="5" t="s">
        <v>1717</v>
      </c>
      <c r="J649" s="150">
        <v>43922</v>
      </c>
      <c r="K649" s="5">
        <v>5</v>
      </c>
      <c r="L649" s="5">
        <v>1</v>
      </c>
      <c r="M649" s="12" t="s">
        <v>1739</v>
      </c>
      <c r="N649" s="150">
        <v>43709</v>
      </c>
      <c r="O649" s="5" t="s">
        <v>982</v>
      </c>
      <c r="P649" s="167" t="s">
        <v>6419</v>
      </c>
      <c r="Q649" s="9" t="s">
        <v>6420</v>
      </c>
      <c r="R649" s="168"/>
      <c r="S649" s="162" t="s">
        <v>6421</v>
      </c>
      <c r="T649" s="166" t="s">
        <v>6422</v>
      </c>
      <c r="U649" s="150">
        <v>54179</v>
      </c>
      <c r="V649" s="11" t="s">
        <v>6383</v>
      </c>
      <c r="W649" s="9" t="s">
        <v>1012</v>
      </c>
      <c r="X649" s="9"/>
      <c r="Y649" s="31"/>
      <c r="Z649" s="154" t="s">
        <v>1084</v>
      </c>
    </row>
    <row r="650" spans="1:26" ht="39" customHeight="1" x14ac:dyDescent="0.25">
      <c r="A650" s="5">
        <v>18</v>
      </c>
      <c r="B650" s="14" t="s">
        <v>6423</v>
      </c>
      <c r="C650" s="5" t="s">
        <v>46</v>
      </c>
      <c r="D650" s="10"/>
      <c r="E650" s="14" t="s">
        <v>1934</v>
      </c>
      <c r="F650" s="150">
        <v>30728</v>
      </c>
      <c r="G650" s="8" t="s">
        <v>6424</v>
      </c>
      <c r="H650" s="68" t="s">
        <v>6425</v>
      </c>
      <c r="I650" s="5" t="s">
        <v>1717</v>
      </c>
      <c r="J650" s="150">
        <v>43922</v>
      </c>
      <c r="K650" s="5">
        <v>10</v>
      </c>
      <c r="L650" s="5">
        <v>4</v>
      </c>
      <c r="M650" s="12" t="s">
        <v>1739</v>
      </c>
      <c r="N650" s="150">
        <v>43831</v>
      </c>
      <c r="O650" s="5" t="s">
        <v>982</v>
      </c>
      <c r="P650" s="167" t="s">
        <v>6426</v>
      </c>
      <c r="Q650" s="11" t="s">
        <v>6427</v>
      </c>
      <c r="R650" s="168" t="s">
        <v>1084</v>
      </c>
      <c r="S650" s="162">
        <v>142100512844</v>
      </c>
      <c r="T650" s="166" t="s">
        <v>6428</v>
      </c>
      <c r="U650" s="150">
        <v>54483</v>
      </c>
      <c r="V650" s="11" t="s">
        <v>6330</v>
      </c>
      <c r="W650" s="14" t="s">
        <v>6429</v>
      </c>
      <c r="X650" s="11"/>
      <c r="Y650" s="5"/>
      <c r="Z650" s="153" t="s">
        <v>1965</v>
      </c>
    </row>
    <row r="651" spans="1:26" ht="39" customHeight="1" x14ac:dyDescent="0.25">
      <c r="A651" s="5">
        <v>19</v>
      </c>
      <c r="B651" s="9" t="s">
        <v>6430</v>
      </c>
      <c r="C651" s="5" t="s">
        <v>18</v>
      </c>
      <c r="D651" s="5" t="s">
        <v>6431</v>
      </c>
      <c r="E651" s="11" t="s">
        <v>2055</v>
      </c>
      <c r="F651" s="150">
        <v>23693</v>
      </c>
      <c r="G651" s="151" t="s">
        <v>6432</v>
      </c>
      <c r="H651" s="68" t="s">
        <v>6433</v>
      </c>
      <c r="I651" s="10" t="s">
        <v>1717</v>
      </c>
      <c r="J651" s="150">
        <v>45017</v>
      </c>
      <c r="K651" s="5">
        <v>31</v>
      </c>
      <c r="L651" s="5">
        <v>1</v>
      </c>
      <c r="M651" s="12" t="s">
        <v>1739</v>
      </c>
      <c r="N651" s="150">
        <v>44774</v>
      </c>
      <c r="O651" s="5" t="s">
        <v>1028</v>
      </c>
      <c r="P651" s="157" t="s">
        <v>3841</v>
      </c>
      <c r="Q651" s="157" t="s">
        <v>6434</v>
      </c>
      <c r="R651" s="9" t="s">
        <v>6435</v>
      </c>
      <c r="S651" s="162">
        <v>102100504664</v>
      </c>
      <c r="T651" s="166">
        <v>2012116402</v>
      </c>
      <c r="U651" s="161">
        <v>47453</v>
      </c>
      <c r="V651" s="11" t="s">
        <v>6290</v>
      </c>
      <c r="W651" s="11" t="s">
        <v>6436</v>
      </c>
      <c r="X651" s="11"/>
      <c r="Y651" s="10"/>
      <c r="Z651" s="154"/>
    </row>
    <row r="652" spans="1:26" ht="39" customHeight="1" x14ac:dyDescent="0.25">
      <c r="A652" s="5">
        <v>20</v>
      </c>
      <c r="B652" s="9" t="s">
        <v>6437</v>
      </c>
      <c r="C652" s="5" t="s">
        <v>46</v>
      </c>
      <c r="D652" s="10"/>
      <c r="E652" s="9" t="s">
        <v>6438</v>
      </c>
      <c r="F652" s="161">
        <v>32057</v>
      </c>
      <c r="G652" s="151" t="s">
        <v>6439</v>
      </c>
      <c r="H652" s="68" t="s">
        <v>6440</v>
      </c>
      <c r="I652" s="5" t="s">
        <v>1738</v>
      </c>
      <c r="J652" s="150">
        <v>45383</v>
      </c>
      <c r="K652" s="5">
        <v>9</v>
      </c>
      <c r="L652" s="5">
        <v>1</v>
      </c>
      <c r="M652" s="12" t="s">
        <v>1739</v>
      </c>
      <c r="N652" s="150">
        <v>44197</v>
      </c>
      <c r="O652" s="5" t="s">
        <v>982</v>
      </c>
      <c r="P652" s="167" t="s">
        <v>6441</v>
      </c>
      <c r="Q652" s="9" t="s">
        <v>6420</v>
      </c>
      <c r="R652" s="168"/>
      <c r="S652" s="162" t="s">
        <v>6442</v>
      </c>
      <c r="T652" s="166" t="s">
        <v>6443</v>
      </c>
      <c r="U652" s="150">
        <v>55824</v>
      </c>
      <c r="V652" s="11" t="s">
        <v>6383</v>
      </c>
      <c r="W652" s="9" t="s">
        <v>1012</v>
      </c>
      <c r="X652" s="11" t="s">
        <v>1525</v>
      </c>
      <c r="Y652" s="31">
        <v>44230</v>
      </c>
      <c r="Z652" s="172" t="s">
        <v>1084</v>
      </c>
    </row>
    <row r="653" spans="1:26" ht="39" customHeight="1" x14ac:dyDescent="0.25">
      <c r="A653" s="5">
        <v>21</v>
      </c>
      <c r="B653" s="9" t="s">
        <v>6444</v>
      </c>
      <c r="C653" s="5" t="s">
        <v>18</v>
      </c>
      <c r="D653" s="10"/>
      <c r="E653" s="9" t="s">
        <v>5086</v>
      </c>
      <c r="F653" s="161">
        <v>32287</v>
      </c>
      <c r="G653" s="151" t="s">
        <v>6445</v>
      </c>
      <c r="H653" s="68" t="s">
        <v>6446</v>
      </c>
      <c r="I653" s="5" t="s">
        <v>1738</v>
      </c>
      <c r="J653" s="150">
        <v>45383</v>
      </c>
      <c r="K653" s="5">
        <v>9</v>
      </c>
      <c r="L653" s="5">
        <v>1</v>
      </c>
      <c r="M653" s="12" t="s">
        <v>1739</v>
      </c>
      <c r="N653" s="150">
        <v>44105</v>
      </c>
      <c r="O653" s="5" t="s">
        <v>982</v>
      </c>
      <c r="P653" s="167" t="s">
        <v>6447</v>
      </c>
      <c r="Q653" s="9" t="s">
        <v>6448</v>
      </c>
      <c r="R653" s="168"/>
      <c r="S653" s="162" t="s">
        <v>6449</v>
      </c>
      <c r="T653" s="166" t="s">
        <v>6450</v>
      </c>
      <c r="U653" s="150">
        <v>56036</v>
      </c>
      <c r="V653" s="11" t="s">
        <v>6330</v>
      </c>
      <c r="W653" s="9" t="s">
        <v>1012</v>
      </c>
      <c r="X653" s="89"/>
      <c r="Y653" s="89"/>
      <c r="Z653" s="89"/>
    </row>
    <row r="654" spans="1:26" ht="39" customHeight="1" x14ac:dyDescent="0.25">
      <c r="A654" s="5">
        <v>22</v>
      </c>
      <c r="B654" s="9" t="s">
        <v>6451</v>
      </c>
      <c r="C654" s="5" t="s">
        <v>18</v>
      </c>
      <c r="D654" s="10"/>
      <c r="E654" s="9" t="s">
        <v>1958</v>
      </c>
      <c r="F654" s="161">
        <v>29793</v>
      </c>
      <c r="G654" s="151" t="s">
        <v>6452</v>
      </c>
      <c r="H654" s="68" t="s">
        <v>6453</v>
      </c>
      <c r="I654" s="5" t="s">
        <v>1738</v>
      </c>
      <c r="J654" s="150">
        <v>45383</v>
      </c>
      <c r="K654" s="5">
        <v>9</v>
      </c>
      <c r="L654" s="5">
        <v>1</v>
      </c>
      <c r="M654" s="12" t="s">
        <v>1739</v>
      </c>
      <c r="N654" s="150">
        <v>44197</v>
      </c>
      <c r="O654" s="5" t="s">
        <v>982</v>
      </c>
      <c r="P654" s="167" t="s">
        <v>6454</v>
      </c>
      <c r="Q654" s="11" t="s">
        <v>6455</v>
      </c>
      <c r="R654" s="168"/>
      <c r="S654" s="162" t="s">
        <v>6456</v>
      </c>
      <c r="T654" s="166" t="s">
        <v>6457</v>
      </c>
      <c r="U654" s="150">
        <v>53540</v>
      </c>
      <c r="V654" s="11" t="s">
        <v>6330</v>
      </c>
      <c r="W654" s="9" t="s">
        <v>2353</v>
      </c>
      <c r="X654" s="9"/>
      <c r="Y654" s="10"/>
      <c r="Z654" s="172"/>
    </row>
    <row r="655" spans="1:26" ht="39" customHeight="1" x14ac:dyDescent="0.25">
      <c r="A655" s="5">
        <v>23</v>
      </c>
      <c r="B655" s="9" t="s">
        <v>6458</v>
      </c>
      <c r="C655" s="5" t="s">
        <v>46</v>
      </c>
      <c r="D655" s="10"/>
      <c r="E655" s="9" t="s">
        <v>6459</v>
      </c>
      <c r="F655" s="161">
        <v>32770</v>
      </c>
      <c r="G655" s="151" t="s">
        <v>6460</v>
      </c>
      <c r="H655" s="68" t="s">
        <v>6461</v>
      </c>
      <c r="I655" s="5" t="s">
        <v>1717</v>
      </c>
      <c r="J655" s="150">
        <v>45017</v>
      </c>
      <c r="K655" s="5">
        <v>8</v>
      </c>
      <c r="L655" s="5">
        <v>1</v>
      </c>
      <c r="M655" s="12" t="s">
        <v>1739</v>
      </c>
      <c r="N655" s="150">
        <v>44593</v>
      </c>
      <c r="O655" s="5" t="s">
        <v>982</v>
      </c>
      <c r="P655" s="167" t="s">
        <v>6462</v>
      </c>
      <c r="Q655" s="11" t="s">
        <v>6463</v>
      </c>
      <c r="R655" s="168"/>
      <c r="S655" s="162" t="s">
        <v>6464</v>
      </c>
      <c r="T655" s="166" t="s">
        <v>6465</v>
      </c>
      <c r="U655" s="150">
        <v>56523</v>
      </c>
      <c r="V655" s="11" t="s">
        <v>6314</v>
      </c>
      <c r="W655" s="9" t="s">
        <v>1022</v>
      </c>
      <c r="X655" s="9" t="s">
        <v>6466</v>
      </c>
      <c r="Y655" s="31">
        <v>44256</v>
      </c>
      <c r="Z655" s="172"/>
    </row>
    <row r="656" spans="1:26" ht="39" customHeight="1" x14ac:dyDescent="0.25">
      <c r="A656" s="5">
        <v>24</v>
      </c>
      <c r="B656" s="9" t="s">
        <v>6467</v>
      </c>
      <c r="C656" s="5" t="s">
        <v>46</v>
      </c>
      <c r="D656" s="10"/>
      <c r="E656" s="9" t="s">
        <v>6468</v>
      </c>
      <c r="F656" s="161">
        <v>30141</v>
      </c>
      <c r="G656" s="151" t="s">
        <v>6469</v>
      </c>
      <c r="H656" s="68" t="s">
        <v>6470</v>
      </c>
      <c r="I656" s="5" t="s">
        <v>1717</v>
      </c>
      <c r="J656" s="161">
        <v>44835</v>
      </c>
      <c r="K656" s="5">
        <v>7</v>
      </c>
      <c r="L656" s="5">
        <v>7</v>
      </c>
      <c r="M656" s="12" t="s">
        <v>1739</v>
      </c>
      <c r="N656" s="150">
        <v>44713</v>
      </c>
      <c r="O656" s="5" t="s">
        <v>982</v>
      </c>
      <c r="P656" s="167" t="s">
        <v>6471</v>
      </c>
      <c r="Q656" s="9" t="s">
        <v>6472</v>
      </c>
      <c r="R656" s="168"/>
      <c r="S656" s="14" t="s">
        <v>6473</v>
      </c>
      <c r="T656" s="166" t="s">
        <v>6474</v>
      </c>
      <c r="U656" s="150">
        <v>53905</v>
      </c>
      <c r="V656" s="11" t="s">
        <v>6321</v>
      </c>
      <c r="W656" s="9" t="s">
        <v>6344</v>
      </c>
      <c r="X656" s="89"/>
      <c r="Y656" s="89"/>
      <c r="Z656" s="153" t="s">
        <v>1965</v>
      </c>
    </row>
    <row r="657" spans="1:26" ht="39" customHeight="1" x14ac:dyDescent="0.25">
      <c r="A657" s="5">
        <v>25</v>
      </c>
      <c r="B657" s="9" t="s">
        <v>6475</v>
      </c>
      <c r="C657" s="5" t="s">
        <v>18</v>
      </c>
      <c r="D657" s="10"/>
      <c r="E657" s="9" t="s">
        <v>6476</v>
      </c>
      <c r="F657" s="161">
        <v>33143</v>
      </c>
      <c r="G657" s="151" t="s">
        <v>6477</v>
      </c>
      <c r="H657" s="169" t="s">
        <v>6478</v>
      </c>
      <c r="I657" s="5" t="s">
        <v>1717</v>
      </c>
      <c r="J657" s="150">
        <v>45017</v>
      </c>
      <c r="K657" s="5">
        <v>6</v>
      </c>
      <c r="L657" s="5">
        <v>8</v>
      </c>
      <c r="M657" s="12" t="s">
        <v>1739</v>
      </c>
      <c r="N657" s="150">
        <v>44805</v>
      </c>
      <c r="O657" s="5" t="s">
        <v>982</v>
      </c>
      <c r="P657" s="167" t="s">
        <v>1084</v>
      </c>
      <c r="Q657" s="9" t="s">
        <v>6479</v>
      </c>
      <c r="R657" s="168"/>
      <c r="S657" s="162" t="s">
        <v>6480</v>
      </c>
      <c r="T657" s="166" t="s">
        <v>6481</v>
      </c>
      <c r="U657" s="150">
        <v>56888</v>
      </c>
      <c r="V657" s="11" t="s">
        <v>6314</v>
      </c>
      <c r="W657" s="9" t="s">
        <v>2353</v>
      </c>
      <c r="X657" s="9" t="s">
        <v>1525</v>
      </c>
      <c r="Y657" s="31">
        <v>44230</v>
      </c>
      <c r="Z657" s="40"/>
    </row>
    <row r="658" spans="1:26" ht="39" customHeight="1" x14ac:dyDescent="0.25">
      <c r="A658" s="5">
        <v>26</v>
      </c>
      <c r="B658" s="154" t="s">
        <v>6482</v>
      </c>
      <c r="C658" s="67" t="s">
        <v>46</v>
      </c>
      <c r="D658" s="10"/>
      <c r="E658" s="154" t="s">
        <v>1489</v>
      </c>
      <c r="F658" s="155" t="s">
        <v>6483</v>
      </c>
      <c r="G658" s="106" t="s">
        <v>6484</v>
      </c>
      <c r="H658" s="68" t="s">
        <v>6485</v>
      </c>
      <c r="I658" s="5" t="s">
        <v>1717</v>
      </c>
      <c r="J658" s="161">
        <v>45200</v>
      </c>
      <c r="K658" s="5">
        <v>7</v>
      </c>
      <c r="L658" s="5">
        <v>2</v>
      </c>
      <c r="M658" s="12" t="s">
        <v>1739</v>
      </c>
      <c r="N658" s="161">
        <v>44896</v>
      </c>
      <c r="O658" s="5" t="s">
        <v>982</v>
      </c>
      <c r="P658" s="167" t="s">
        <v>2023</v>
      </c>
      <c r="Q658" s="160" t="s">
        <v>6486</v>
      </c>
      <c r="R658" s="168"/>
      <c r="S658" s="162"/>
      <c r="T658" s="171" t="s">
        <v>6487</v>
      </c>
      <c r="U658" s="150">
        <v>57436</v>
      </c>
      <c r="V658" s="11" t="s">
        <v>6488</v>
      </c>
      <c r="W658" s="160" t="s">
        <v>1012</v>
      </c>
      <c r="X658" s="9"/>
      <c r="Y658" s="31"/>
      <c r="Z658" s="153" t="s">
        <v>1965</v>
      </c>
    </row>
    <row r="659" spans="1:26" ht="39" customHeight="1" x14ac:dyDescent="0.25">
      <c r="A659" s="5">
        <v>27</v>
      </c>
      <c r="B659" s="40" t="s">
        <v>6489</v>
      </c>
      <c r="C659" s="39" t="s">
        <v>18</v>
      </c>
      <c r="D659" s="160"/>
      <c r="E659" s="40" t="s">
        <v>6490</v>
      </c>
      <c r="F659" s="170">
        <v>30944</v>
      </c>
      <c r="G659" s="156" t="s">
        <v>6491</v>
      </c>
      <c r="H659" s="68" t="s">
        <v>6492</v>
      </c>
      <c r="I659" s="5" t="s">
        <v>1717</v>
      </c>
      <c r="J659" s="161">
        <v>43525</v>
      </c>
      <c r="K659" s="5">
        <v>0</v>
      </c>
      <c r="L659" s="5">
        <v>0</v>
      </c>
      <c r="M659" s="12" t="s">
        <v>1501</v>
      </c>
      <c r="N659" s="161">
        <v>45139</v>
      </c>
      <c r="O659" s="5" t="s">
        <v>1028</v>
      </c>
      <c r="P659" s="160" t="s">
        <v>6493</v>
      </c>
      <c r="Q659" s="12" t="s">
        <v>6494</v>
      </c>
      <c r="R659" s="160" t="s">
        <v>6495</v>
      </c>
      <c r="S659" s="162"/>
      <c r="T659" s="166" t="s">
        <v>6496</v>
      </c>
      <c r="U659" s="170">
        <v>54697</v>
      </c>
      <c r="V659" s="11" t="s">
        <v>6321</v>
      </c>
      <c r="W659" s="160" t="s">
        <v>1022</v>
      </c>
      <c r="X659" s="9"/>
      <c r="Y659" s="10"/>
      <c r="Z659" s="40"/>
    </row>
    <row r="660" spans="1:26" ht="39" customHeight="1" x14ac:dyDescent="0.25">
      <c r="A660" s="5">
        <v>28</v>
      </c>
      <c r="B660" s="9" t="s">
        <v>6497</v>
      </c>
      <c r="C660" s="5" t="s">
        <v>18</v>
      </c>
      <c r="D660" s="10"/>
      <c r="E660" s="9" t="s">
        <v>6498</v>
      </c>
      <c r="F660" s="161">
        <v>30001</v>
      </c>
      <c r="G660" s="151" t="s">
        <v>6499</v>
      </c>
      <c r="H660" s="68" t="s">
        <v>6500</v>
      </c>
      <c r="I660" s="5" t="s">
        <v>1991</v>
      </c>
      <c r="J660" s="150">
        <v>42064</v>
      </c>
      <c r="K660" s="5">
        <v>0</v>
      </c>
      <c r="L660" s="5">
        <v>0</v>
      </c>
      <c r="M660" s="12" t="s">
        <v>1739</v>
      </c>
      <c r="N660" s="150">
        <v>44927</v>
      </c>
      <c r="O660" s="5" t="s">
        <v>982</v>
      </c>
      <c r="P660" s="167" t="s">
        <v>6501</v>
      </c>
      <c r="Q660" s="9" t="s">
        <v>6502</v>
      </c>
      <c r="R660" s="168"/>
      <c r="S660" s="186" t="s">
        <v>6503</v>
      </c>
      <c r="T660" s="166" t="s">
        <v>6504</v>
      </c>
      <c r="U660" s="150">
        <v>53752</v>
      </c>
      <c r="V660" s="11" t="s">
        <v>6321</v>
      </c>
      <c r="W660" s="9" t="s">
        <v>1022</v>
      </c>
      <c r="X660" s="9"/>
      <c r="Y660" s="10"/>
      <c r="Z660" s="154" t="s">
        <v>1084</v>
      </c>
    </row>
    <row r="661" spans="1:26" ht="39" customHeight="1" x14ac:dyDescent="0.25">
      <c r="A661" s="5">
        <v>29</v>
      </c>
      <c r="B661" s="9" t="s">
        <v>6505</v>
      </c>
      <c r="C661" s="5" t="s">
        <v>18</v>
      </c>
      <c r="D661" s="10"/>
      <c r="E661" s="9" t="s">
        <v>6096</v>
      </c>
      <c r="F661" s="161">
        <v>31372</v>
      </c>
      <c r="G661" s="151" t="s">
        <v>6506</v>
      </c>
      <c r="H661" s="68" t="s">
        <v>6507</v>
      </c>
      <c r="I661" s="5" t="s">
        <v>1991</v>
      </c>
      <c r="J661" s="150">
        <v>42064</v>
      </c>
      <c r="K661" s="5">
        <v>0</v>
      </c>
      <c r="L661" s="5">
        <v>0</v>
      </c>
      <c r="M661" s="12" t="s">
        <v>1739</v>
      </c>
      <c r="N661" s="150">
        <v>44927</v>
      </c>
      <c r="O661" s="5" t="s">
        <v>982</v>
      </c>
      <c r="P661" s="167" t="s">
        <v>6420</v>
      </c>
      <c r="Q661" s="11" t="s">
        <v>6508</v>
      </c>
      <c r="R661" s="168"/>
      <c r="S661" s="186" t="s">
        <v>6509</v>
      </c>
      <c r="T661" s="166" t="s">
        <v>6510</v>
      </c>
      <c r="U661" s="150">
        <v>55123</v>
      </c>
      <c r="V661" s="11" t="s">
        <v>6383</v>
      </c>
      <c r="W661" s="9" t="s">
        <v>1012</v>
      </c>
      <c r="X661" s="11" t="s">
        <v>6511</v>
      </c>
      <c r="Y661" s="51">
        <v>45588</v>
      </c>
      <c r="Z661" s="154"/>
    </row>
    <row r="662" spans="1:26" ht="39" customHeight="1" x14ac:dyDescent="0.25">
      <c r="A662" s="5">
        <v>30</v>
      </c>
      <c r="B662" s="9" t="s">
        <v>6512</v>
      </c>
      <c r="C662" s="5" t="s">
        <v>46</v>
      </c>
      <c r="D662" s="10"/>
      <c r="E662" s="9" t="s">
        <v>6459</v>
      </c>
      <c r="F662" s="161">
        <v>33500</v>
      </c>
      <c r="G662" s="151" t="s">
        <v>6513</v>
      </c>
      <c r="H662" s="68" t="s">
        <v>6514</v>
      </c>
      <c r="I662" s="5" t="s">
        <v>1717</v>
      </c>
      <c r="J662" s="150">
        <v>45383</v>
      </c>
      <c r="K662" s="5">
        <v>5</v>
      </c>
      <c r="L662" s="5">
        <v>1</v>
      </c>
      <c r="M662" s="12" t="s">
        <v>1739</v>
      </c>
      <c r="N662" s="150">
        <v>44927</v>
      </c>
      <c r="O662" s="5" t="s">
        <v>1028</v>
      </c>
      <c r="P662" s="167" t="s">
        <v>6515</v>
      </c>
      <c r="Q662" s="9" t="s">
        <v>6516</v>
      </c>
      <c r="R662" s="168" t="s">
        <v>6517</v>
      </c>
      <c r="S662" s="79">
        <v>192100517426</v>
      </c>
      <c r="T662" s="166">
        <v>2019099101</v>
      </c>
      <c r="U662" s="150">
        <v>57224</v>
      </c>
      <c r="V662" s="11" t="s">
        <v>6330</v>
      </c>
      <c r="W662" s="9" t="s">
        <v>6518</v>
      </c>
      <c r="X662" s="11" t="s">
        <v>6519</v>
      </c>
      <c r="Y662" s="51">
        <v>45588</v>
      </c>
      <c r="Z662" s="235" t="s">
        <v>1084</v>
      </c>
    </row>
    <row r="663" spans="1:26" ht="39" customHeight="1" x14ac:dyDescent="0.25">
      <c r="A663" s="5">
        <v>31</v>
      </c>
      <c r="B663" s="9" t="s">
        <v>6520</v>
      </c>
      <c r="C663" s="5" t="s">
        <v>18</v>
      </c>
      <c r="D663" s="10"/>
      <c r="E663" s="9" t="s">
        <v>992</v>
      </c>
      <c r="F663" s="161">
        <v>31858</v>
      </c>
      <c r="G663" s="151" t="s">
        <v>6521</v>
      </c>
      <c r="H663" s="68" t="s">
        <v>6522</v>
      </c>
      <c r="I663" s="5" t="s">
        <v>1717</v>
      </c>
      <c r="J663" s="150">
        <v>45383</v>
      </c>
      <c r="K663" s="5">
        <v>9</v>
      </c>
      <c r="L663" s="5">
        <v>1</v>
      </c>
      <c r="M663" s="12" t="s">
        <v>1739</v>
      </c>
      <c r="N663" s="150">
        <v>44927</v>
      </c>
      <c r="O663" s="5" t="s">
        <v>1028</v>
      </c>
      <c r="P663" s="167" t="s">
        <v>6523</v>
      </c>
      <c r="Q663" s="9" t="s">
        <v>6524</v>
      </c>
      <c r="R663" s="168" t="s">
        <v>6525</v>
      </c>
      <c r="S663" s="162" t="s">
        <v>6526</v>
      </c>
      <c r="T663" s="166">
        <v>2028038701</v>
      </c>
      <c r="U663" s="150">
        <v>55610</v>
      </c>
      <c r="V663" s="11" t="s">
        <v>6383</v>
      </c>
      <c r="W663" s="9" t="s">
        <v>1012</v>
      </c>
      <c r="X663" s="9"/>
      <c r="Y663" s="10"/>
      <c r="Z663" s="154" t="s">
        <v>1084</v>
      </c>
    </row>
    <row r="664" spans="1:26" ht="39" customHeight="1" x14ac:dyDescent="0.25">
      <c r="A664" s="5">
        <v>32</v>
      </c>
      <c r="B664" s="9" t="s">
        <v>6527</v>
      </c>
      <c r="C664" s="5" t="s">
        <v>18</v>
      </c>
      <c r="D664" s="10"/>
      <c r="E664" s="9" t="s">
        <v>6528</v>
      </c>
      <c r="F664" s="161">
        <v>30233</v>
      </c>
      <c r="G664" s="151" t="s">
        <v>6529</v>
      </c>
      <c r="H664" s="68" t="s">
        <v>6530</v>
      </c>
      <c r="I664" s="5" t="s">
        <v>1717</v>
      </c>
      <c r="J664" s="150">
        <v>45566</v>
      </c>
      <c r="K664" s="5">
        <v>9</v>
      </c>
      <c r="L664" s="5">
        <v>7</v>
      </c>
      <c r="M664" s="12" t="s">
        <v>1739</v>
      </c>
      <c r="N664" s="150">
        <v>44927</v>
      </c>
      <c r="O664" s="5" t="s">
        <v>1028</v>
      </c>
      <c r="P664" s="167" t="s">
        <v>6531</v>
      </c>
      <c r="Q664" s="9" t="s">
        <v>6532</v>
      </c>
      <c r="R664" s="168" t="s">
        <v>6533</v>
      </c>
      <c r="S664" s="162" t="s">
        <v>6534</v>
      </c>
      <c r="T664" s="166">
        <v>2009108202</v>
      </c>
      <c r="U664" s="150">
        <v>53997</v>
      </c>
      <c r="V664" s="11" t="s">
        <v>6321</v>
      </c>
      <c r="W664" s="9" t="s">
        <v>6535</v>
      </c>
      <c r="X664" s="9" t="s">
        <v>6536</v>
      </c>
      <c r="Y664" s="51">
        <v>45588</v>
      </c>
      <c r="Z664" s="154"/>
    </row>
    <row r="665" spans="1:26" ht="39" customHeight="1" x14ac:dyDescent="0.25">
      <c r="A665" s="5">
        <v>33</v>
      </c>
      <c r="B665" s="9" t="s">
        <v>6537</v>
      </c>
      <c r="C665" s="5" t="s">
        <v>18</v>
      </c>
      <c r="D665" s="10"/>
      <c r="E665" s="9" t="s">
        <v>6538</v>
      </c>
      <c r="F665" s="161">
        <v>33102</v>
      </c>
      <c r="G665" s="151" t="s">
        <v>6539</v>
      </c>
      <c r="H665" s="68" t="s">
        <v>6540</v>
      </c>
      <c r="I665" s="5" t="s">
        <v>1991</v>
      </c>
      <c r="J665" s="150">
        <v>42064</v>
      </c>
      <c r="K665" s="5">
        <v>0</v>
      </c>
      <c r="L665" s="5">
        <v>0</v>
      </c>
      <c r="M665" s="12" t="s">
        <v>1739</v>
      </c>
      <c r="N665" s="150">
        <v>44927</v>
      </c>
      <c r="O665" s="5" t="s">
        <v>982</v>
      </c>
      <c r="P665" s="167" t="s">
        <v>6541</v>
      </c>
      <c r="Q665" s="9" t="s">
        <v>6516</v>
      </c>
      <c r="R665" s="168"/>
      <c r="S665" s="79">
        <v>192100517422</v>
      </c>
      <c r="T665" s="166">
        <v>2017089001</v>
      </c>
      <c r="U665" s="150">
        <v>56858</v>
      </c>
      <c r="V665" s="11" t="s">
        <v>6314</v>
      </c>
      <c r="W665" s="9" t="s">
        <v>6344</v>
      </c>
      <c r="X665" s="9"/>
      <c r="Y665" s="10"/>
      <c r="Z665" s="154" t="s">
        <v>1084</v>
      </c>
    </row>
    <row r="666" spans="1:26" ht="39" customHeight="1" x14ac:dyDescent="0.25">
      <c r="A666" s="5">
        <v>34</v>
      </c>
      <c r="B666" s="9" t="s">
        <v>6542</v>
      </c>
      <c r="C666" s="5" t="s">
        <v>46</v>
      </c>
      <c r="D666" s="10"/>
      <c r="E666" s="9" t="s">
        <v>5577</v>
      </c>
      <c r="F666" s="161">
        <v>31329</v>
      </c>
      <c r="G666" s="151" t="s">
        <v>6543</v>
      </c>
      <c r="H666" s="68" t="s">
        <v>6544</v>
      </c>
      <c r="I666" s="5" t="s">
        <v>1717</v>
      </c>
      <c r="J666" s="150">
        <v>45383</v>
      </c>
      <c r="K666" s="5">
        <v>5</v>
      </c>
      <c r="L666" s="5">
        <v>1</v>
      </c>
      <c r="M666" s="12" t="s">
        <v>1739</v>
      </c>
      <c r="N666" s="150">
        <v>44927</v>
      </c>
      <c r="O666" s="5" t="s">
        <v>982</v>
      </c>
      <c r="P666" s="167" t="s">
        <v>1084</v>
      </c>
      <c r="Q666" s="9" t="s">
        <v>6545</v>
      </c>
      <c r="R666" s="168"/>
      <c r="S666" s="162"/>
      <c r="T666" s="166" t="s">
        <v>6546</v>
      </c>
      <c r="U666" s="150">
        <v>55093</v>
      </c>
      <c r="V666" s="11" t="s">
        <v>6321</v>
      </c>
      <c r="W666" s="9" t="s">
        <v>6547</v>
      </c>
      <c r="X666" s="11"/>
      <c r="Y666" s="51"/>
      <c r="Z666" s="40"/>
    </row>
    <row r="667" spans="1:26" ht="39" customHeight="1" x14ac:dyDescent="0.25">
      <c r="A667" s="5">
        <v>35</v>
      </c>
      <c r="B667" s="40" t="s">
        <v>6548</v>
      </c>
      <c r="C667" s="39" t="s">
        <v>18</v>
      </c>
      <c r="D667" s="10"/>
      <c r="E667" s="40" t="s">
        <v>1902</v>
      </c>
      <c r="F667" s="170">
        <v>32118</v>
      </c>
      <c r="G667" s="156" t="s">
        <v>6549</v>
      </c>
      <c r="H667" s="68" t="s">
        <v>6550</v>
      </c>
      <c r="I667" s="5" t="s">
        <v>1717</v>
      </c>
      <c r="J667" s="161">
        <v>45383</v>
      </c>
      <c r="K667" s="5">
        <v>5</v>
      </c>
      <c r="L667" s="5">
        <v>1</v>
      </c>
      <c r="M667" s="12" t="s">
        <v>1739</v>
      </c>
      <c r="N667" s="150">
        <v>45017</v>
      </c>
      <c r="O667" s="5" t="s">
        <v>1028</v>
      </c>
      <c r="P667" s="167" t="s">
        <v>6180</v>
      </c>
      <c r="Q667" s="160" t="s">
        <v>6551</v>
      </c>
      <c r="R667" s="168" t="s">
        <v>6552</v>
      </c>
      <c r="S667" s="162" t="s">
        <v>6553</v>
      </c>
      <c r="T667" s="183" t="s">
        <v>6554</v>
      </c>
      <c r="U667" s="150">
        <v>55885</v>
      </c>
      <c r="V667" s="11" t="s">
        <v>6555</v>
      </c>
      <c r="W667" s="160" t="s">
        <v>6556</v>
      </c>
      <c r="X667" s="9" t="s">
        <v>6557</v>
      </c>
      <c r="Y667" s="51">
        <v>45588</v>
      </c>
      <c r="Z667" s="154"/>
    </row>
    <row r="668" spans="1:26" ht="39" customHeight="1" x14ac:dyDescent="0.25">
      <c r="A668" s="5">
        <v>36</v>
      </c>
      <c r="B668" s="40" t="s">
        <v>6558</v>
      </c>
      <c r="C668" s="39" t="s">
        <v>18</v>
      </c>
      <c r="D668" s="10"/>
      <c r="E668" s="40" t="s">
        <v>2184</v>
      </c>
      <c r="F668" s="170">
        <v>32157</v>
      </c>
      <c r="G668" s="156" t="s">
        <v>6559</v>
      </c>
      <c r="H668" s="68" t="s">
        <v>6560</v>
      </c>
      <c r="I668" s="5" t="s">
        <v>1717</v>
      </c>
      <c r="J668" s="161">
        <v>45383</v>
      </c>
      <c r="K668" s="5">
        <v>5</v>
      </c>
      <c r="L668" s="5">
        <v>1</v>
      </c>
      <c r="M668" s="12" t="s">
        <v>1739</v>
      </c>
      <c r="N668" s="150">
        <v>45017</v>
      </c>
      <c r="O668" s="5" t="s">
        <v>982</v>
      </c>
      <c r="P668" s="167" t="s">
        <v>6561</v>
      </c>
      <c r="Q668" s="160" t="s">
        <v>6562</v>
      </c>
      <c r="R668" s="168"/>
      <c r="S668" s="162"/>
      <c r="T668" s="171" t="s">
        <v>6563</v>
      </c>
      <c r="U668" s="150">
        <v>55916</v>
      </c>
      <c r="V668" s="11" t="s">
        <v>6555</v>
      </c>
      <c r="W668" s="160" t="s">
        <v>6564</v>
      </c>
      <c r="X668" s="9" t="s">
        <v>6207</v>
      </c>
      <c r="Y668" s="31">
        <v>44203</v>
      </c>
      <c r="Z668" s="40"/>
    </row>
    <row r="669" spans="1:26" ht="39" customHeight="1" x14ac:dyDescent="0.25">
      <c r="A669" s="5">
        <v>37</v>
      </c>
      <c r="B669" s="154" t="s">
        <v>6565</v>
      </c>
      <c r="C669" s="67" t="s">
        <v>18</v>
      </c>
      <c r="D669" s="10"/>
      <c r="E669" s="154" t="s">
        <v>6566</v>
      </c>
      <c r="F669" s="155">
        <v>33018</v>
      </c>
      <c r="G669" s="106" t="s">
        <v>6567</v>
      </c>
      <c r="H669" s="68" t="s">
        <v>6568</v>
      </c>
      <c r="I669" s="5" t="s">
        <v>1717</v>
      </c>
      <c r="J669" s="161">
        <v>45200</v>
      </c>
      <c r="K669" s="5">
        <v>6</v>
      </c>
      <c r="L669" s="5">
        <v>6</v>
      </c>
      <c r="M669" s="12" t="s">
        <v>1739</v>
      </c>
      <c r="N669" s="150">
        <v>44927</v>
      </c>
      <c r="O669" s="5" t="s">
        <v>982</v>
      </c>
      <c r="P669" s="167" t="s">
        <v>6569</v>
      </c>
      <c r="Q669" s="160" t="s">
        <v>6570</v>
      </c>
      <c r="R669" s="168"/>
      <c r="S669" s="162"/>
      <c r="T669" s="171" t="s">
        <v>6571</v>
      </c>
      <c r="U669" s="150">
        <v>56766</v>
      </c>
      <c r="V669" s="11" t="s">
        <v>6572</v>
      </c>
      <c r="W669" s="160" t="s">
        <v>6344</v>
      </c>
      <c r="X669" s="9" t="s">
        <v>6573</v>
      </c>
      <c r="Y669" s="31">
        <v>45588</v>
      </c>
      <c r="Z669" s="40"/>
    </row>
    <row r="670" spans="1:26" ht="39" customHeight="1" x14ac:dyDescent="0.25">
      <c r="A670" s="5">
        <v>38</v>
      </c>
      <c r="B670" s="154" t="s">
        <v>6574</v>
      </c>
      <c r="C670" s="67" t="s">
        <v>18</v>
      </c>
      <c r="D670" s="10"/>
      <c r="E670" s="154" t="s">
        <v>1942</v>
      </c>
      <c r="F670" s="155">
        <v>33199</v>
      </c>
      <c r="G670" s="106" t="s">
        <v>6575</v>
      </c>
      <c r="H670" s="68" t="s">
        <v>6576</v>
      </c>
      <c r="I670" s="5" t="s">
        <v>1717</v>
      </c>
      <c r="J670" s="161">
        <v>45383</v>
      </c>
      <c r="K670" s="5">
        <v>5</v>
      </c>
      <c r="L670" s="5">
        <v>1</v>
      </c>
      <c r="M670" s="12" t="s">
        <v>1739</v>
      </c>
      <c r="N670" s="150">
        <v>44927</v>
      </c>
      <c r="O670" s="5" t="s">
        <v>982</v>
      </c>
      <c r="P670" s="167" t="s">
        <v>6577</v>
      </c>
      <c r="Q670" s="160" t="s">
        <v>6578</v>
      </c>
      <c r="R670" s="168"/>
      <c r="S670" s="162"/>
      <c r="T670" s="171" t="s">
        <v>6579</v>
      </c>
      <c r="U670" s="150">
        <v>56949</v>
      </c>
      <c r="V670" s="11" t="s">
        <v>6572</v>
      </c>
      <c r="W670" s="160" t="s">
        <v>2353</v>
      </c>
      <c r="X670" s="9"/>
      <c r="Y670" s="10"/>
      <c r="Z670" s="40"/>
    </row>
    <row r="671" spans="1:26" ht="39" customHeight="1" x14ac:dyDescent="0.25">
      <c r="A671" s="5">
        <v>39</v>
      </c>
      <c r="B671" s="154" t="s">
        <v>6580</v>
      </c>
      <c r="C671" s="67" t="s">
        <v>46</v>
      </c>
      <c r="D671" s="10"/>
      <c r="E671" s="154" t="s">
        <v>2486</v>
      </c>
      <c r="F671" s="155">
        <v>33435</v>
      </c>
      <c r="G671" s="106" t="s">
        <v>6581</v>
      </c>
      <c r="H671" s="68" t="s">
        <v>6582</v>
      </c>
      <c r="I671" s="5" t="s">
        <v>1717</v>
      </c>
      <c r="J671" s="161">
        <v>45383</v>
      </c>
      <c r="K671" s="5">
        <v>5</v>
      </c>
      <c r="L671" s="5">
        <v>1</v>
      </c>
      <c r="M671" s="12" t="s">
        <v>1739</v>
      </c>
      <c r="N671" s="150">
        <v>45170</v>
      </c>
      <c r="O671" s="5" t="s">
        <v>982</v>
      </c>
      <c r="P671" s="167" t="s">
        <v>2593</v>
      </c>
      <c r="Q671" s="160" t="s">
        <v>6583</v>
      </c>
      <c r="R671" s="168"/>
      <c r="S671" s="162"/>
      <c r="T671" s="183">
        <v>2116079102</v>
      </c>
      <c r="U671" s="150">
        <v>57193</v>
      </c>
      <c r="V671" s="11" t="s">
        <v>6572</v>
      </c>
      <c r="W671" s="160" t="s">
        <v>6584</v>
      </c>
      <c r="X671" s="9" t="s">
        <v>6585</v>
      </c>
      <c r="Y671" s="51">
        <v>45588</v>
      </c>
      <c r="Z671" s="154"/>
    </row>
    <row r="672" spans="1:26" ht="39" customHeight="1" x14ac:dyDescent="0.25">
      <c r="A672" s="5">
        <v>40</v>
      </c>
      <c r="B672" s="154" t="s">
        <v>6586</v>
      </c>
      <c r="C672" s="67" t="s">
        <v>46</v>
      </c>
      <c r="D672" s="10"/>
      <c r="E672" s="154" t="s">
        <v>2608</v>
      </c>
      <c r="F672" s="155">
        <v>33761</v>
      </c>
      <c r="G672" s="106" t="s">
        <v>6587</v>
      </c>
      <c r="H672" s="68" t="s">
        <v>6588</v>
      </c>
      <c r="I672" s="5" t="s">
        <v>1991</v>
      </c>
      <c r="J672" s="161">
        <v>43525</v>
      </c>
      <c r="K672" s="5">
        <v>0</v>
      </c>
      <c r="L672" s="5">
        <v>0</v>
      </c>
      <c r="M672" s="12" t="s">
        <v>1739</v>
      </c>
      <c r="N672" s="150">
        <v>44927</v>
      </c>
      <c r="O672" s="5" t="s">
        <v>982</v>
      </c>
      <c r="P672" s="167" t="s">
        <v>2584</v>
      </c>
      <c r="Q672" s="160" t="s">
        <v>6589</v>
      </c>
      <c r="R672" s="168"/>
      <c r="S672" s="162"/>
      <c r="T672" s="171" t="s">
        <v>6590</v>
      </c>
      <c r="U672" s="150">
        <v>57527</v>
      </c>
      <c r="V672" s="11" t="s">
        <v>6488</v>
      </c>
      <c r="W672" s="160" t="s">
        <v>6344</v>
      </c>
      <c r="X672" s="9"/>
      <c r="Y672" s="10"/>
      <c r="Z672" s="40" t="s">
        <v>1084</v>
      </c>
    </row>
    <row r="673" spans="1:26" ht="39" customHeight="1" x14ac:dyDescent="0.25">
      <c r="A673" s="5">
        <v>41</v>
      </c>
      <c r="B673" s="154" t="s">
        <v>6591</v>
      </c>
      <c r="C673" s="67" t="s">
        <v>46</v>
      </c>
      <c r="D673" s="10"/>
      <c r="E673" s="154" t="s">
        <v>2486</v>
      </c>
      <c r="F673" s="155">
        <v>31879</v>
      </c>
      <c r="G673" s="106" t="s">
        <v>6592</v>
      </c>
      <c r="H673" s="68" t="s">
        <v>6593</v>
      </c>
      <c r="I673" s="5" t="s">
        <v>1717</v>
      </c>
      <c r="J673" s="161">
        <v>45383</v>
      </c>
      <c r="K673" s="5">
        <v>14</v>
      </c>
      <c r="L673" s="5">
        <v>11</v>
      </c>
      <c r="M673" s="12" t="s">
        <v>1739</v>
      </c>
      <c r="N673" s="150">
        <v>45078</v>
      </c>
      <c r="O673" s="5" t="s">
        <v>982</v>
      </c>
      <c r="P673" s="167" t="s">
        <v>4427</v>
      </c>
      <c r="Q673" s="160" t="s">
        <v>6594</v>
      </c>
      <c r="R673" s="168"/>
      <c r="S673" s="162"/>
      <c r="T673" s="171" t="s">
        <v>6595</v>
      </c>
      <c r="U673" s="150">
        <v>55640</v>
      </c>
      <c r="V673" s="11" t="s">
        <v>6555</v>
      </c>
      <c r="W673" s="160" t="s">
        <v>6596</v>
      </c>
      <c r="X673" s="11" t="s">
        <v>6597</v>
      </c>
      <c r="Y673" s="51">
        <v>45632</v>
      </c>
      <c r="Z673" s="154"/>
    </row>
    <row r="674" spans="1:26" ht="39" customHeight="1" x14ac:dyDescent="0.25">
      <c r="A674" s="5">
        <v>42</v>
      </c>
      <c r="B674" s="154" t="s">
        <v>6598</v>
      </c>
      <c r="C674" s="67" t="s">
        <v>18</v>
      </c>
      <c r="D674" s="10"/>
      <c r="E674" s="154" t="s">
        <v>2625</v>
      </c>
      <c r="F674" s="155">
        <v>32481</v>
      </c>
      <c r="G674" s="106" t="s">
        <v>6599</v>
      </c>
      <c r="H674" s="68" t="s">
        <v>6600</v>
      </c>
      <c r="I674" s="5" t="s">
        <v>1717</v>
      </c>
      <c r="J674" s="161">
        <v>45383</v>
      </c>
      <c r="K674" s="5">
        <v>5</v>
      </c>
      <c r="L674" s="5">
        <v>1</v>
      </c>
      <c r="M674" s="12" t="s">
        <v>1739</v>
      </c>
      <c r="N674" s="150">
        <v>45017</v>
      </c>
      <c r="O674" s="5" t="s">
        <v>982</v>
      </c>
      <c r="P674" s="167" t="s">
        <v>6601</v>
      </c>
      <c r="Q674" s="160" t="s">
        <v>6602</v>
      </c>
      <c r="R674" s="168"/>
      <c r="S674" s="162"/>
      <c r="T674" s="171" t="s">
        <v>6603</v>
      </c>
      <c r="U674" s="150">
        <v>56250</v>
      </c>
      <c r="V674" s="11" t="s">
        <v>6555</v>
      </c>
      <c r="W674" s="160" t="s">
        <v>6604</v>
      </c>
      <c r="X674" s="9" t="s">
        <v>6605</v>
      </c>
      <c r="Y674" s="51">
        <v>45588</v>
      </c>
      <c r="Z674" s="154"/>
    </row>
    <row r="675" spans="1:26" ht="39" customHeight="1" x14ac:dyDescent="0.25">
      <c r="A675" s="5">
        <v>43</v>
      </c>
      <c r="B675" s="154" t="s">
        <v>6606</v>
      </c>
      <c r="C675" s="67" t="s">
        <v>46</v>
      </c>
      <c r="D675" s="160"/>
      <c r="E675" s="154" t="s">
        <v>4953</v>
      </c>
      <c r="F675" s="155">
        <v>33545</v>
      </c>
      <c r="G675" s="106" t="s">
        <v>6607</v>
      </c>
      <c r="H675" s="68" t="s">
        <v>6608</v>
      </c>
      <c r="I675" s="5" t="s">
        <v>1717</v>
      </c>
      <c r="J675" s="161">
        <v>45383</v>
      </c>
      <c r="K675" s="5">
        <v>5</v>
      </c>
      <c r="L675" s="5">
        <v>1</v>
      </c>
      <c r="M675" s="12" t="s">
        <v>1739</v>
      </c>
      <c r="N675" s="150">
        <v>44927</v>
      </c>
      <c r="O675" s="5" t="s">
        <v>982</v>
      </c>
      <c r="P675" s="160" t="s">
        <v>2584</v>
      </c>
      <c r="Q675" s="160" t="s">
        <v>6609</v>
      </c>
      <c r="R675" s="12"/>
      <c r="S675" s="162"/>
      <c r="T675" s="171" t="s">
        <v>6610</v>
      </c>
      <c r="U675" s="155">
        <v>57315</v>
      </c>
      <c r="V675" s="11" t="s">
        <v>6572</v>
      </c>
      <c r="W675" s="160" t="s">
        <v>6344</v>
      </c>
      <c r="X675" s="9"/>
      <c r="Y675" s="10"/>
      <c r="Z675" s="40"/>
    </row>
    <row r="676" spans="1:26" ht="39" customHeight="1" x14ac:dyDescent="0.25">
      <c r="A676" s="5">
        <v>44</v>
      </c>
      <c r="B676" s="12" t="s">
        <v>6611</v>
      </c>
      <c r="C676" s="5" t="s">
        <v>18</v>
      </c>
      <c r="D676" s="12"/>
      <c r="E676" s="12" t="s">
        <v>1638</v>
      </c>
      <c r="F676" s="150">
        <v>33018</v>
      </c>
      <c r="G676" s="5" t="s">
        <v>6612</v>
      </c>
      <c r="H676" s="169" t="s">
        <v>6613</v>
      </c>
      <c r="I676" s="5" t="s">
        <v>1717</v>
      </c>
      <c r="J676" s="163">
        <v>45566</v>
      </c>
      <c r="K676" s="5">
        <v>3</v>
      </c>
      <c r="L676" s="5">
        <v>10</v>
      </c>
      <c r="M676" s="12" t="s">
        <v>1739</v>
      </c>
      <c r="N676" s="150">
        <v>44927</v>
      </c>
      <c r="O676" s="5" t="s">
        <v>982</v>
      </c>
      <c r="P676" s="12"/>
      <c r="Q676" s="11" t="s">
        <v>6589</v>
      </c>
      <c r="R676" s="12"/>
      <c r="S676" s="12"/>
      <c r="T676" s="5">
        <v>2025059002</v>
      </c>
      <c r="U676" s="51">
        <v>56766</v>
      </c>
      <c r="V676" s="11" t="s">
        <v>6321</v>
      </c>
      <c r="W676" s="12" t="s">
        <v>1022</v>
      </c>
      <c r="X676" s="12"/>
      <c r="Y676" s="12"/>
      <c r="Z676" s="154"/>
    </row>
    <row r="677" spans="1:26" ht="39" customHeight="1" x14ac:dyDescent="0.25">
      <c r="A677" s="5">
        <v>45</v>
      </c>
      <c r="B677" s="9" t="s">
        <v>6614</v>
      </c>
      <c r="C677" s="5" t="s">
        <v>46</v>
      </c>
      <c r="D677" s="10"/>
      <c r="E677" s="9" t="s">
        <v>6407</v>
      </c>
      <c r="F677" s="161">
        <v>30475</v>
      </c>
      <c r="G677" s="151" t="s">
        <v>6615</v>
      </c>
      <c r="H677" s="68" t="s">
        <v>6616</v>
      </c>
      <c r="I677" s="5" t="s">
        <v>1991</v>
      </c>
      <c r="J677" s="150">
        <v>42064</v>
      </c>
      <c r="K677" s="5">
        <v>0</v>
      </c>
      <c r="L677" s="5">
        <v>0</v>
      </c>
      <c r="M677" s="12" t="s">
        <v>1121</v>
      </c>
      <c r="N677" s="150">
        <v>43009</v>
      </c>
      <c r="O677" s="5" t="s">
        <v>982</v>
      </c>
      <c r="P677" s="167" t="s">
        <v>6617</v>
      </c>
      <c r="Q677" s="9" t="s">
        <v>6618</v>
      </c>
      <c r="R677" s="168"/>
      <c r="S677" s="162" t="s">
        <v>6619</v>
      </c>
      <c r="T677" s="166" t="s">
        <v>6620</v>
      </c>
      <c r="U677" s="150">
        <v>54240</v>
      </c>
      <c r="V677" s="11" t="s">
        <v>6321</v>
      </c>
      <c r="W677" s="9" t="s">
        <v>6621</v>
      </c>
      <c r="X677" s="9"/>
      <c r="Y677" s="10"/>
      <c r="Z677" s="154" t="s">
        <v>1084</v>
      </c>
    </row>
    <row r="678" spans="1:26" ht="39" customHeight="1" x14ac:dyDescent="0.25">
      <c r="A678" s="5">
        <v>46</v>
      </c>
      <c r="B678" s="154" t="s">
        <v>6622</v>
      </c>
      <c r="C678" s="67" t="s">
        <v>46</v>
      </c>
      <c r="D678" s="10"/>
      <c r="E678" s="154" t="s">
        <v>6623</v>
      </c>
      <c r="F678" s="155" t="s">
        <v>6624</v>
      </c>
      <c r="G678" s="106" t="s">
        <v>6625</v>
      </c>
      <c r="H678" s="68" t="s">
        <v>6626</v>
      </c>
      <c r="I678" s="5" t="s">
        <v>1991</v>
      </c>
      <c r="J678" s="161">
        <v>43525</v>
      </c>
      <c r="K678" s="5">
        <v>0</v>
      </c>
      <c r="L678" s="5">
        <v>0</v>
      </c>
      <c r="M678" s="12" t="s">
        <v>1121</v>
      </c>
      <c r="N678" s="150">
        <v>44621</v>
      </c>
      <c r="O678" s="5" t="s">
        <v>982</v>
      </c>
      <c r="P678" s="167" t="s">
        <v>6627</v>
      </c>
      <c r="Q678" s="160" t="s">
        <v>6609</v>
      </c>
      <c r="R678" s="168"/>
      <c r="S678" s="162"/>
      <c r="T678" s="171" t="s">
        <v>6628</v>
      </c>
      <c r="U678" s="150">
        <v>57466</v>
      </c>
      <c r="V678" s="11" t="s">
        <v>6555</v>
      </c>
      <c r="W678" s="160" t="s">
        <v>6629</v>
      </c>
      <c r="X678" s="9" t="s">
        <v>6207</v>
      </c>
      <c r="Y678" s="31">
        <v>44350</v>
      </c>
      <c r="Z678" s="40"/>
    </row>
    <row r="679" spans="1:26" ht="39" customHeight="1" x14ac:dyDescent="0.25">
      <c r="A679" s="5">
        <v>47</v>
      </c>
      <c r="B679" s="40" t="s">
        <v>6630</v>
      </c>
      <c r="C679" s="39" t="s">
        <v>18</v>
      </c>
      <c r="D679" s="10"/>
      <c r="E679" s="40" t="s">
        <v>1489</v>
      </c>
      <c r="F679" s="170">
        <v>33392</v>
      </c>
      <c r="G679" s="156" t="s">
        <v>6631</v>
      </c>
      <c r="H679" s="68" t="s">
        <v>6632</v>
      </c>
      <c r="I679" s="5" t="s">
        <v>1991</v>
      </c>
      <c r="J679" s="161">
        <v>43525</v>
      </c>
      <c r="K679" s="5">
        <v>0</v>
      </c>
      <c r="L679" s="5">
        <v>0</v>
      </c>
      <c r="M679" s="12" t="s">
        <v>1121</v>
      </c>
      <c r="N679" s="161">
        <v>44774</v>
      </c>
      <c r="O679" s="5" t="s">
        <v>982</v>
      </c>
      <c r="P679" s="167" t="s">
        <v>2593</v>
      </c>
      <c r="Q679" s="160" t="s">
        <v>6633</v>
      </c>
      <c r="R679" s="168"/>
      <c r="S679" s="162"/>
      <c r="T679" s="171" t="s">
        <v>6634</v>
      </c>
      <c r="U679" s="150">
        <v>57162</v>
      </c>
      <c r="V679" s="11" t="s">
        <v>6488</v>
      </c>
      <c r="W679" s="160" t="s">
        <v>6635</v>
      </c>
      <c r="X679" s="9"/>
      <c r="Y679" s="10"/>
      <c r="Z679" s="40"/>
    </row>
    <row r="680" spans="1:26" ht="39" customHeight="1" x14ac:dyDescent="0.25">
      <c r="A680" s="173" t="s">
        <v>6636</v>
      </c>
      <c r="B680" s="173"/>
      <c r="C680" s="174"/>
      <c r="D680" s="174"/>
      <c r="E680" s="174"/>
      <c r="F680" s="174"/>
      <c r="G680" s="175"/>
      <c r="H680" s="12"/>
      <c r="I680" s="174"/>
      <c r="J680" s="177"/>
      <c r="K680" s="174"/>
      <c r="L680" s="174"/>
      <c r="M680" s="174"/>
      <c r="N680" s="177"/>
      <c r="O680" s="174"/>
      <c r="P680" s="63"/>
      <c r="Q680" s="63"/>
      <c r="R680" s="178"/>
      <c r="S680" s="179"/>
      <c r="T680" s="174"/>
      <c r="U680" s="174"/>
      <c r="V680" s="162"/>
      <c r="W680" s="179"/>
      <c r="X680" s="12"/>
      <c r="Y680" s="12"/>
      <c r="Z680" s="154"/>
    </row>
    <row r="681" spans="1:26" ht="39" customHeight="1" x14ac:dyDescent="0.25">
      <c r="A681" s="5">
        <v>1</v>
      </c>
      <c r="B681" s="12" t="s">
        <v>6637</v>
      </c>
      <c r="C681" s="5" t="s">
        <v>18</v>
      </c>
      <c r="D681" s="5"/>
      <c r="E681" s="12" t="s">
        <v>2055</v>
      </c>
      <c r="F681" s="150">
        <v>20741</v>
      </c>
      <c r="G681" s="8" t="s">
        <v>6638</v>
      </c>
      <c r="H681" s="68" t="s">
        <v>6639</v>
      </c>
      <c r="I681" s="5" t="s">
        <v>1423</v>
      </c>
      <c r="J681" s="161">
        <v>39539</v>
      </c>
      <c r="K681" s="10"/>
      <c r="L681" s="10"/>
      <c r="M681" s="12" t="s">
        <v>1424</v>
      </c>
      <c r="N681" s="161">
        <v>36892</v>
      </c>
      <c r="O681" s="5" t="s">
        <v>1028</v>
      </c>
      <c r="P681" s="157" t="s">
        <v>6640</v>
      </c>
      <c r="Q681" s="157" t="s">
        <v>6641</v>
      </c>
      <c r="R681" s="9" t="s">
        <v>6642</v>
      </c>
      <c r="S681" s="237" t="s">
        <v>6643</v>
      </c>
      <c r="T681" s="20">
        <v>2013105601</v>
      </c>
      <c r="U681" s="161">
        <v>46327</v>
      </c>
      <c r="V681" s="11" t="s">
        <v>6644</v>
      </c>
      <c r="W681" s="11" t="s">
        <v>1516</v>
      </c>
      <c r="X681" s="11"/>
      <c r="Y681" s="10"/>
      <c r="Z681" s="154"/>
    </row>
    <row r="682" spans="1:26" ht="39" customHeight="1" x14ac:dyDescent="0.25">
      <c r="A682" s="5">
        <v>2</v>
      </c>
      <c r="B682" s="9" t="s">
        <v>6645</v>
      </c>
      <c r="C682" s="5" t="s">
        <v>18</v>
      </c>
      <c r="D682" s="5" t="s">
        <v>6646</v>
      </c>
      <c r="E682" s="11" t="s">
        <v>6647</v>
      </c>
      <c r="F682" s="150">
        <v>23658</v>
      </c>
      <c r="G682" s="151" t="s">
        <v>6648</v>
      </c>
      <c r="H682" s="68" t="s">
        <v>6649</v>
      </c>
      <c r="I682" s="10" t="s">
        <v>1423</v>
      </c>
      <c r="J682" s="150">
        <v>41913</v>
      </c>
      <c r="K682" s="5">
        <v>23</v>
      </c>
      <c r="L682" s="5">
        <v>7</v>
      </c>
      <c r="M682" s="12" t="s">
        <v>1424</v>
      </c>
      <c r="N682" s="150">
        <v>38200</v>
      </c>
      <c r="O682" s="5" t="s">
        <v>1028</v>
      </c>
      <c r="P682" s="157" t="s">
        <v>6650</v>
      </c>
      <c r="Q682" s="157" t="s">
        <v>6651</v>
      </c>
      <c r="R682" s="152" t="s">
        <v>6652</v>
      </c>
      <c r="S682" s="238" t="s">
        <v>6653</v>
      </c>
      <c r="T682" s="20">
        <v>2008106401</v>
      </c>
      <c r="U682" s="161">
        <v>49249</v>
      </c>
      <c r="V682" s="11" t="s">
        <v>6644</v>
      </c>
      <c r="W682" s="11" t="s">
        <v>6654</v>
      </c>
      <c r="X682" s="11"/>
      <c r="Y682" s="10"/>
      <c r="Z682" s="40"/>
    </row>
    <row r="683" spans="1:26" ht="39" customHeight="1" x14ac:dyDescent="0.25">
      <c r="A683" s="5">
        <v>3</v>
      </c>
      <c r="B683" s="14" t="s">
        <v>6655</v>
      </c>
      <c r="C683" s="5" t="s">
        <v>18</v>
      </c>
      <c r="D683" s="10" t="s">
        <v>6656</v>
      </c>
      <c r="E683" s="14" t="s">
        <v>6657</v>
      </c>
      <c r="F683" s="150">
        <v>20210</v>
      </c>
      <c r="G683" s="151" t="s">
        <v>6658</v>
      </c>
      <c r="H683" s="68" t="s">
        <v>6659</v>
      </c>
      <c r="I683" s="5" t="s">
        <v>1423</v>
      </c>
      <c r="J683" s="150">
        <v>43922</v>
      </c>
      <c r="K683" s="5">
        <v>35</v>
      </c>
      <c r="L683" s="5">
        <v>0</v>
      </c>
      <c r="M683" s="12" t="s">
        <v>1424</v>
      </c>
      <c r="N683" s="150">
        <v>39692</v>
      </c>
      <c r="O683" s="5" t="s">
        <v>1028</v>
      </c>
      <c r="P683" s="11" t="s">
        <v>6660</v>
      </c>
      <c r="Q683" s="11" t="s">
        <v>6661</v>
      </c>
      <c r="R683" s="9" t="s">
        <v>4545</v>
      </c>
      <c r="S683" s="165" t="s">
        <v>6662</v>
      </c>
      <c r="T683" s="20">
        <v>2001055502</v>
      </c>
      <c r="U683" s="150">
        <v>45809</v>
      </c>
      <c r="V683" s="14" t="s">
        <v>1034</v>
      </c>
      <c r="W683" s="14" t="s">
        <v>1766</v>
      </c>
      <c r="X683" s="11"/>
      <c r="Y683" s="5"/>
      <c r="Z683" s="154"/>
    </row>
    <row r="684" spans="1:26" ht="39" customHeight="1" x14ac:dyDescent="0.25">
      <c r="A684" s="5">
        <v>4</v>
      </c>
      <c r="B684" s="9" t="s">
        <v>6663</v>
      </c>
      <c r="C684" s="5" t="s">
        <v>18</v>
      </c>
      <c r="D684" s="5" t="s">
        <v>6664</v>
      </c>
      <c r="E684" s="11" t="s">
        <v>6665</v>
      </c>
      <c r="F684" s="150">
        <v>26274</v>
      </c>
      <c r="G684" s="151" t="s">
        <v>6666</v>
      </c>
      <c r="H684" s="68" t="s">
        <v>6667</v>
      </c>
      <c r="I684" s="10" t="s">
        <v>1423</v>
      </c>
      <c r="J684" s="150">
        <v>45444</v>
      </c>
      <c r="K684" s="5">
        <v>29</v>
      </c>
      <c r="L684" s="5">
        <v>3</v>
      </c>
      <c r="M684" s="12" t="s">
        <v>1424</v>
      </c>
      <c r="N684" s="150">
        <v>41699</v>
      </c>
      <c r="O684" s="5" t="s">
        <v>1028</v>
      </c>
      <c r="P684" s="157" t="s">
        <v>6668</v>
      </c>
      <c r="Q684" s="157" t="s">
        <v>6669</v>
      </c>
      <c r="R684" s="152" t="s">
        <v>6670</v>
      </c>
      <c r="S684" s="162">
        <v>102100504717</v>
      </c>
      <c r="T684" s="166">
        <v>2007127103</v>
      </c>
      <c r="U684" s="161">
        <v>51502</v>
      </c>
      <c r="V684" s="11" t="s">
        <v>6644</v>
      </c>
      <c r="W684" s="11" t="s">
        <v>6671</v>
      </c>
      <c r="X684" s="9" t="s">
        <v>6672</v>
      </c>
      <c r="Y684" s="51">
        <v>45513</v>
      </c>
      <c r="Z684" s="154"/>
    </row>
    <row r="685" spans="1:26" ht="39" customHeight="1" x14ac:dyDescent="0.25">
      <c r="A685" s="5">
        <v>5</v>
      </c>
      <c r="B685" s="14" t="s">
        <v>6673</v>
      </c>
      <c r="C685" s="5" t="s">
        <v>18</v>
      </c>
      <c r="D685" s="5" t="s">
        <v>6674</v>
      </c>
      <c r="E685" s="14" t="s">
        <v>6675</v>
      </c>
      <c r="F685" s="161">
        <v>25851</v>
      </c>
      <c r="G685" s="151" t="s">
        <v>6676</v>
      </c>
      <c r="H685" s="68" t="s">
        <v>6677</v>
      </c>
      <c r="I685" s="5" t="s">
        <v>1469</v>
      </c>
      <c r="J685" s="150">
        <v>42461</v>
      </c>
      <c r="K685" s="5">
        <v>17</v>
      </c>
      <c r="L685" s="5">
        <v>1</v>
      </c>
      <c r="M685" s="12" t="s">
        <v>1424</v>
      </c>
      <c r="N685" s="150">
        <v>44743</v>
      </c>
      <c r="O685" s="5" t="s">
        <v>1028</v>
      </c>
      <c r="P685" s="157" t="s">
        <v>6678</v>
      </c>
      <c r="Q685" s="157" t="s">
        <v>5890</v>
      </c>
      <c r="R685" s="152" t="s">
        <v>2946</v>
      </c>
      <c r="S685" s="14" t="s">
        <v>6679</v>
      </c>
      <c r="T685" s="20">
        <v>2010107002</v>
      </c>
      <c r="U685" s="150">
        <v>51441</v>
      </c>
      <c r="V685" s="11" t="s">
        <v>6644</v>
      </c>
      <c r="W685" s="14" t="s">
        <v>1088</v>
      </c>
      <c r="X685" s="11"/>
      <c r="Y685" s="51"/>
      <c r="Z685" s="239" t="s">
        <v>6680</v>
      </c>
    </row>
    <row r="686" spans="1:26" ht="39" customHeight="1" x14ac:dyDescent="0.25">
      <c r="A686" s="5">
        <v>6</v>
      </c>
      <c r="B686" s="14" t="s">
        <v>6681</v>
      </c>
      <c r="C686" s="5" t="s">
        <v>18</v>
      </c>
      <c r="D686" s="5" t="s">
        <v>6682</v>
      </c>
      <c r="E686" s="14" t="s">
        <v>2709</v>
      </c>
      <c r="F686" s="161">
        <v>25716</v>
      </c>
      <c r="G686" s="151" t="s">
        <v>6683</v>
      </c>
      <c r="H686" s="68" t="s">
        <v>6684</v>
      </c>
      <c r="I686" s="5" t="s">
        <v>1469</v>
      </c>
      <c r="J686" s="150">
        <v>45505</v>
      </c>
      <c r="K686" s="5">
        <v>30</v>
      </c>
      <c r="L686" s="5">
        <v>5</v>
      </c>
      <c r="M686" s="12" t="s">
        <v>1424</v>
      </c>
      <c r="N686" s="150">
        <v>45200</v>
      </c>
      <c r="O686" s="5" t="s">
        <v>1028</v>
      </c>
      <c r="P686" s="157" t="s">
        <v>6685</v>
      </c>
      <c r="Q686" s="157" t="s">
        <v>6686</v>
      </c>
      <c r="R686" s="9" t="s">
        <v>6687</v>
      </c>
      <c r="S686" s="14" t="s">
        <v>6688</v>
      </c>
      <c r="T686" s="20">
        <v>2025057001</v>
      </c>
      <c r="U686" s="150">
        <v>49461</v>
      </c>
      <c r="V686" s="11" t="s">
        <v>6644</v>
      </c>
      <c r="W686" s="14" t="s">
        <v>6689</v>
      </c>
      <c r="X686" s="9"/>
      <c r="Y686" s="5"/>
      <c r="Z686" s="240"/>
    </row>
    <row r="687" spans="1:26" ht="39" customHeight="1" x14ac:dyDescent="0.25">
      <c r="A687" s="5">
        <v>7</v>
      </c>
      <c r="B687" s="12" t="s">
        <v>6690</v>
      </c>
      <c r="C687" s="5" t="s">
        <v>18</v>
      </c>
      <c r="D687" s="5" t="s">
        <v>6691</v>
      </c>
      <c r="E687" s="14" t="s">
        <v>6692</v>
      </c>
      <c r="F687" s="150" t="s">
        <v>6693</v>
      </c>
      <c r="G687" s="151" t="s">
        <v>6694</v>
      </c>
      <c r="H687" s="68" t="s">
        <v>6695</v>
      </c>
      <c r="I687" s="5" t="s">
        <v>1738</v>
      </c>
      <c r="J687" s="150">
        <v>42461</v>
      </c>
      <c r="K687" s="5">
        <v>16</v>
      </c>
      <c r="L687" s="5">
        <v>1</v>
      </c>
      <c r="M687" s="12" t="s">
        <v>1424</v>
      </c>
      <c r="N687" s="150">
        <v>45170</v>
      </c>
      <c r="O687" s="5" t="s">
        <v>1028</v>
      </c>
      <c r="P687" s="47" t="s">
        <v>6696</v>
      </c>
      <c r="Q687" s="47" t="s">
        <v>6697</v>
      </c>
      <c r="R687" s="11" t="s">
        <v>6698</v>
      </c>
      <c r="S687" s="162">
        <v>142100512840</v>
      </c>
      <c r="T687" s="20">
        <v>2008126803</v>
      </c>
      <c r="U687" s="150">
        <v>50406</v>
      </c>
      <c r="V687" s="14" t="s">
        <v>1034</v>
      </c>
      <c r="W687" s="14" t="s">
        <v>2701</v>
      </c>
      <c r="X687" s="11"/>
      <c r="Y687" s="5"/>
      <c r="Z687" s="154"/>
    </row>
    <row r="688" spans="1:26" ht="39" customHeight="1" x14ac:dyDescent="0.25">
      <c r="A688" s="5">
        <v>8</v>
      </c>
      <c r="B688" s="12" t="s">
        <v>6699</v>
      </c>
      <c r="C688" s="5" t="s">
        <v>18</v>
      </c>
      <c r="D688" s="5" t="s">
        <v>6700</v>
      </c>
      <c r="E688" s="14" t="s">
        <v>1479</v>
      </c>
      <c r="F688" s="161">
        <v>25865</v>
      </c>
      <c r="G688" s="151" t="s">
        <v>6701</v>
      </c>
      <c r="H688" s="68" t="s">
        <v>6702</v>
      </c>
      <c r="I688" s="5" t="s">
        <v>1738</v>
      </c>
      <c r="J688" s="150">
        <v>40817</v>
      </c>
      <c r="K688" s="5">
        <v>9</v>
      </c>
      <c r="L688" s="5">
        <v>10</v>
      </c>
      <c r="M688" s="12" t="s">
        <v>1424</v>
      </c>
      <c r="N688" s="150">
        <v>44986</v>
      </c>
      <c r="O688" s="5" t="s">
        <v>1028</v>
      </c>
      <c r="P688" s="157" t="s">
        <v>6703</v>
      </c>
      <c r="Q688" s="157" t="s">
        <v>6704</v>
      </c>
      <c r="R688" s="9" t="s">
        <v>6705</v>
      </c>
      <c r="S688" s="14" t="s">
        <v>6706</v>
      </c>
      <c r="T688" s="20">
        <v>2024107001</v>
      </c>
      <c r="U688" s="150">
        <v>49614</v>
      </c>
      <c r="V688" s="11" t="s">
        <v>6644</v>
      </c>
      <c r="W688" s="14" t="s">
        <v>6707</v>
      </c>
      <c r="X688" s="11" t="s">
        <v>1084</v>
      </c>
      <c r="Y688" s="51" t="s">
        <v>1084</v>
      </c>
      <c r="Z688" s="154"/>
    </row>
    <row r="689" spans="1:26" ht="39" customHeight="1" x14ac:dyDescent="0.25">
      <c r="A689" s="5">
        <v>9</v>
      </c>
      <c r="B689" s="40" t="s">
        <v>6708</v>
      </c>
      <c r="C689" s="39" t="s">
        <v>46</v>
      </c>
      <c r="D689" s="160"/>
      <c r="E689" s="40" t="s">
        <v>1714</v>
      </c>
      <c r="F689" s="170">
        <v>30714</v>
      </c>
      <c r="G689" s="106" t="s">
        <v>6709</v>
      </c>
      <c r="H689" s="68" t="s">
        <v>6710</v>
      </c>
      <c r="I689" s="5" t="s">
        <v>1738</v>
      </c>
      <c r="J689" s="161">
        <v>45383</v>
      </c>
      <c r="K689" s="5">
        <v>5</v>
      </c>
      <c r="L689" s="5">
        <v>1</v>
      </c>
      <c r="M689" s="12" t="s">
        <v>1739</v>
      </c>
      <c r="N689" s="161">
        <v>44075</v>
      </c>
      <c r="O689" s="5" t="s">
        <v>1028</v>
      </c>
      <c r="P689" s="160" t="s">
        <v>6711</v>
      </c>
      <c r="Q689" s="12" t="s">
        <v>6712</v>
      </c>
      <c r="R689" s="160" t="s">
        <v>6713</v>
      </c>
      <c r="S689" s="79">
        <v>212100516588</v>
      </c>
      <c r="T689" s="183">
        <v>2002028404</v>
      </c>
      <c r="U689" s="150">
        <v>54483</v>
      </c>
      <c r="V689" s="11" t="s">
        <v>6714</v>
      </c>
      <c r="W689" s="160" t="s">
        <v>2092</v>
      </c>
      <c r="X689" s="9"/>
      <c r="Y689" s="5"/>
      <c r="Z689" s="172"/>
    </row>
    <row r="690" spans="1:26" ht="39" customHeight="1" x14ac:dyDescent="0.25">
      <c r="A690" s="5">
        <v>10</v>
      </c>
      <c r="B690" s="154" t="s">
        <v>6715</v>
      </c>
      <c r="C690" s="67" t="s">
        <v>46</v>
      </c>
      <c r="D690" s="160"/>
      <c r="E690" s="154" t="s">
        <v>6039</v>
      </c>
      <c r="F690" s="155">
        <v>31570</v>
      </c>
      <c r="G690" s="106" t="s">
        <v>6716</v>
      </c>
      <c r="H690" s="68" t="s">
        <v>6717</v>
      </c>
      <c r="I690" s="5" t="s">
        <v>1738</v>
      </c>
      <c r="J690" s="161">
        <v>45383</v>
      </c>
      <c r="K690" s="5">
        <v>5</v>
      </c>
      <c r="L690" s="5">
        <v>1</v>
      </c>
      <c r="M690" s="12" t="s">
        <v>1739</v>
      </c>
      <c r="N690" s="161">
        <v>44075</v>
      </c>
      <c r="O690" s="5" t="s">
        <v>1028</v>
      </c>
      <c r="P690" s="160" t="s">
        <v>6718</v>
      </c>
      <c r="Q690" s="12" t="s">
        <v>6719</v>
      </c>
      <c r="R690" s="160" t="s">
        <v>6720</v>
      </c>
      <c r="S690" s="79">
        <v>212100516589</v>
      </c>
      <c r="T690" s="171" t="s">
        <v>6721</v>
      </c>
      <c r="U690" s="150">
        <v>55335</v>
      </c>
      <c r="V690" s="11" t="s">
        <v>6714</v>
      </c>
      <c r="W690" s="160" t="s">
        <v>2282</v>
      </c>
      <c r="X690" s="9"/>
      <c r="Y690" s="5"/>
      <c r="Z690" s="172"/>
    </row>
    <row r="691" spans="1:26" ht="39" customHeight="1" x14ac:dyDescent="0.25">
      <c r="A691" s="5">
        <v>11</v>
      </c>
      <c r="B691" s="12" t="s">
        <v>6722</v>
      </c>
      <c r="C691" s="5" t="s">
        <v>18</v>
      </c>
      <c r="D691" s="5"/>
      <c r="E691" s="14" t="s">
        <v>6723</v>
      </c>
      <c r="F691" s="150">
        <v>27810</v>
      </c>
      <c r="G691" s="151" t="s">
        <v>6724</v>
      </c>
      <c r="H691" s="68" t="s">
        <v>6725</v>
      </c>
      <c r="I691" s="5" t="s">
        <v>1558</v>
      </c>
      <c r="J691" s="150">
        <v>45444</v>
      </c>
      <c r="K691" s="5">
        <v>21</v>
      </c>
      <c r="L691" s="5">
        <v>6</v>
      </c>
      <c r="M691" s="12" t="s">
        <v>1501</v>
      </c>
      <c r="N691" s="150">
        <v>43374</v>
      </c>
      <c r="O691" s="5" t="s">
        <v>1028</v>
      </c>
      <c r="P691" s="47" t="s">
        <v>6726</v>
      </c>
      <c r="Q691" s="47" t="s">
        <v>6727</v>
      </c>
      <c r="R691" s="11" t="s">
        <v>6728</v>
      </c>
      <c r="S691" s="238" t="s">
        <v>6729</v>
      </c>
      <c r="T691" s="21">
        <v>2020027601</v>
      </c>
      <c r="U691" s="150">
        <v>51561</v>
      </c>
      <c r="V691" s="11" t="s">
        <v>6714</v>
      </c>
      <c r="W691" s="14"/>
      <c r="X691" s="11"/>
      <c r="Y691" s="5"/>
      <c r="Z691" s="154"/>
    </row>
    <row r="692" spans="1:26" ht="39" customHeight="1" x14ac:dyDescent="0.25">
      <c r="A692" s="5">
        <v>12</v>
      </c>
      <c r="B692" s="12" t="s">
        <v>6730</v>
      </c>
      <c r="C692" s="5" t="s">
        <v>18</v>
      </c>
      <c r="D692" s="5" t="s">
        <v>6731</v>
      </c>
      <c r="E692" s="14" t="s">
        <v>1776</v>
      </c>
      <c r="F692" s="150">
        <v>27531</v>
      </c>
      <c r="G692" s="151" t="s">
        <v>6732</v>
      </c>
      <c r="H692" s="68" t="s">
        <v>6733</v>
      </c>
      <c r="I692" s="10" t="s">
        <v>1699</v>
      </c>
      <c r="J692" s="150">
        <v>43191</v>
      </c>
      <c r="K692" s="5">
        <v>13</v>
      </c>
      <c r="L692" s="5">
        <v>3</v>
      </c>
      <c r="M692" s="12" t="s">
        <v>1501</v>
      </c>
      <c r="N692" s="150">
        <v>42826</v>
      </c>
      <c r="O692" s="5" t="s">
        <v>1028</v>
      </c>
      <c r="P692" s="157" t="s">
        <v>6734</v>
      </c>
      <c r="Q692" s="157" t="s">
        <v>6735</v>
      </c>
      <c r="R692" s="9" t="s">
        <v>6736</v>
      </c>
      <c r="S692" s="162">
        <v>102100504756</v>
      </c>
      <c r="T692" s="166">
        <v>2017057502</v>
      </c>
      <c r="U692" s="150">
        <v>51288</v>
      </c>
      <c r="V692" s="14" t="s">
        <v>1034</v>
      </c>
      <c r="W692" s="14" t="s">
        <v>6737</v>
      </c>
      <c r="X692" s="11"/>
      <c r="Y692" s="5"/>
      <c r="Z692" s="154"/>
    </row>
    <row r="693" spans="1:26" ht="39" customHeight="1" x14ac:dyDescent="0.25">
      <c r="A693" s="5">
        <v>13</v>
      </c>
      <c r="B693" s="11" t="s">
        <v>6738</v>
      </c>
      <c r="C693" s="5" t="s">
        <v>18</v>
      </c>
      <c r="D693" s="5" t="s">
        <v>6739</v>
      </c>
      <c r="E693" s="11" t="s">
        <v>3289</v>
      </c>
      <c r="F693" s="150">
        <v>27377</v>
      </c>
      <c r="G693" s="151" t="s">
        <v>6740</v>
      </c>
      <c r="H693" s="68" t="s">
        <v>6741</v>
      </c>
      <c r="I693" s="10" t="s">
        <v>1738</v>
      </c>
      <c r="J693" s="161">
        <v>40817</v>
      </c>
      <c r="K693" s="10">
        <v>12</v>
      </c>
      <c r="L693" s="10">
        <v>7</v>
      </c>
      <c r="M693" s="12" t="s">
        <v>1501</v>
      </c>
      <c r="N693" s="161">
        <v>45139</v>
      </c>
      <c r="O693" s="5" t="s">
        <v>1028</v>
      </c>
      <c r="P693" s="157" t="s">
        <v>6742</v>
      </c>
      <c r="Q693" s="157" t="s">
        <v>6743</v>
      </c>
      <c r="R693" s="9" t="s">
        <v>6744</v>
      </c>
      <c r="S693" s="33">
        <v>132100511941</v>
      </c>
      <c r="T693" s="20">
        <v>2014127402</v>
      </c>
      <c r="U693" s="161">
        <v>51136</v>
      </c>
      <c r="V693" s="11" t="s">
        <v>6745</v>
      </c>
      <c r="W693" s="11" t="s">
        <v>4589</v>
      </c>
      <c r="X693" s="11" t="s">
        <v>6746</v>
      </c>
      <c r="Y693" s="31">
        <v>45579</v>
      </c>
      <c r="Z693" s="154"/>
    </row>
    <row r="694" spans="1:26" ht="39" customHeight="1" x14ac:dyDescent="0.25">
      <c r="A694" s="5">
        <v>14</v>
      </c>
      <c r="B694" s="14" t="s">
        <v>6747</v>
      </c>
      <c r="C694" s="5" t="s">
        <v>18</v>
      </c>
      <c r="D694" s="5"/>
      <c r="E694" s="14" t="s">
        <v>1967</v>
      </c>
      <c r="F694" s="161">
        <v>30853</v>
      </c>
      <c r="G694" s="151" t="s">
        <v>6748</v>
      </c>
      <c r="H694" s="169" t="s">
        <v>6749</v>
      </c>
      <c r="I694" s="5" t="s">
        <v>1738</v>
      </c>
      <c r="J694" s="150">
        <v>45444</v>
      </c>
      <c r="K694" s="5">
        <v>6</v>
      </c>
      <c r="L694" s="5">
        <v>5</v>
      </c>
      <c r="M694" s="12" t="s">
        <v>1501</v>
      </c>
      <c r="N694" s="150">
        <v>45139</v>
      </c>
      <c r="O694" s="5" t="s">
        <v>1028</v>
      </c>
      <c r="P694" s="157" t="s">
        <v>6750</v>
      </c>
      <c r="Q694" s="157" t="s">
        <v>6751</v>
      </c>
      <c r="R694" s="9" t="s">
        <v>6752</v>
      </c>
      <c r="S694" s="79">
        <v>212100516587</v>
      </c>
      <c r="T694" s="171" t="s">
        <v>6753</v>
      </c>
      <c r="U694" s="150">
        <v>54605</v>
      </c>
      <c r="V694" s="11" t="s">
        <v>1034</v>
      </c>
      <c r="W694" s="14" t="s">
        <v>4998</v>
      </c>
      <c r="X694" s="11" t="s">
        <v>6754</v>
      </c>
      <c r="Y694" s="51">
        <v>45590</v>
      </c>
      <c r="Z694" s="154"/>
    </row>
    <row r="695" spans="1:26" ht="39" customHeight="1" x14ac:dyDescent="0.25">
      <c r="A695" s="5">
        <v>15</v>
      </c>
      <c r="B695" s="154" t="s">
        <v>6755</v>
      </c>
      <c r="C695" s="67" t="s">
        <v>18</v>
      </c>
      <c r="D695" s="160"/>
      <c r="E695" s="154" t="s">
        <v>1844</v>
      </c>
      <c r="F695" s="241">
        <v>30631</v>
      </c>
      <c r="G695" s="106" t="s">
        <v>6756</v>
      </c>
      <c r="H695" s="68" t="s">
        <v>6757</v>
      </c>
      <c r="I695" s="5" t="s">
        <v>1738</v>
      </c>
      <c r="J695" s="150">
        <v>45505</v>
      </c>
      <c r="K695" s="5">
        <v>8</v>
      </c>
      <c r="L695" s="5">
        <v>5</v>
      </c>
      <c r="M695" s="12" t="s">
        <v>1501</v>
      </c>
      <c r="N695" s="161">
        <v>45139</v>
      </c>
      <c r="O695" s="5" t="s">
        <v>1028</v>
      </c>
      <c r="P695" s="160" t="s">
        <v>6758</v>
      </c>
      <c r="Q695" s="9" t="s">
        <v>6759</v>
      </c>
      <c r="R695" s="160" t="s">
        <v>6760</v>
      </c>
      <c r="S695" s="79">
        <v>212100516583</v>
      </c>
      <c r="T695" s="171" t="s">
        <v>6761</v>
      </c>
      <c r="U695" s="150">
        <v>54393</v>
      </c>
      <c r="V695" s="11" t="s">
        <v>6714</v>
      </c>
      <c r="W695" s="160" t="s">
        <v>2900</v>
      </c>
      <c r="X695" s="11" t="s">
        <v>6762</v>
      </c>
      <c r="Y695" s="51">
        <v>45579</v>
      </c>
      <c r="Z695" s="154"/>
    </row>
    <row r="696" spans="1:26" ht="39" customHeight="1" x14ac:dyDescent="0.25">
      <c r="A696" s="5">
        <v>16</v>
      </c>
      <c r="B696" s="40" t="s">
        <v>6763</v>
      </c>
      <c r="C696" s="39" t="s">
        <v>46</v>
      </c>
      <c r="D696" s="160"/>
      <c r="E696" s="40" t="s">
        <v>2184</v>
      </c>
      <c r="F696" s="170">
        <v>31642</v>
      </c>
      <c r="G696" s="156" t="s">
        <v>6764</v>
      </c>
      <c r="H696" s="68" t="s">
        <v>6765</v>
      </c>
      <c r="I696" s="5" t="s">
        <v>1738</v>
      </c>
      <c r="J696" s="161">
        <v>45505</v>
      </c>
      <c r="K696" s="5">
        <v>5</v>
      </c>
      <c r="L696" s="5">
        <v>5</v>
      </c>
      <c r="M696" s="12" t="s">
        <v>1501</v>
      </c>
      <c r="N696" s="161">
        <v>45139</v>
      </c>
      <c r="O696" s="5" t="s">
        <v>1028</v>
      </c>
      <c r="P696" s="160" t="s">
        <v>6766</v>
      </c>
      <c r="Q696" s="9" t="s">
        <v>6767</v>
      </c>
      <c r="R696" s="160" t="s">
        <v>6768</v>
      </c>
      <c r="S696" s="81">
        <v>212100516582</v>
      </c>
      <c r="T696" s="171" t="s">
        <v>6769</v>
      </c>
      <c r="U696" s="51">
        <v>55397</v>
      </c>
      <c r="V696" s="11" t="s">
        <v>6714</v>
      </c>
      <c r="W696" s="160" t="s">
        <v>6770</v>
      </c>
      <c r="X696" s="12" t="s">
        <v>6771</v>
      </c>
      <c r="Y696" s="51">
        <v>45590</v>
      </c>
      <c r="Z696" s="154"/>
    </row>
    <row r="697" spans="1:26" ht="15.75" customHeight="1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42"/>
      <c r="W697" s="1"/>
      <c r="X697" s="1"/>
      <c r="Y697" s="1"/>
      <c r="Z697" s="86"/>
    </row>
    <row r="698" spans="1:26" ht="15.75" customHeight="1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42"/>
      <c r="W698" s="1"/>
      <c r="X698" s="1"/>
      <c r="Y698" s="1"/>
      <c r="Z698" s="86"/>
    </row>
    <row r="699" spans="1:26" ht="15.75" customHeight="1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42"/>
      <c r="W699" s="1"/>
      <c r="X699" s="1"/>
      <c r="Y699" s="1"/>
      <c r="Z699" s="86"/>
    </row>
    <row r="700" spans="1:26" ht="15.75" customHeight="1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42"/>
      <c r="W700" s="1"/>
      <c r="X700" s="1"/>
      <c r="Y700" s="1"/>
      <c r="Z700" s="86"/>
    </row>
    <row r="701" spans="1:26" ht="15.75" customHeight="1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42"/>
      <c r="W701" s="1"/>
      <c r="X701" s="1"/>
      <c r="Y701" s="1"/>
      <c r="Z701" s="86"/>
    </row>
    <row r="702" spans="1:26" ht="15.75" customHeight="1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42"/>
      <c r="W702" s="1"/>
      <c r="X702" s="1"/>
      <c r="Y702" s="1"/>
      <c r="Z702" s="86"/>
    </row>
    <row r="703" spans="1:26" ht="15.75" customHeight="1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42"/>
      <c r="W703" s="1"/>
      <c r="X703" s="1"/>
      <c r="Y703" s="1"/>
      <c r="Z703" s="86"/>
    </row>
    <row r="704" spans="1:26" ht="15.75" customHeight="1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42"/>
      <c r="W704" s="1"/>
      <c r="X704" s="1"/>
      <c r="Y704" s="1"/>
      <c r="Z704" s="86"/>
    </row>
    <row r="705" spans="1:26" ht="15.75" customHeight="1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42"/>
      <c r="W705" s="1"/>
      <c r="X705" s="1"/>
      <c r="Y705" s="1"/>
      <c r="Z705" s="86"/>
    </row>
    <row r="706" spans="1:26" ht="15.75" customHeight="1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42"/>
      <c r="W706" s="1"/>
      <c r="X706" s="1"/>
      <c r="Y706" s="1"/>
      <c r="Z706" s="86"/>
    </row>
    <row r="707" spans="1:26" ht="15.75" customHeight="1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42"/>
      <c r="W707" s="1"/>
      <c r="X707" s="1"/>
      <c r="Y707" s="1"/>
      <c r="Z707" s="86"/>
    </row>
    <row r="708" spans="1:26" ht="15.75" customHeight="1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42"/>
      <c r="W708" s="1"/>
      <c r="X708" s="1"/>
      <c r="Y708" s="1"/>
      <c r="Z708" s="86"/>
    </row>
    <row r="709" spans="1:26" ht="15.75" customHeight="1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42"/>
      <c r="W709" s="1"/>
      <c r="X709" s="1"/>
      <c r="Y709" s="1"/>
      <c r="Z709" s="86"/>
    </row>
    <row r="710" spans="1:26" ht="15.75" customHeight="1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42"/>
      <c r="W710" s="1"/>
      <c r="X710" s="1"/>
      <c r="Y710" s="1"/>
      <c r="Z710" s="86"/>
    </row>
    <row r="711" spans="1:26" ht="15.75" customHeight="1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42"/>
      <c r="W711" s="1"/>
      <c r="X711" s="1"/>
      <c r="Y711" s="1"/>
      <c r="Z711" s="86"/>
    </row>
    <row r="712" spans="1:26" ht="15.75" customHeight="1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42"/>
      <c r="W712" s="1"/>
      <c r="X712" s="1"/>
      <c r="Y712" s="1"/>
      <c r="Z712" s="86"/>
    </row>
    <row r="713" spans="1:26" ht="15.75" customHeight="1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42"/>
      <c r="W713" s="1"/>
      <c r="X713" s="1"/>
      <c r="Y713" s="1"/>
      <c r="Z713" s="86"/>
    </row>
    <row r="714" spans="1:26" ht="15.75" customHeight="1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42"/>
      <c r="W714" s="1"/>
      <c r="X714" s="1"/>
      <c r="Y714" s="1"/>
      <c r="Z714" s="86"/>
    </row>
    <row r="715" spans="1:26" ht="15.75" customHeight="1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42"/>
      <c r="W715" s="1"/>
      <c r="X715" s="1"/>
      <c r="Y715" s="1"/>
      <c r="Z715" s="86"/>
    </row>
    <row r="716" spans="1:26" ht="15.75" customHeight="1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42"/>
      <c r="W716" s="1"/>
      <c r="X716" s="1"/>
      <c r="Y716" s="1"/>
      <c r="Z716" s="86"/>
    </row>
    <row r="717" spans="1:26" ht="15.75" customHeight="1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42"/>
      <c r="W717" s="1"/>
      <c r="X717" s="1"/>
      <c r="Y717" s="1"/>
      <c r="Z717" s="86"/>
    </row>
    <row r="718" spans="1:26" ht="15.75" customHeight="1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42"/>
      <c r="W718" s="1"/>
      <c r="X718" s="1"/>
      <c r="Y718" s="1"/>
      <c r="Z718" s="86"/>
    </row>
    <row r="719" spans="1:26" ht="15.75" customHeight="1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42"/>
      <c r="W719" s="1"/>
      <c r="X719" s="1"/>
      <c r="Y719" s="1"/>
      <c r="Z719" s="86"/>
    </row>
    <row r="720" spans="1:26" ht="15.75" customHeight="1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42"/>
      <c r="W720" s="1"/>
      <c r="X720" s="1"/>
      <c r="Y720" s="1"/>
      <c r="Z720" s="86"/>
    </row>
    <row r="721" spans="1:26" ht="15.75" customHeight="1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42"/>
      <c r="W721" s="1"/>
      <c r="X721" s="1"/>
      <c r="Y721" s="1"/>
      <c r="Z721" s="86"/>
    </row>
    <row r="722" spans="1:26" ht="15.75" customHeight="1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42"/>
      <c r="W722" s="1"/>
      <c r="X722" s="1"/>
      <c r="Y722" s="1"/>
      <c r="Z722" s="86"/>
    </row>
    <row r="723" spans="1:26" ht="15.75" customHeight="1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42"/>
      <c r="W723" s="1"/>
      <c r="X723" s="1"/>
      <c r="Y723" s="1"/>
      <c r="Z723" s="86"/>
    </row>
    <row r="724" spans="1:26" ht="15.75" customHeight="1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42"/>
      <c r="W724" s="1"/>
      <c r="X724" s="1"/>
      <c r="Y724" s="1"/>
      <c r="Z724" s="86"/>
    </row>
    <row r="725" spans="1:26" ht="15.75" customHeight="1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42"/>
      <c r="W725" s="1"/>
      <c r="X725" s="1"/>
      <c r="Y725" s="1"/>
      <c r="Z725" s="86"/>
    </row>
    <row r="726" spans="1:26" ht="15.75" customHeight="1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42"/>
      <c r="W726" s="1"/>
      <c r="X726" s="1"/>
      <c r="Y726" s="1"/>
      <c r="Z726" s="86"/>
    </row>
    <row r="727" spans="1:26" ht="15.75" customHeight="1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42"/>
      <c r="W727" s="1"/>
      <c r="X727" s="1"/>
      <c r="Y727" s="1"/>
      <c r="Z727" s="86"/>
    </row>
    <row r="728" spans="1:26" ht="15.75" customHeight="1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42"/>
      <c r="W728" s="1"/>
      <c r="X728" s="1"/>
      <c r="Y728" s="1"/>
      <c r="Z728" s="86"/>
    </row>
    <row r="729" spans="1:26" ht="15.75" customHeight="1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42"/>
      <c r="W729" s="1"/>
      <c r="X729" s="1"/>
      <c r="Y729" s="1"/>
      <c r="Z729" s="86"/>
    </row>
    <row r="730" spans="1:26" ht="15.75" customHeight="1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42"/>
      <c r="W730" s="1"/>
      <c r="X730" s="1"/>
      <c r="Y730" s="1"/>
      <c r="Z730" s="86"/>
    </row>
    <row r="731" spans="1:26" ht="15.75" customHeight="1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42"/>
      <c r="W731" s="1"/>
      <c r="X731" s="1"/>
      <c r="Y731" s="1"/>
      <c r="Z731" s="86"/>
    </row>
    <row r="732" spans="1:26" ht="15.75" customHeight="1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42"/>
      <c r="W732" s="1"/>
      <c r="X732" s="1"/>
      <c r="Y732" s="1"/>
      <c r="Z732" s="86"/>
    </row>
    <row r="733" spans="1:26" ht="15.75" customHeight="1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42"/>
      <c r="W733" s="1"/>
      <c r="X733" s="1"/>
      <c r="Y733" s="1"/>
      <c r="Z733" s="86"/>
    </row>
    <row r="734" spans="1:26" ht="15.75" customHeight="1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42"/>
      <c r="W734" s="1"/>
      <c r="X734" s="1"/>
      <c r="Y734" s="1"/>
      <c r="Z734" s="86"/>
    </row>
    <row r="735" spans="1:26" ht="15.75" customHeight="1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42"/>
      <c r="W735" s="1"/>
      <c r="X735" s="1"/>
      <c r="Y735" s="1"/>
      <c r="Z735" s="86"/>
    </row>
    <row r="736" spans="1:26" ht="15.75" customHeight="1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42"/>
      <c r="W736" s="1"/>
      <c r="X736" s="1"/>
      <c r="Y736" s="1"/>
      <c r="Z736" s="86"/>
    </row>
    <row r="737" spans="1:26" ht="15.75" customHeight="1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42"/>
      <c r="W737" s="1"/>
      <c r="X737" s="1"/>
      <c r="Y737" s="1"/>
      <c r="Z737" s="86"/>
    </row>
    <row r="738" spans="1:26" ht="15.75" customHeight="1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42"/>
      <c r="W738" s="1"/>
      <c r="X738" s="1"/>
      <c r="Y738" s="1"/>
      <c r="Z738" s="86"/>
    </row>
    <row r="739" spans="1:26" ht="15.75" customHeight="1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42"/>
      <c r="W739" s="1"/>
      <c r="X739" s="1"/>
      <c r="Y739" s="1"/>
      <c r="Z739" s="86"/>
    </row>
    <row r="740" spans="1:26" ht="15.75" customHeight="1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42"/>
      <c r="W740" s="1"/>
      <c r="X740" s="1"/>
      <c r="Y740" s="1"/>
      <c r="Z740" s="86"/>
    </row>
    <row r="741" spans="1:26" ht="15.75" customHeight="1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42"/>
      <c r="W741" s="1"/>
      <c r="X741" s="1"/>
      <c r="Y741" s="1"/>
      <c r="Z741" s="86"/>
    </row>
    <row r="742" spans="1:26" ht="15.75" customHeight="1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42"/>
      <c r="W742" s="1"/>
      <c r="X742" s="1"/>
      <c r="Y742" s="1"/>
      <c r="Z742" s="86"/>
    </row>
    <row r="743" spans="1:26" ht="15.75" customHeight="1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42"/>
      <c r="W743" s="1"/>
      <c r="X743" s="1"/>
      <c r="Y743" s="1"/>
      <c r="Z743" s="86"/>
    </row>
    <row r="744" spans="1:26" ht="15.75" customHeight="1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42"/>
      <c r="W744" s="1"/>
      <c r="X744" s="1"/>
      <c r="Y744" s="1"/>
      <c r="Z744" s="86"/>
    </row>
    <row r="745" spans="1:26" ht="15.75" customHeight="1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42"/>
      <c r="W745" s="1"/>
      <c r="X745" s="1"/>
      <c r="Y745" s="1"/>
      <c r="Z745" s="86"/>
    </row>
    <row r="746" spans="1:26" ht="15.75" customHeight="1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42"/>
      <c r="W746" s="1"/>
      <c r="X746" s="1"/>
      <c r="Y746" s="1"/>
      <c r="Z746" s="86"/>
    </row>
    <row r="747" spans="1:26" ht="15.75" customHeight="1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42"/>
      <c r="W747" s="1"/>
      <c r="X747" s="1"/>
      <c r="Y747" s="1"/>
      <c r="Z747" s="86"/>
    </row>
    <row r="748" spans="1:26" ht="15.75" customHeight="1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42"/>
      <c r="W748" s="1"/>
      <c r="X748" s="1"/>
      <c r="Y748" s="1"/>
      <c r="Z748" s="86"/>
    </row>
    <row r="749" spans="1:26" ht="15.75" customHeight="1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42"/>
      <c r="W749" s="1"/>
      <c r="X749" s="1"/>
      <c r="Y749" s="1"/>
      <c r="Z749" s="86"/>
    </row>
    <row r="750" spans="1:26" ht="15.75" customHeight="1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42"/>
      <c r="W750" s="1"/>
      <c r="X750" s="1"/>
      <c r="Y750" s="1"/>
      <c r="Z750" s="86"/>
    </row>
    <row r="751" spans="1:26" ht="15.75" customHeight="1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42"/>
      <c r="W751" s="1"/>
      <c r="X751" s="1"/>
      <c r="Y751" s="1"/>
      <c r="Z751" s="86"/>
    </row>
    <row r="752" spans="1:26" ht="15.75" customHeight="1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42"/>
      <c r="W752" s="1"/>
      <c r="X752" s="1"/>
      <c r="Y752" s="1"/>
      <c r="Z752" s="86"/>
    </row>
    <row r="753" spans="1:26" ht="15.75" customHeight="1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42"/>
      <c r="W753" s="1"/>
      <c r="X753" s="1"/>
      <c r="Y753" s="1"/>
      <c r="Z753" s="86"/>
    </row>
    <row r="754" spans="1:26" ht="15.75" customHeight="1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42"/>
      <c r="W754" s="1"/>
      <c r="X754" s="1"/>
      <c r="Y754" s="1"/>
      <c r="Z754" s="86"/>
    </row>
    <row r="755" spans="1:26" ht="15.75" customHeight="1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42"/>
      <c r="W755" s="1"/>
      <c r="X755" s="1"/>
      <c r="Y755" s="1"/>
      <c r="Z755" s="86"/>
    </row>
    <row r="756" spans="1:26" ht="15.75" customHeight="1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42"/>
      <c r="W756" s="1"/>
      <c r="X756" s="1"/>
      <c r="Y756" s="1"/>
      <c r="Z756" s="86"/>
    </row>
    <row r="757" spans="1:26" ht="15.75" customHeight="1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42"/>
      <c r="W757" s="1"/>
      <c r="X757" s="1"/>
      <c r="Y757" s="1"/>
      <c r="Z757" s="86"/>
    </row>
    <row r="758" spans="1:26" ht="15.75" customHeight="1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42"/>
      <c r="W758" s="1"/>
      <c r="X758" s="1"/>
      <c r="Y758" s="1"/>
      <c r="Z758" s="86"/>
    </row>
    <row r="759" spans="1:26" ht="15.75" customHeight="1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42"/>
      <c r="W759" s="1"/>
      <c r="X759" s="1"/>
      <c r="Y759" s="1"/>
      <c r="Z759" s="86"/>
    </row>
    <row r="760" spans="1:26" ht="15.75" customHeight="1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42"/>
      <c r="W760" s="1"/>
      <c r="X760" s="1"/>
      <c r="Y760" s="1"/>
      <c r="Z760" s="86"/>
    </row>
    <row r="761" spans="1:26" ht="15.75" customHeight="1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42"/>
      <c r="W761" s="1"/>
      <c r="X761" s="1"/>
      <c r="Y761" s="1"/>
      <c r="Z761" s="86"/>
    </row>
    <row r="762" spans="1:26" ht="15.75" customHeight="1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42"/>
      <c r="W762" s="1"/>
      <c r="X762" s="1"/>
      <c r="Y762" s="1"/>
      <c r="Z762" s="86"/>
    </row>
    <row r="763" spans="1:26" ht="15.75" customHeight="1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42"/>
      <c r="W763" s="1"/>
      <c r="X763" s="1"/>
      <c r="Y763" s="1"/>
      <c r="Z763" s="86"/>
    </row>
    <row r="764" spans="1:26" ht="15.75" customHeight="1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42"/>
      <c r="W764" s="1"/>
      <c r="X764" s="1"/>
      <c r="Y764" s="1"/>
      <c r="Z764" s="86"/>
    </row>
    <row r="765" spans="1:26" ht="15.75" customHeight="1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42"/>
      <c r="W765" s="1"/>
      <c r="X765" s="1"/>
      <c r="Y765" s="1"/>
      <c r="Z765" s="86"/>
    </row>
    <row r="766" spans="1:26" ht="15.75" customHeight="1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42"/>
      <c r="W766" s="1"/>
      <c r="X766" s="1"/>
      <c r="Y766" s="1"/>
      <c r="Z766" s="86"/>
    </row>
    <row r="767" spans="1:26" ht="15.75" customHeight="1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42"/>
      <c r="W767" s="1"/>
      <c r="X767" s="1"/>
      <c r="Y767" s="1"/>
      <c r="Z767" s="86"/>
    </row>
    <row r="768" spans="1:26" ht="15.75" customHeight="1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42"/>
      <c r="W768" s="1"/>
      <c r="X768" s="1"/>
      <c r="Y768" s="1"/>
      <c r="Z768" s="86"/>
    </row>
    <row r="769" spans="1:26" ht="15.75" customHeight="1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42"/>
      <c r="W769" s="1"/>
      <c r="X769" s="1"/>
      <c r="Y769" s="1"/>
      <c r="Z769" s="86"/>
    </row>
    <row r="770" spans="1:26" ht="15.75" customHeight="1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42"/>
      <c r="W770" s="1"/>
      <c r="X770" s="1"/>
      <c r="Y770" s="1"/>
      <c r="Z770" s="86"/>
    </row>
    <row r="771" spans="1:26" ht="15.75" customHeight="1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42"/>
      <c r="W771" s="1"/>
      <c r="X771" s="1"/>
      <c r="Y771" s="1"/>
      <c r="Z771" s="86"/>
    </row>
    <row r="772" spans="1:26" ht="15.75" customHeight="1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42"/>
      <c r="W772" s="1"/>
      <c r="X772" s="1"/>
      <c r="Y772" s="1"/>
      <c r="Z772" s="86"/>
    </row>
    <row r="773" spans="1:26" ht="15.75" customHeight="1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42"/>
      <c r="W773" s="1"/>
      <c r="X773" s="1"/>
      <c r="Y773" s="1"/>
      <c r="Z773" s="86"/>
    </row>
    <row r="774" spans="1:26" ht="15.75" customHeight="1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42"/>
      <c r="W774" s="1"/>
      <c r="X774" s="1"/>
      <c r="Y774" s="1"/>
      <c r="Z774" s="86"/>
    </row>
    <row r="775" spans="1:26" ht="15.75" customHeight="1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42"/>
      <c r="W775" s="1"/>
      <c r="X775" s="1"/>
      <c r="Y775" s="1"/>
      <c r="Z775" s="86"/>
    </row>
    <row r="776" spans="1:26" ht="15.75" customHeight="1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42"/>
      <c r="W776" s="1"/>
      <c r="X776" s="1"/>
      <c r="Y776" s="1"/>
      <c r="Z776" s="86"/>
    </row>
    <row r="777" spans="1:26" ht="15.75" customHeight="1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42"/>
      <c r="W777" s="1"/>
      <c r="X777" s="1"/>
      <c r="Y777" s="1"/>
      <c r="Z777" s="86"/>
    </row>
    <row r="778" spans="1:26" ht="15.75" customHeight="1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42"/>
      <c r="W778" s="1"/>
      <c r="X778" s="1"/>
      <c r="Y778" s="1"/>
      <c r="Z778" s="86"/>
    </row>
    <row r="779" spans="1:26" ht="15.75" customHeight="1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42"/>
      <c r="W779" s="1"/>
      <c r="X779" s="1"/>
      <c r="Y779" s="1"/>
      <c r="Z779" s="86"/>
    </row>
    <row r="780" spans="1:26" ht="15.75" customHeight="1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42"/>
      <c r="W780" s="1"/>
      <c r="X780" s="1"/>
      <c r="Y780" s="1"/>
      <c r="Z780" s="86"/>
    </row>
    <row r="781" spans="1:26" ht="15.75" customHeight="1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42"/>
      <c r="W781" s="1"/>
      <c r="X781" s="1"/>
      <c r="Y781" s="1"/>
      <c r="Z781" s="86"/>
    </row>
    <row r="782" spans="1:26" ht="15.75" customHeight="1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42"/>
      <c r="W782" s="1"/>
      <c r="X782" s="1"/>
      <c r="Y782" s="1"/>
      <c r="Z782" s="86"/>
    </row>
    <row r="783" spans="1:26" ht="15.75" customHeight="1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42"/>
      <c r="W783" s="1"/>
      <c r="X783" s="1"/>
      <c r="Y783" s="1"/>
      <c r="Z783" s="86"/>
    </row>
    <row r="784" spans="1:26" ht="15.75" customHeight="1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42"/>
      <c r="W784" s="1"/>
      <c r="X784" s="1"/>
      <c r="Y784" s="1"/>
      <c r="Z784" s="86"/>
    </row>
    <row r="785" spans="1:26" ht="15.75" customHeight="1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42"/>
      <c r="W785" s="1"/>
      <c r="X785" s="1"/>
      <c r="Y785" s="1"/>
      <c r="Z785" s="86"/>
    </row>
    <row r="786" spans="1:26" ht="15.75" customHeight="1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42"/>
      <c r="W786" s="1"/>
      <c r="X786" s="1"/>
      <c r="Y786" s="1"/>
      <c r="Z786" s="86"/>
    </row>
    <row r="787" spans="1:26" ht="15.75" customHeight="1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42"/>
      <c r="W787" s="1"/>
      <c r="X787" s="1"/>
      <c r="Y787" s="1"/>
      <c r="Z787" s="86"/>
    </row>
    <row r="788" spans="1:26" ht="15.75" customHeight="1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42"/>
      <c r="W788" s="1"/>
      <c r="X788" s="1"/>
      <c r="Y788" s="1"/>
      <c r="Z788" s="86"/>
    </row>
    <row r="789" spans="1:26" ht="15.75" customHeight="1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42"/>
      <c r="W789" s="1"/>
      <c r="X789" s="1"/>
      <c r="Y789" s="1"/>
      <c r="Z789" s="86"/>
    </row>
    <row r="790" spans="1:26" ht="15.75" customHeight="1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42"/>
      <c r="W790" s="1"/>
      <c r="X790" s="1"/>
      <c r="Y790" s="1"/>
      <c r="Z790" s="86"/>
    </row>
    <row r="791" spans="1:26" ht="15.75" customHeight="1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42"/>
      <c r="W791" s="1"/>
      <c r="X791" s="1"/>
      <c r="Y791" s="1"/>
      <c r="Z791" s="86"/>
    </row>
    <row r="792" spans="1:26" ht="15.75" customHeight="1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42"/>
      <c r="W792" s="1"/>
      <c r="X792" s="1"/>
      <c r="Y792" s="1"/>
      <c r="Z792" s="86"/>
    </row>
    <row r="793" spans="1:26" ht="15.75" customHeight="1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42"/>
      <c r="W793" s="1"/>
      <c r="X793" s="1"/>
      <c r="Y793" s="1"/>
      <c r="Z793" s="86"/>
    </row>
    <row r="794" spans="1:26" ht="15.75" customHeight="1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42"/>
      <c r="W794" s="1"/>
      <c r="X794" s="1"/>
      <c r="Y794" s="1"/>
      <c r="Z794" s="86"/>
    </row>
    <row r="795" spans="1:26" ht="15.75" customHeight="1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42"/>
      <c r="W795" s="1"/>
      <c r="X795" s="1"/>
      <c r="Y795" s="1"/>
      <c r="Z795" s="86"/>
    </row>
    <row r="796" spans="1:26" ht="15.75" customHeight="1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42"/>
      <c r="W796" s="1"/>
      <c r="X796" s="1"/>
      <c r="Y796" s="1"/>
      <c r="Z796" s="86"/>
    </row>
    <row r="797" spans="1:26" ht="15.75" customHeight="1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42"/>
      <c r="W797" s="1"/>
      <c r="X797" s="1"/>
      <c r="Y797" s="1"/>
      <c r="Z797" s="86"/>
    </row>
    <row r="798" spans="1:26" ht="15.75" customHeight="1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42"/>
      <c r="W798" s="1"/>
      <c r="X798" s="1"/>
      <c r="Y798" s="1"/>
      <c r="Z798" s="86"/>
    </row>
    <row r="799" spans="1:26" ht="15.75" customHeight="1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42"/>
      <c r="W799" s="1"/>
      <c r="X799" s="1"/>
      <c r="Y799" s="1"/>
      <c r="Z799" s="86"/>
    </row>
    <row r="800" spans="1:26" ht="15.75" customHeight="1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42"/>
      <c r="W800" s="1"/>
      <c r="X800" s="1"/>
      <c r="Y800" s="1"/>
      <c r="Z800" s="86"/>
    </row>
    <row r="801" spans="1:26" ht="15.75" customHeight="1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42"/>
      <c r="W801" s="1"/>
      <c r="X801" s="1"/>
      <c r="Y801" s="1"/>
      <c r="Z801" s="86"/>
    </row>
    <row r="802" spans="1:26" ht="15.75" customHeight="1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42"/>
      <c r="W802" s="1"/>
      <c r="X802" s="1"/>
      <c r="Y802" s="1"/>
      <c r="Z802" s="86"/>
    </row>
    <row r="803" spans="1:26" ht="15.75" customHeight="1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42"/>
      <c r="W803" s="1"/>
      <c r="X803" s="1"/>
      <c r="Y803" s="1"/>
      <c r="Z803" s="86"/>
    </row>
    <row r="804" spans="1:26" ht="15.75" customHeight="1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42"/>
      <c r="W804" s="1"/>
      <c r="X804" s="1"/>
      <c r="Y804" s="1"/>
      <c r="Z804" s="86"/>
    </row>
    <row r="805" spans="1:26" ht="15.75" customHeight="1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42"/>
      <c r="W805" s="1"/>
      <c r="X805" s="1"/>
      <c r="Y805" s="1"/>
      <c r="Z805" s="86"/>
    </row>
    <row r="806" spans="1:26" ht="15.75" customHeight="1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42"/>
      <c r="W806" s="1"/>
      <c r="X806" s="1"/>
      <c r="Y806" s="1"/>
      <c r="Z806" s="86"/>
    </row>
    <row r="807" spans="1:26" ht="15.75" customHeight="1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42"/>
      <c r="W807" s="1"/>
      <c r="X807" s="1"/>
      <c r="Y807" s="1"/>
      <c r="Z807" s="86"/>
    </row>
    <row r="808" spans="1:26" ht="15.75" customHeight="1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42"/>
      <c r="W808" s="1"/>
      <c r="X808" s="1"/>
      <c r="Y808" s="1"/>
      <c r="Z808" s="86"/>
    </row>
    <row r="809" spans="1:26" ht="15.75" customHeight="1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42"/>
      <c r="W809" s="1"/>
      <c r="X809" s="1"/>
      <c r="Y809" s="1"/>
      <c r="Z809" s="86"/>
    </row>
    <row r="810" spans="1:26" ht="15.75" customHeight="1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42"/>
      <c r="W810" s="1"/>
      <c r="X810" s="1"/>
      <c r="Y810" s="1"/>
      <c r="Z810" s="86"/>
    </row>
    <row r="811" spans="1:26" ht="15.75" customHeight="1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42"/>
      <c r="W811" s="1"/>
      <c r="X811" s="1"/>
      <c r="Y811" s="1"/>
      <c r="Z811" s="86"/>
    </row>
    <row r="812" spans="1:26" ht="15.75" customHeight="1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42"/>
      <c r="W812" s="1"/>
      <c r="X812" s="1"/>
      <c r="Y812" s="1"/>
      <c r="Z812" s="86"/>
    </row>
    <row r="813" spans="1:26" ht="15.75" customHeight="1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42"/>
      <c r="W813" s="1"/>
      <c r="X813" s="1"/>
      <c r="Y813" s="1"/>
      <c r="Z813" s="86"/>
    </row>
    <row r="814" spans="1:26" ht="15.75" customHeight="1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42"/>
      <c r="W814" s="1"/>
      <c r="X814" s="1"/>
      <c r="Y814" s="1"/>
      <c r="Z814" s="86"/>
    </row>
    <row r="815" spans="1:26" ht="15.75" customHeight="1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42"/>
      <c r="W815" s="1"/>
      <c r="X815" s="1"/>
      <c r="Y815" s="1"/>
      <c r="Z815" s="86"/>
    </row>
    <row r="816" spans="1:26" ht="15.75" customHeight="1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42"/>
      <c r="W816" s="1"/>
      <c r="X816" s="1"/>
      <c r="Y816" s="1"/>
      <c r="Z816" s="86"/>
    </row>
    <row r="817" spans="1:26" ht="15.75" customHeight="1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42"/>
      <c r="W817" s="1"/>
      <c r="X817" s="1"/>
      <c r="Y817" s="1"/>
      <c r="Z817" s="86"/>
    </row>
    <row r="818" spans="1:26" ht="15.75" customHeight="1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42"/>
      <c r="W818" s="1"/>
      <c r="X818" s="1"/>
      <c r="Y818" s="1"/>
      <c r="Z818" s="86"/>
    </row>
    <row r="819" spans="1:26" ht="15.75" customHeight="1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42"/>
      <c r="W819" s="1"/>
      <c r="X819" s="1"/>
      <c r="Y819" s="1"/>
      <c r="Z819" s="86"/>
    </row>
    <row r="820" spans="1:26" ht="15.75" customHeight="1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42"/>
      <c r="W820" s="1"/>
      <c r="X820" s="1"/>
      <c r="Y820" s="1"/>
      <c r="Z820" s="86"/>
    </row>
    <row r="821" spans="1:26" ht="15.75" customHeight="1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42"/>
      <c r="W821" s="1"/>
      <c r="X821" s="1"/>
      <c r="Y821" s="1"/>
      <c r="Z821" s="86"/>
    </row>
    <row r="822" spans="1:26" ht="15.75" customHeight="1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42"/>
      <c r="W822" s="1"/>
      <c r="X822" s="1"/>
      <c r="Y822" s="1"/>
      <c r="Z822" s="86"/>
    </row>
    <row r="823" spans="1:26" ht="15.75" customHeight="1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42"/>
      <c r="W823" s="1"/>
      <c r="X823" s="1"/>
      <c r="Y823" s="1"/>
      <c r="Z823" s="86"/>
    </row>
    <row r="824" spans="1:26" ht="15.75" customHeight="1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42"/>
      <c r="W824" s="1"/>
      <c r="X824" s="1"/>
      <c r="Y824" s="1"/>
      <c r="Z824" s="86"/>
    </row>
    <row r="825" spans="1:26" ht="15.75" customHeight="1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42"/>
      <c r="W825" s="1"/>
      <c r="X825" s="1"/>
      <c r="Y825" s="1"/>
      <c r="Z825" s="86"/>
    </row>
    <row r="826" spans="1:26" ht="15.75" customHeight="1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42"/>
      <c r="W826" s="1"/>
      <c r="X826" s="1"/>
      <c r="Y826" s="1"/>
      <c r="Z826" s="86"/>
    </row>
    <row r="827" spans="1:26" ht="15.75" customHeight="1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42"/>
      <c r="W827" s="1"/>
      <c r="X827" s="1"/>
      <c r="Y827" s="1"/>
      <c r="Z827" s="86"/>
    </row>
    <row r="828" spans="1:26" ht="15.75" customHeight="1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42"/>
      <c r="W828" s="1"/>
      <c r="X828" s="1"/>
      <c r="Y828" s="1"/>
      <c r="Z828" s="86"/>
    </row>
    <row r="829" spans="1:26" ht="15.75" customHeight="1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42"/>
      <c r="W829" s="1"/>
      <c r="X829" s="1"/>
      <c r="Y829" s="1"/>
      <c r="Z829" s="86"/>
    </row>
    <row r="830" spans="1:26" ht="15.75" customHeight="1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42"/>
      <c r="W830" s="1"/>
      <c r="X830" s="1"/>
      <c r="Y830" s="1"/>
      <c r="Z830" s="86"/>
    </row>
    <row r="831" spans="1:26" ht="15.75" customHeight="1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42"/>
      <c r="W831" s="1"/>
      <c r="X831" s="1"/>
      <c r="Y831" s="1"/>
      <c r="Z831" s="86"/>
    </row>
    <row r="832" spans="1:26" ht="15.75" customHeight="1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42"/>
      <c r="W832" s="1"/>
      <c r="X832" s="1"/>
      <c r="Y832" s="1"/>
      <c r="Z832" s="86"/>
    </row>
    <row r="833" spans="1:26" ht="15.75" customHeight="1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42"/>
      <c r="W833" s="1"/>
      <c r="X833" s="1"/>
      <c r="Y833" s="1"/>
      <c r="Z833" s="86"/>
    </row>
    <row r="834" spans="1:26" ht="15.75" customHeight="1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42"/>
      <c r="W834" s="1"/>
      <c r="X834" s="1"/>
      <c r="Y834" s="1"/>
      <c r="Z834" s="86"/>
    </row>
    <row r="835" spans="1:26" ht="15.75" customHeight="1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42"/>
      <c r="W835" s="1"/>
      <c r="X835" s="1"/>
      <c r="Y835" s="1"/>
      <c r="Z835" s="86"/>
    </row>
    <row r="836" spans="1:26" ht="15.75" customHeight="1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42"/>
      <c r="W836" s="1"/>
      <c r="X836" s="1"/>
      <c r="Y836" s="1"/>
      <c r="Z836" s="86"/>
    </row>
    <row r="837" spans="1:26" ht="15.75" customHeight="1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42"/>
      <c r="W837" s="1"/>
      <c r="X837" s="1"/>
      <c r="Y837" s="1"/>
      <c r="Z837" s="86"/>
    </row>
    <row r="838" spans="1:26" ht="15.75" customHeight="1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42"/>
      <c r="W838" s="1"/>
      <c r="X838" s="1"/>
      <c r="Y838" s="1"/>
      <c r="Z838" s="86"/>
    </row>
    <row r="839" spans="1:26" ht="15.75" customHeight="1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42"/>
      <c r="W839" s="1"/>
      <c r="X839" s="1"/>
      <c r="Y839" s="1"/>
      <c r="Z839" s="86"/>
    </row>
    <row r="840" spans="1:26" ht="15.75" customHeight="1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42"/>
      <c r="W840" s="1"/>
      <c r="X840" s="1"/>
      <c r="Y840" s="1"/>
      <c r="Z840" s="86"/>
    </row>
    <row r="841" spans="1:26" ht="15.75" customHeight="1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42"/>
      <c r="W841" s="1"/>
      <c r="X841" s="1"/>
      <c r="Y841" s="1"/>
      <c r="Z841" s="86"/>
    </row>
    <row r="842" spans="1:26" ht="15.75" customHeight="1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42"/>
      <c r="W842" s="1"/>
      <c r="X842" s="1"/>
      <c r="Y842" s="1"/>
      <c r="Z842" s="86"/>
    </row>
    <row r="843" spans="1:26" ht="15.75" customHeight="1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42"/>
      <c r="W843" s="1"/>
      <c r="X843" s="1"/>
      <c r="Y843" s="1"/>
      <c r="Z843" s="86"/>
    </row>
    <row r="844" spans="1:26" ht="15.75" customHeight="1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42"/>
      <c r="W844" s="1"/>
      <c r="X844" s="1"/>
      <c r="Y844" s="1"/>
      <c r="Z844" s="86"/>
    </row>
    <row r="845" spans="1:26" ht="15.75" customHeight="1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42"/>
      <c r="W845" s="1"/>
      <c r="X845" s="1"/>
      <c r="Y845" s="1"/>
      <c r="Z845" s="86"/>
    </row>
    <row r="846" spans="1:26" ht="15.75" customHeight="1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42"/>
      <c r="W846" s="1"/>
      <c r="X846" s="1"/>
      <c r="Y846" s="1"/>
      <c r="Z846" s="86"/>
    </row>
    <row r="847" spans="1:26" ht="15.75" customHeight="1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42"/>
      <c r="W847" s="1"/>
      <c r="X847" s="1"/>
      <c r="Y847" s="1"/>
      <c r="Z847" s="86"/>
    </row>
    <row r="848" spans="1:26" ht="15.75" customHeight="1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42"/>
      <c r="W848" s="1"/>
      <c r="X848" s="1"/>
      <c r="Y848" s="1"/>
      <c r="Z848" s="86"/>
    </row>
    <row r="849" spans="1:26" ht="15.75" customHeight="1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42"/>
      <c r="W849" s="1"/>
      <c r="X849" s="1"/>
      <c r="Y849" s="1"/>
      <c r="Z849" s="86"/>
    </row>
    <row r="850" spans="1:26" ht="15.75" customHeight="1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42"/>
      <c r="W850" s="1"/>
      <c r="X850" s="1"/>
      <c r="Y850" s="1"/>
      <c r="Z850" s="86"/>
    </row>
    <row r="851" spans="1:26" ht="15.75" customHeight="1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42"/>
      <c r="W851" s="1"/>
      <c r="X851" s="1"/>
      <c r="Y851" s="1"/>
      <c r="Z851" s="86"/>
    </row>
    <row r="852" spans="1:26" ht="15.75" customHeight="1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42"/>
      <c r="W852" s="1"/>
      <c r="X852" s="1"/>
      <c r="Y852" s="1"/>
      <c r="Z852" s="86"/>
    </row>
    <row r="853" spans="1:26" ht="15.75" customHeight="1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42"/>
      <c r="W853" s="1"/>
      <c r="X853" s="1"/>
      <c r="Y853" s="1"/>
      <c r="Z853" s="86"/>
    </row>
    <row r="854" spans="1:26" ht="15.75" customHeight="1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42"/>
      <c r="W854" s="1"/>
      <c r="X854" s="1"/>
      <c r="Y854" s="1"/>
      <c r="Z854" s="86"/>
    </row>
    <row r="855" spans="1:26" ht="15.75" customHeight="1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42"/>
      <c r="W855" s="1"/>
      <c r="X855" s="1"/>
      <c r="Y855" s="1"/>
      <c r="Z855" s="86"/>
    </row>
    <row r="856" spans="1:26" ht="15.75" customHeight="1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42"/>
      <c r="W856" s="1"/>
      <c r="X856" s="1"/>
      <c r="Y856" s="1"/>
      <c r="Z856" s="86"/>
    </row>
    <row r="857" spans="1:26" ht="15.75" customHeight="1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42"/>
      <c r="W857" s="1"/>
      <c r="X857" s="1"/>
      <c r="Y857" s="1"/>
      <c r="Z857" s="86"/>
    </row>
    <row r="858" spans="1:26" ht="15.75" customHeight="1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42"/>
      <c r="W858" s="1"/>
      <c r="X858" s="1"/>
      <c r="Y858" s="1"/>
      <c r="Z858" s="86"/>
    </row>
    <row r="859" spans="1:26" ht="15.75" customHeight="1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42"/>
      <c r="W859" s="1"/>
      <c r="X859" s="1"/>
      <c r="Y859" s="1"/>
      <c r="Z859" s="86"/>
    </row>
    <row r="860" spans="1:26" ht="15.75" customHeight="1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42"/>
      <c r="W860" s="1"/>
      <c r="X860" s="1"/>
      <c r="Y860" s="1"/>
      <c r="Z860" s="86"/>
    </row>
    <row r="861" spans="1:26" ht="15.75" customHeight="1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42"/>
      <c r="W861" s="1"/>
      <c r="X861" s="1"/>
      <c r="Y861" s="1"/>
      <c r="Z861" s="86"/>
    </row>
    <row r="862" spans="1:26" ht="15.75" customHeight="1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42"/>
      <c r="W862" s="1"/>
      <c r="X862" s="1"/>
      <c r="Y862" s="1"/>
      <c r="Z862" s="86"/>
    </row>
    <row r="863" spans="1:26" ht="15.75" customHeight="1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42"/>
      <c r="W863" s="1"/>
      <c r="X863" s="1"/>
      <c r="Y863" s="1"/>
      <c r="Z863" s="86"/>
    </row>
    <row r="864" spans="1:26" ht="15.75" customHeight="1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42"/>
      <c r="W864" s="1"/>
      <c r="X864" s="1"/>
      <c r="Y864" s="1"/>
      <c r="Z864" s="86"/>
    </row>
    <row r="865" spans="1:26" ht="15.75" customHeight="1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42"/>
      <c r="W865" s="1"/>
      <c r="X865" s="1"/>
      <c r="Y865" s="1"/>
      <c r="Z865" s="86"/>
    </row>
    <row r="866" spans="1:26" ht="15.75" customHeight="1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42"/>
      <c r="W866" s="1"/>
      <c r="X866" s="1"/>
      <c r="Y866" s="1"/>
      <c r="Z866" s="86"/>
    </row>
    <row r="867" spans="1:26" ht="15.75" customHeight="1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42"/>
      <c r="W867" s="1"/>
      <c r="X867" s="1"/>
      <c r="Y867" s="1"/>
      <c r="Z867" s="86"/>
    </row>
    <row r="868" spans="1:26" ht="15.75" customHeight="1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42"/>
      <c r="W868" s="1"/>
      <c r="X868" s="1"/>
      <c r="Y868" s="1"/>
      <c r="Z868" s="86"/>
    </row>
    <row r="869" spans="1:26" ht="15.75" customHeight="1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42"/>
      <c r="W869" s="1"/>
      <c r="X869" s="1"/>
      <c r="Y869" s="1"/>
      <c r="Z869" s="86"/>
    </row>
    <row r="870" spans="1:26" ht="15.75" customHeight="1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42"/>
      <c r="W870" s="1"/>
      <c r="X870" s="1"/>
      <c r="Y870" s="1"/>
      <c r="Z870" s="86"/>
    </row>
    <row r="871" spans="1:26" ht="15.75" customHeight="1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42"/>
      <c r="W871" s="1"/>
      <c r="X871" s="1"/>
      <c r="Y871" s="1"/>
      <c r="Z871" s="86"/>
    </row>
    <row r="872" spans="1:26" ht="15.75" customHeight="1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42"/>
      <c r="W872" s="1"/>
      <c r="X872" s="1"/>
      <c r="Y872" s="1"/>
      <c r="Z872" s="86"/>
    </row>
    <row r="873" spans="1:26" ht="15.75" customHeight="1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42"/>
      <c r="W873" s="1"/>
      <c r="X873" s="1"/>
      <c r="Y873" s="1"/>
      <c r="Z873" s="86"/>
    </row>
    <row r="874" spans="1:26" ht="15.75" customHeight="1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42"/>
      <c r="W874" s="1"/>
      <c r="X874" s="1"/>
      <c r="Y874" s="1"/>
      <c r="Z874" s="86"/>
    </row>
    <row r="875" spans="1:26" ht="15.75" customHeight="1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42"/>
      <c r="W875" s="1"/>
      <c r="X875" s="1"/>
      <c r="Y875" s="1"/>
      <c r="Z875" s="86"/>
    </row>
    <row r="876" spans="1:26" ht="15.75" customHeight="1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42"/>
      <c r="W876" s="1"/>
      <c r="X876" s="1"/>
      <c r="Y876" s="1"/>
      <c r="Z876" s="86"/>
    </row>
    <row r="877" spans="1:26" ht="15.75" customHeight="1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42"/>
      <c r="W877" s="1"/>
      <c r="X877" s="1"/>
      <c r="Y877" s="1"/>
      <c r="Z877" s="86"/>
    </row>
    <row r="878" spans="1:26" ht="15.75" customHeight="1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42"/>
      <c r="W878" s="1"/>
      <c r="X878" s="1"/>
      <c r="Y878" s="1"/>
      <c r="Z878" s="86"/>
    </row>
    <row r="879" spans="1:26" ht="15.75" customHeight="1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42"/>
      <c r="W879" s="1"/>
      <c r="X879" s="1"/>
      <c r="Y879" s="1"/>
      <c r="Z879" s="86"/>
    </row>
    <row r="880" spans="1:26" ht="15.75" customHeight="1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42"/>
      <c r="W880" s="1"/>
      <c r="X880" s="1"/>
      <c r="Y880" s="1"/>
      <c r="Z880" s="86"/>
    </row>
    <row r="881" spans="1:26" ht="15.75" customHeight="1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42"/>
      <c r="W881" s="1"/>
      <c r="X881" s="1"/>
      <c r="Y881" s="1"/>
      <c r="Z881" s="86"/>
    </row>
    <row r="882" spans="1:26" ht="15.75" customHeight="1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42"/>
      <c r="W882" s="1"/>
      <c r="X882" s="1"/>
      <c r="Y882" s="1"/>
      <c r="Z882" s="86"/>
    </row>
    <row r="883" spans="1:26" ht="15.75" customHeight="1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42"/>
      <c r="W883" s="1"/>
      <c r="X883" s="1"/>
      <c r="Y883" s="1"/>
      <c r="Z883" s="86"/>
    </row>
    <row r="884" spans="1:26" ht="15.75" customHeight="1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42"/>
      <c r="W884" s="1"/>
      <c r="X884" s="1"/>
      <c r="Y884" s="1"/>
      <c r="Z884" s="86"/>
    </row>
    <row r="885" spans="1:26" ht="15.75" customHeight="1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42"/>
      <c r="W885" s="1"/>
      <c r="X885" s="1"/>
      <c r="Y885" s="1"/>
      <c r="Z885" s="86"/>
    </row>
    <row r="886" spans="1:26" ht="15.75" customHeight="1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42"/>
      <c r="W886" s="1"/>
      <c r="X886" s="1"/>
      <c r="Y886" s="1"/>
      <c r="Z886" s="86"/>
    </row>
    <row r="887" spans="1:26" ht="15.75" customHeight="1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42"/>
      <c r="W887" s="1"/>
      <c r="X887" s="1"/>
      <c r="Y887" s="1"/>
      <c r="Z887" s="86"/>
    </row>
    <row r="888" spans="1:26" ht="15.75" customHeight="1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42"/>
      <c r="W888" s="1"/>
      <c r="X888" s="1"/>
      <c r="Y888" s="1"/>
      <c r="Z888" s="86"/>
    </row>
    <row r="889" spans="1:26" ht="15.75" customHeight="1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42"/>
      <c r="W889" s="1"/>
      <c r="X889" s="1"/>
      <c r="Y889" s="1"/>
      <c r="Z889" s="86"/>
    </row>
    <row r="890" spans="1:26" ht="15.75" customHeight="1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42"/>
      <c r="W890" s="1"/>
      <c r="X890" s="1"/>
      <c r="Y890" s="1"/>
      <c r="Z890" s="86"/>
    </row>
    <row r="891" spans="1:26" ht="15.75" customHeight="1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42"/>
      <c r="W891" s="1"/>
      <c r="X891" s="1"/>
      <c r="Y891" s="1"/>
      <c r="Z891" s="86"/>
    </row>
    <row r="892" spans="1:26" ht="15.75" customHeight="1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42"/>
      <c r="W892" s="1"/>
      <c r="X892" s="1"/>
      <c r="Y892" s="1"/>
      <c r="Z892" s="86"/>
    </row>
    <row r="893" spans="1:26" ht="15.75" customHeight="1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42"/>
      <c r="W893" s="1"/>
      <c r="X893" s="1"/>
      <c r="Y893" s="1"/>
      <c r="Z893" s="86"/>
    </row>
    <row r="894" spans="1:26" ht="15.75" customHeight="1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42"/>
      <c r="W894" s="1"/>
      <c r="X894" s="1"/>
      <c r="Y894" s="1"/>
      <c r="Z894" s="86"/>
    </row>
    <row r="895" spans="1:26" ht="15.75" customHeight="1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42"/>
      <c r="W895" s="1"/>
      <c r="X895" s="1"/>
      <c r="Y895" s="1"/>
      <c r="Z895" s="86"/>
    </row>
    <row r="896" spans="1:26" ht="15.75" customHeight="1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42"/>
      <c r="W896" s="1"/>
      <c r="X896" s="1"/>
      <c r="Y896" s="1"/>
      <c r="Z896" s="86"/>
    </row>
    <row r="897" spans="1:26" ht="15.75" customHeight="1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42"/>
      <c r="W897" s="1"/>
      <c r="X897" s="1"/>
      <c r="Y897" s="1"/>
      <c r="Z897" s="86"/>
    </row>
    <row r="898" spans="1:26" ht="15.75" customHeight="1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42"/>
      <c r="W898" s="1"/>
      <c r="X898" s="1"/>
      <c r="Y898" s="1"/>
      <c r="Z898" s="86"/>
    </row>
    <row r="899" spans="1:26" ht="15.75" customHeight="1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42"/>
      <c r="W899" s="1"/>
      <c r="X899" s="1"/>
      <c r="Y899" s="1"/>
      <c r="Z899" s="86"/>
    </row>
    <row r="900" spans="1:26" ht="15.75" customHeight="1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42"/>
      <c r="W900" s="1"/>
      <c r="X900" s="1"/>
      <c r="Y900" s="1"/>
      <c r="Z900" s="86"/>
    </row>
    <row r="901" spans="1:26" ht="15.75" customHeight="1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42"/>
      <c r="W901" s="1"/>
      <c r="X901" s="1"/>
      <c r="Y901" s="1"/>
      <c r="Z901" s="86"/>
    </row>
    <row r="902" spans="1:26" ht="15.75" customHeight="1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42"/>
      <c r="W902" s="1"/>
      <c r="X902" s="1"/>
      <c r="Y902" s="1"/>
      <c r="Z902" s="86"/>
    </row>
    <row r="903" spans="1:26" ht="15.75" customHeight="1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42"/>
      <c r="W903" s="1"/>
      <c r="X903" s="1"/>
      <c r="Y903" s="1"/>
      <c r="Z903" s="86"/>
    </row>
    <row r="904" spans="1:26" ht="15.75" customHeight="1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42"/>
      <c r="W904" s="1"/>
      <c r="X904" s="1"/>
      <c r="Y904" s="1"/>
      <c r="Z904" s="86"/>
    </row>
    <row r="905" spans="1:26" ht="15.75" customHeight="1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42"/>
      <c r="W905" s="1"/>
      <c r="X905" s="1"/>
      <c r="Y905" s="1"/>
      <c r="Z905" s="86"/>
    </row>
    <row r="906" spans="1:26" ht="15.75" customHeight="1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42"/>
      <c r="W906" s="1"/>
      <c r="X906" s="1"/>
      <c r="Y906" s="1"/>
      <c r="Z906" s="86"/>
    </row>
    <row r="907" spans="1:26" ht="15.75" customHeight="1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42"/>
      <c r="W907" s="1"/>
      <c r="X907" s="1"/>
      <c r="Y907" s="1"/>
      <c r="Z907" s="86"/>
    </row>
    <row r="908" spans="1:26" ht="15.75" customHeight="1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42"/>
      <c r="W908" s="1"/>
      <c r="X908" s="1"/>
      <c r="Y908" s="1"/>
      <c r="Z908" s="86"/>
    </row>
    <row r="909" spans="1:26" ht="15.75" customHeight="1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42"/>
      <c r="W909" s="1"/>
      <c r="X909" s="1"/>
      <c r="Y909" s="1"/>
      <c r="Z909" s="86"/>
    </row>
    <row r="910" spans="1:26" ht="15.75" customHeight="1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42"/>
      <c r="W910" s="1"/>
      <c r="X910" s="1"/>
      <c r="Y910" s="1"/>
      <c r="Z910" s="86"/>
    </row>
    <row r="911" spans="1:26" ht="15.75" customHeight="1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42"/>
      <c r="W911" s="1"/>
      <c r="X911" s="1"/>
      <c r="Y911" s="1"/>
      <c r="Z911" s="86"/>
    </row>
    <row r="912" spans="1:26" ht="15.75" customHeight="1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42"/>
      <c r="W912" s="1"/>
      <c r="X912" s="1"/>
      <c r="Y912" s="1"/>
      <c r="Z912" s="86"/>
    </row>
    <row r="913" spans="1:26" ht="15.75" customHeight="1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42"/>
      <c r="W913" s="1"/>
      <c r="X913" s="1"/>
      <c r="Y913" s="1"/>
      <c r="Z913" s="86"/>
    </row>
    <row r="914" spans="1:26" ht="15.75" customHeight="1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42"/>
      <c r="W914" s="1"/>
      <c r="X914" s="1"/>
      <c r="Y914" s="1"/>
      <c r="Z914" s="86"/>
    </row>
    <row r="915" spans="1:26" ht="15.75" customHeight="1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42"/>
      <c r="W915" s="1"/>
      <c r="X915" s="1"/>
      <c r="Y915" s="1"/>
      <c r="Z915" s="86"/>
    </row>
    <row r="916" spans="1:26" ht="15.75" customHeight="1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42"/>
      <c r="W916" s="1"/>
      <c r="X916" s="1"/>
      <c r="Y916" s="1"/>
      <c r="Z916" s="86"/>
    </row>
    <row r="917" spans="1:26" ht="15.75" customHeight="1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42"/>
      <c r="W917" s="1"/>
      <c r="X917" s="1"/>
      <c r="Y917" s="1"/>
      <c r="Z917" s="86"/>
    </row>
    <row r="918" spans="1:26" ht="15.75" customHeight="1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42"/>
      <c r="W918" s="1"/>
      <c r="X918" s="1"/>
      <c r="Y918" s="1"/>
      <c r="Z918" s="86"/>
    </row>
    <row r="919" spans="1:26" ht="15.75" customHeight="1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42"/>
      <c r="W919" s="1"/>
      <c r="X919" s="1"/>
      <c r="Y919" s="1"/>
      <c r="Z919" s="86"/>
    </row>
    <row r="920" spans="1:26" ht="15.75" customHeight="1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42"/>
      <c r="W920" s="1"/>
      <c r="X920" s="1"/>
      <c r="Y920" s="1"/>
      <c r="Z920" s="86"/>
    </row>
    <row r="921" spans="1:26" ht="15.75" customHeight="1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42"/>
      <c r="W921" s="1"/>
      <c r="X921" s="1"/>
      <c r="Y921" s="1"/>
      <c r="Z921" s="86"/>
    </row>
    <row r="922" spans="1:26" ht="15.75" customHeight="1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42"/>
      <c r="W922" s="1"/>
      <c r="X922" s="1"/>
      <c r="Y922" s="1"/>
      <c r="Z922" s="86"/>
    </row>
    <row r="923" spans="1:26" ht="15.75" customHeight="1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42"/>
      <c r="W923" s="1"/>
      <c r="X923" s="1"/>
      <c r="Y923" s="1"/>
      <c r="Z923" s="86"/>
    </row>
    <row r="924" spans="1:26" ht="15.75" customHeight="1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42"/>
      <c r="W924" s="1"/>
      <c r="X924" s="1"/>
      <c r="Y924" s="1"/>
      <c r="Z924" s="86"/>
    </row>
    <row r="925" spans="1:26" ht="15.75" customHeight="1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42"/>
      <c r="W925" s="1"/>
      <c r="X925" s="1"/>
      <c r="Y925" s="1"/>
      <c r="Z925" s="86"/>
    </row>
    <row r="926" spans="1:26" ht="15.75" customHeight="1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42"/>
      <c r="W926" s="1"/>
      <c r="X926" s="1"/>
      <c r="Y926" s="1"/>
      <c r="Z926" s="86"/>
    </row>
    <row r="927" spans="1:26" ht="15.75" customHeight="1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42"/>
      <c r="W927" s="1"/>
      <c r="X927" s="1"/>
      <c r="Y927" s="1"/>
      <c r="Z927" s="86"/>
    </row>
    <row r="928" spans="1:26" ht="15.75" customHeight="1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42"/>
      <c r="W928" s="1"/>
      <c r="X928" s="1"/>
      <c r="Y928" s="1"/>
      <c r="Z928" s="86"/>
    </row>
    <row r="929" spans="1:26" ht="15.75" customHeight="1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42"/>
      <c r="W929" s="1"/>
      <c r="X929" s="1"/>
      <c r="Y929" s="1"/>
      <c r="Z929" s="86"/>
    </row>
    <row r="930" spans="1:26" ht="15.75" customHeight="1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42"/>
      <c r="W930" s="1"/>
      <c r="X930" s="1"/>
      <c r="Y930" s="1"/>
      <c r="Z930" s="86"/>
    </row>
    <row r="931" spans="1:26" ht="15.75" customHeight="1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42"/>
      <c r="W931" s="1"/>
      <c r="X931" s="1"/>
      <c r="Y931" s="1"/>
      <c r="Z931" s="86"/>
    </row>
    <row r="932" spans="1:26" ht="15.75" customHeight="1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42"/>
      <c r="W932" s="1"/>
      <c r="X932" s="1"/>
      <c r="Y932" s="1"/>
      <c r="Z932" s="86"/>
    </row>
    <row r="933" spans="1:26" ht="15.75" customHeight="1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42"/>
      <c r="W933" s="1"/>
      <c r="X933" s="1"/>
      <c r="Y933" s="1"/>
      <c r="Z933" s="86"/>
    </row>
    <row r="934" spans="1:26" ht="15.75" customHeight="1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42"/>
      <c r="W934" s="1"/>
      <c r="X934" s="1"/>
      <c r="Y934" s="1"/>
      <c r="Z934" s="86"/>
    </row>
    <row r="935" spans="1:26" ht="15.75" customHeight="1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42"/>
      <c r="W935" s="1"/>
      <c r="X935" s="1"/>
      <c r="Y935" s="1"/>
      <c r="Z935" s="86"/>
    </row>
    <row r="936" spans="1:26" ht="15.75" customHeight="1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42"/>
      <c r="W936" s="1"/>
      <c r="X936" s="1"/>
      <c r="Y936" s="1"/>
      <c r="Z936" s="86"/>
    </row>
    <row r="937" spans="1:26" ht="15.75" customHeight="1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42"/>
      <c r="W937" s="1"/>
      <c r="X937" s="1"/>
      <c r="Y937" s="1"/>
      <c r="Z937" s="86"/>
    </row>
    <row r="938" spans="1:26" ht="15.75" customHeight="1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42"/>
      <c r="W938" s="1"/>
      <c r="X938" s="1"/>
      <c r="Y938" s="1"/>
      <c r="Z938" s="86"/>
    </row>
    <row r="939" spans="1:26" ht="15.75" customHeight="1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42"/>
      <c r="W939" s="1"/>
      <c r="X939" s="1"/>
      <c r="Y939" s="1"/>
      <c r="Z939" s="86"/>
    </row>
    <row r="940" spans="1:26" ht="15.75" customHeight="1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42"/>
      <c r="W940" s="1"/>
      <c r="X940" s="1"/>
      <c r="Y940" s="1"/>
      <c r="Z940" s="86"/>
    </row>
    <row r="941" spans="1:26" ht="15.75" customHeight="1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42"/>
      <c r="W941" s="1"/>
      <c r="X941" s="1"/>
      <c r="Y941" s="1"/>
      <c r="Z941" s="86"/>
    </row>
    <row r="942" spans="1:26" ht="15.75" customHeight="1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42"/>
      <c r="W942" s="1"/>
      <c r="X942" s="1"/>
      <c r="Y942" s="1"/>
      <c r="Z942" s="86"/>
    </row>
    <row r="943" spans="1:26" ht="15.75" customHeight="1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42"/>
      <c r="W943" s="1"/>
      <c r="X943" s="1"/>
      <c r="Y943" s="1"/>
      <c r="Z943" s="86"/>
    </row>
    <row r="944" spans="1:26" ht="15.75" customHeight="1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42"/>
      <c r="W944" s="1"/>
      <c r="X944" s="1"/>
      <c r="Y944" s="1"/>
      <c r="Z944" s="86"/>
    </row>
    <row r="945" spans="1:26" ht="15.75" customHeight="1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42"/>
      <c r="W945" s="1"/>
      <c r="X945" s="1"/>
      <c r="Y945" s="1"/>
      <c r="Z945" s="86"/>
    </row>
    <row r="946" spans="1:26" ht="15.75" customHeight="1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42"/>
      <c r="W946" s="1"/>
      <c r="X946" s="1"/>
      <c r="Y946" s="1"/>
      <c r="Z946" s="86"/>
    </row>
    <row r="947" spans="1:26" ht="15.75" customHeight="1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42"/>
      <c r="W947" s="1"/>
      <c r="X947" s="1"/>
      <c r="Y947" s="1"/>
      <c r="Z947" s="86"/>
    </row>
    <row r="948" spans="1:26" ht="15.75" customHeight="1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42"/>
      <c r="W948" s="1"/>
      <c r="X948" s="1"/>
      <c r="Y948" s="1"/>
      <c r="Z948" s="86"/>
    </row>
    <row r="949" spans="1:26" ht="15.75" customHeight="1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42"/>
      <c r="W949" s="1"/>
      <c r="X949" s="1"/>
      <c r="Y949" s="1"/>
      <c r="Z949" s="86"/>
    </row>
    <row r="950" spans="1:26" ht="15.75" customHeight="1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42"/>
      <c r="W950" s="1"/>
      <c r="X950" s="1"/>
      <c r="Y950" s="1"/>
      <c r="Z950" s="86"/>
    </row>
    <row r="951" spans="1:26" ht="15.75" customHeight="1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42"/>
      <c r="W951" s="1"/>
      <c r="X951" s="1"/>
      <c r="Y951" s="1"/>
      <c r="Z951" s="86"/>
    </row>
    <row r="952" spans="1:26" ht="15.75" customHeight="1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42"/>
      <c r="W952" s="1"/>
      <c r="X952" s="1"/>
      <c r="Y952" s="1"/>
      <c r="Z952" s="86"/>
    </row>
    <row r="953" spans="1:26" ht="15.75" customHeight="1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42"/>
      <c r="W953" s="1"/>
      <c r="X953" s="1"/>
      <c r="Y953" s="1"/>
      <c r="Z953" s="86"/>
    </row>
    <row r="954" spans="1:26" ht="15.75" customHeight="1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42"/>
      <c r="W954" s="1"/>
      <c r="X954" s="1"/>
      <c r="Y954" s="1"/>
      <c r="Z954" s="86"/>
    </row>
    <row r="955" spans="1:26" ht="15.75" customHeight="1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42"/>
      <c r="W955" s="1"/>
      <c r="X955" s="1"/>
      <c r="Y955" s="1"/>
      <c r="Z955" s="86"/>
    </row>
    <row r="956" spans="1:26" ht="15.75" customHeight="1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42"/>
      <c r="W956" s="1"/>
      <c r="X956" s="1"/>
      <c r="Y956" s="1"/>
      <c r="Z956" s="86"/>
    </row>
    <row r="957" spans="1:26" ht="15.75" customHeight="1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42"/>
      <c r="W957" s="1"/>
      <c r="X957" s="1"/>
      <c r="Y957" s="1"/>
      <c r="Z957" s="86"/>
    </row>
    <row r="958" spans="1:26" ht="15.75" customHeight="1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42"/>
      <c r="W958" s="1"/>
      <c r="X958" s="1"/>
      <c r="Y958" s="1"/>
      <c r="Z958" s="86"/>
    </row>
    <row r="959" spans="1:26" ht="15.75" customHeight="1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42"/>
      <c r="W959" s="1"/>
      <c r="X959" s="1"/>
      <c r="Y959" s="1"/>
      <c r="Z959" s="86"/>
    </row>
    <row r="960" spans="1:26" ht="15.75" customHeight="1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42"/>
      <c r="W960" s="1"/>
      <c r="X960" s="1"/>
      <c r="Y960" s="1"/>
      <c r="Z960" s="86"/>
    </row>
    <row r="961" spans="1:26" ht="15.75" customHeight="1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42"/>
      <c r="W961" s="1"/>
      <c r="X961" s="1"/>
      <c r="Y961" s="1"/>
      <c r="Z961" s="86"/>
    </row>
    <row r="962" spans="1:26" ht="15.75" customHeight="1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42"/>
      <c r="W962" s="1"/>
      <c r="X962" s="1"/>
      <c r="Y962" s="1"/>
      <c r="Z962" s="86"/>
    </row>
    <row r="963" spans="1:26" ht="15.75" customHeight="1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42"/>
      <c r="W963" s="1"/>
      <c r="X963" s="1"/>
      <c r="Y963" s="1"/>
      <c r="Z963" s="86"/>
    </row>
    <row r="964" spans="1:26" ht="15.75" customHeight="1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42"/>
      <c r="W964" s="1"/>
      <c r="X964" s="1"/>
      <c r="Y964" s="1"/>
      <c r="Z964" s="86"/>
    </row>
    <row r="965" spans="1:26" ht="15.75" customHeight="1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42"/>
      <c r="W965" s="1"/>
      <c r="X965" s="1"/>
      <c r="Y965" s="1"/>
      <c r="Z965" s="86"/>
    </row>
    <row r="966" spans="1:26" ht="15.75" customHeight="1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42"/>
      <c r="W966" s="1"/>
      <c r="X966" s="1"/>
      <c r="Y966" s="1"/>
      <c r="Z966" s="86"/>
    </row>
    <row r="967" spans="1:26" ht="15.75" customHeight="1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42"/>
      <c r="W967" s="1"/>
      <c r="X967" s="1"/>
      <c r="Y967" s="1"/>
      <c r="Z967" s="86"/>
    </row>
    <row r="968" spans="1:26" ht="15.75" customHeight="1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42"/>
      <c r="W968" s="1"/>
      <c r="X968" s="1"/>
      <c r="Y968" s="1"/>
      <c r="Z968" s="86"/>
    </row>
    <row r="969" spans="1:26" ht="15.75" customHeight="1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42"/>
      <c r="W969" s="1"/>
      <c r="X969" s="1"/>
      <c r="Y969" s="1"/>
      <c r="Z969" s="86"/>
    </row>
    <row r="970" spans="1:26" ht="15.75" customHeight="1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42"/>
      <c r="W970" s="1"/>
      <c r="X970" s="1"/>
      <c r="Y970" s="1"/>
      <c r="Z970" s="86"/>
    </row>
    <row r="971" spans="1:26" ht="15.75" customHeight="1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42"/>
      <c r="W971" s="1"/>
      <c r="X971" s="1"/>
      <c r="Y971" s="1"/>
      <c r="Z971" s="86"/>
    </row>
    <row r="972" spans="1:26" ht="15.75" customHeight="1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42"/>
      <c r="W972" s="1"/>
      <c r="X972" s="1"/>
      <c r="Y972" s="1"/>
      <c r="Z972" s="86"/>
    </row>
    <row r="973" spans="1:26" ht="15.75" customHeight="1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42"/>
      <c r="W973" s="1"/>
      <c r="X973" s="1"/>
      <c r="Y973" s="1"/>
      <c r="Z973" s="86"/>
    </row>
    <row r="974" spans="1:26" ht="15.75" customHeight="1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42"/>
      <c r="W974" s="1"/>
      <c r="X974" s="1"/>
      <c r="Y974" s="1"/>
      <c r="Z974" s="86"/>
    </row>
    <row r="975" spans="1:26" ht="15.75" customHeight="1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42"/>
      <c r="W975" s="1"/>
      <c r="X975" s="1"/>
      <c r="Y975" s="1"/>
      <c r="Z975" s="86"/>
    </row>
    <row r="976" spans="1:26" ht="15.75" customHeight="1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42"/>
      <c r="W976" s="1"/>
      <c r="X976" s="1"/>
      <c r="Y976" s="1"/>
      <c r="Z976" s="86"/>
    </row>
    <row r="977" spans="1:26" ht="15.75" customHeight="1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42"/>
      <c r="W977" s="1"/>
      <c r="X977" s="1"/>
      <c r="Y977" s="1"/>
      <c r="Z977" s="86"/>
    </row>
    <row r="978" spans="1:26" ht="15.75" customHeight="1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42"/>
      <c r="W978" s="1"/>
      <c r="X978" s="1"/>
      <c r="Y978" s="1"/>
      <c r="Z978" s="86"/>
    </row>
    <row r="979" spans="1:26" ht="15.75" customHeight="1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42"/>
      <c r="W979" s="1"/>
      <c r="X979" s="1"/>
      <c r="Y979" s="1"/>
      <c r="Z979" s="86"/>
    </row>
    <row r="980" spans="1:26" ht="15.75" customHeight="1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42"/>
      <c r="W980" s="1"/>
      <c r="X980" s="1"/>
      <c r="Y980" s="1"/>
      <c r="Z980" s="86"/>
    </row>
    <row r="981" spans="1:26" ht="15.75" customHeight="1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42"/>
      <c r="W981" s="1"/>
      <c r="X981" s="1"/>
      <c r="Y981" s="1"/>
      <c r="Z981" s="86"/>
    </row>
    <row r="982" spans="1:26" ht="15.75" customHeight="1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42"/>
      <c r="W982" s="1"/>
      <c r="X982" s="1"/>
      <c r="Y982" s="1"/>
      <c r="Z982" s="86"/>
    </row>
    <row r="983" spans="1:26" ht="15.75" customHeight="1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42"/>
      <c r="W983" s="1"/>
      <c r="X983" s="1"/>
      <c r="Y983" s="1"/>
      <c r="Z983" s="86"/>
    </row>
    <row r="984" spans="1:26" ht="15.75" customHeight="1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42"/>
      <c r="W984" s="1"/>
      <c r="X984" s="1"/>
      <c r="Y984" s="1"/>
      <c r="Z984" s="86"/>
    </row>
    <row r="985" spans="1:26" ht="15.75" customHeight="1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42"/>
      <c r="W985" s="1"/>
      <c r="X985" s="1"/>
      <c r="Y985" s="1"/>
      <c r="Z985" s="86"/>
    </row>
    <row r="986" spans="1:26" ht="15.75" customHeight="1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42"/>
      <c r="W986" s="1"/>
      <c r="X986" s="1"/>
      <c r="Y986" s="1"/>
      <c r="Z986" s="86"/>
    </row>
    <row r="987" spans="1:26" ht="15.75" customHeight="1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42"/>
      <c r="W987" s="1"/>
      <c r="X987" s="1"/>
      <c r="Y987" s="1"/>
      <c r="Z987" s="86"/>
    </row>
    <row r="988" spans="1:26" ht="15.75" customHeight="1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42"/>
      <c r="W988" s="1"/>
      <c r="X988" s="1"/>
      <c r="Y988" s="1"/>
      <c r="Z988" s="86"/>
    </row>
    <row r="989" spans="1:26" ht="15.75" customHeight="1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42"/>
      <c r="W989" s="1"/>
      <c r="X989" s="1"/>
      <c r="Y989" s="1"/>
      <c r="Z989" s="86"/>
    </row>
    <row r="990" spans="1:26" ht="15.75" customHeight="1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42"/>
      <c r="W990" s="1"/>
      <c r="X990" s="1"/>
      <c r="Y990" s="1"/>
      <c r="Z990" s="86"/>
    </row>
    <row r="991" spans="1:26" ht="15.75" customHeight="1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42"/>
      <c r="W991" s="1"/>
      <c r="X991" s="1"/>
      <c r="Y991" s="1"/>
      <c r="Z991" s="86"/>
    </row>
    <row r="992" spans="1:26" ht="15.75" customHeight="1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42"/>
      <c r="W992" s="1"/>
      <c r="X992" s="1"/>
      <c r="Y992" s="1"/>
      <c r="Z992" s="86"/>
    </row>
    <row r="993" spans="1:26" ht="15.75" customHeight="1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42"/>
      <c r="W993" s="1"/>
      <c r="X993" s="1"/>
      <c r="Y993" s="1"/>
      <c r="Z993" s="86"/>
    </row>
    <row r="994" spans="1:26" ht="15.75" customHeight="1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42"/>
      <c r="W994" s="1"/>
      <c r="X994" s="1"/>
      <c r="Y994" s="1"/>
      <c r="Z994" s="86"/>
    </row>
    <row r="995" spans="1:26" ht="15.75" customHeight="1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42"/>
      <c r="W995" s="1"/>
      <c r="X995" s="1"/>
      <c r="Y995" s="1"/>
      <c r="Z995" s="86"/>
    </row>
    <row r="996" spans="1:26" ht="15.75" customHeight="1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42"/>
      <c r="W996" s="1"/>
      <c r="X996" s="1"/>
      <c r="Y996" s="1"/>
      <c r="Z996" s="86"/>
    </row>
    <row r="997" spans="1:26" ht="15.75" customHeight="1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42"/>
      <c r="W997" s="1"/>
      <c r="X997" s="1"/>
      <c r="Y997" s="1"/>
      <c r="Z997" s="86"/>
    </row>
    <row r="998" spans="1:26" ht="15.75" customHeight="1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42"/>
      <c r="W998" s="1"/>
      <c r="X998" s="1"/>
      <c r="Y998" s="1"/>
      <c r="Z998" s="86"/>
    </row>
    <row r="999" spans="1:26" ht="15.75" customHeight="1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42"/>
      <c r="W999" s="1"/>
      <c r="X999" s="1"/>
      <c r="Y999" s="1"/>
      <c r="Z999" s="86"/>
    </row>
    <row r="1000" spans="1:26" ht="15.75" customHeight="1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42"/>
      <c r="W1000" s="1"/>
      <c r="X1000" s="1"/>
      <c r="Y1000" s="1"/>
      <c r="Z1000" s="86"/>
    </row>
  </sheetData>
  <dataValidations count="1">
    <dataValidation type="custom" allowBlank="1" showInputMessage="1" showErrorMessage="1" prompt="Petunjuk Pengisian - NIK/Nomor KTP harus terdiri dari 16 digit untuk e-KTP atau 17 digit untuk KTP biasa." sqref="H6 H8:H15 H18 H24 W23:W24 H26:H27 W28 H29:H35 H37:H39 H41 H45 H48:H59 H61:H79 H83 H86:H105 H107 H109:H118 H120 H123:H124 H126:H127 H130 H133:H134 H136:H141 H144:H191 H193 H195 H197 W197 H199:H200 H202:H203 H205 H207 H209:H212 W212 H215 H217:H221 H223:H229 H232 H237:H244 H249 H252 H254 H256 H258 H260 H269:H299 H302:H308 H310 H330 H340:H348 H350:H355 H357:H364 H366:H369 H377:H378 H380:H385 H390:H391 H393:H395 H408 H410 H412 H414:H419 H422:H423 H451:H452 H454 H456:H457 H459 H461:H462 H468 H476:H480 W489:W513 H483:H522 H524:H537 H539:H555 H558:H571 H573:H578 H581 H589:H590 H592:H593 W597 H595:H598 H600:H602 H604:H614 H616:H623 H625:H632 H635 H640:H660 W661 H662 H665:H687 H689" xr:uid="{00000000-0002-0000-0400-000000000000}">
      <formula1>AND(GTE(LEN(H6),MIN((16),(17))),LTE(LEN(H6),MAX((16),(17))))</formula1>
    </dataValidation>
  </dataValidation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00"/>
  </sheetPr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38.5703125" customWidth="1"/>
    <col min="3" max="3" width="3.7109375" customWidth="1"/>
    <col min="4" max="4" width="17" customWidth="1"/>
    <col min="5" max="5" width="11.85546875" customWidth="1"/>
    <col min="6" max="6" width="18.7109375" customWidth="1"/>
    <col min="7" max="7" width="18.28515625" customWidth="1"/>
    <col min="8" max="8" width="11.28515625" customWidth="1"/>
    <col min="9" max="9" width="31.140625" customWidth="1"/>
    <col min="10" max="10" width="21.42578125" customWidth="1"/>
    <col min="11" max="11" width="22.42578125" customWidth="1"/>
    <col min="12" max="12" width="7" customWidth="1"/>
    <col min="13" max="13" width="12.140625" customWidth="1"/>
    <col min="14" max="14" width="6.28515625" customWidth="1"/>
    <col min="15" max="15" width="6.85546875" customWidth="1"/>
    <col min="16" max="16" width="6" customWidth="1"/>
    <col min="17" max="17" width="18.5703125" customWidth="1"/>
    <col min="18" max="18" width="12.5703125" customWidth="1"/>
    <col min="19" max="19" width="11.42578125" customWidth="1"/>
    <col min="20" max="26" width="8" customWidth="1"/>
  </cols>
  <sheetData>
    <row r="1" spans="1:26" x14ac:dyDescent="0.25">
      <c r="A1" s="243" t="s">
        <v>6772</v>
      </c>
      <c r="B1" s="244"/>
      <c r="C1" s="244"/>
      <c r="D1" s="244"/>
      <c r="E1" s="244"/>
      <c r="F1" s="245"/>
      <c r="G1" s="246"/>
      <c r="H1" s="245"/>
      <c r="I1" s="247"/>
      <c r="J1" s="244"/>
      <c r="K1" s="244"/>
      <c r="L1" s="244"/>
      <c r="M1" s="244"/>
      <c r="N1" s="244"/>
      <c r="O1" s="244"/>
      <c r="P1" s="244"/>
      <c r="Q1" s="244"/>
      <c r="R1" s="244"/>
      <c r="S1" s="244"/>
    </row>
    <row r="2" spans="1:26" x14ac:dyDescent="0.25">
      <c r="A2" s="243" t="s">
        <v>6773</v>
      </c>
      <c r="B2" s="244"/>
      <c r="C2" s="244"/>
      <c r="D2" s="244"/>
      <c r="E2" s="244"/>
      <c r="F2" s="245"/>
      <c r="G2" s="246"/>
      <c r="H2" s="245"/>
      <c r="I2" s="247"/>
      <c r="J2" s="244"/>
      <c r="K2" s="244"/>
      <c r="L2" s="244"/>
      <c r="M2" s="244"/>
      <c r="N2" s="244"/>
      <c r="O2" s="244"/>
      <c r="P2" s="244"/>
      <c r="Q2" s="244"/>
      <c r="R2" s="244"/>
      <c r="S2" s="244"/>
    </row>
    <row r="3" spans="1:26" x14ac:dyDescent="0.25">
      <c r="A3" s="248"/>
      <c r="B3" s="249"/>
      <c r="C3" s="250"/>
      <c r="D3" s="250"/>
      <c r="E3" s="250"/>
      <c r="F3" s="251"/>
      <c r="G3" s="246"/>
      <c r="H3" s="251"/>
      <c r="J3" s="250"/>
      <c r="K3" s="250"/>
      <c r="L3" s="249"/>
      <c r="M3" s="252"/>
      <c r="N3" s="249"/>
      <c r="O3" s="249"/>
      <c r="P3" s="249"/>
      <c r="Q3" s="249"/>
      <c r="R3" s="253"/>
      <c r="S3" s="253"/>
    </row>
    <row r="4" spans="1:26" x14ac:dyDescent="0.25">
      <c r="A4" s="254" t="s">
        <v>357</v>
      </c>
      <c r="B4" s="255" t="s">
        <v>6774</v>
      </c>
      <c r="C4" s="255" t="s">
        <v>358</v>
      </c>
      <c r="D4" s="255" t="s">
        <v>965</v>
      </c>
      <c r="E4" s="255" t="s">
        <v>6775</v>
      </c>
      <c r="F4" s="256" t="s">
        <v>7</v>
      </c>
      <c r="G4" s="257" t="s">
        <v>8</v>
      </c>
      <c r="H4" s="256" t="s">
        <v>6776</v>
      </c>
      <c r="I4" s="258" t="s">
        <v>967</v>
      </c>
      <c r="J4" s="255" t="s">
        <v>12</v>
      </c>
      <c r="K4" s="259" t="s">
        <v>3</v>
      </c>
      <c r="L4" s="255" t="s">
        <v>6777</v>
      </c>
      <c r="M4" s="259" t="s">
        <v>3</v>
      </c>
      <c r="N4" s="260" t="s">
        <v>6778</v>
      </c>
      <c r="O4" s="260" t="s">
        <v>6779</v>
      </c>
      <c r="P4" s="255" t="s">
        <v>362</v>
      </c>
      <c r="Q4" s="255" t="s">
        <v>6780</v>
      </c>
      <c r="R4" s="259" t="s">
        <v>3</v>
      </c>
      <c r="S4" s="259" t="s">
        <v>6781</v>
      </c>
    </row>
    <row r="5" spans="1:26" x14ac:dyDescent="0.25">
      <c r="A5" s="261"/>
      <c r="B5" s="262"/>
      <c r="C5" s="262"/>
      <c r="D5" s="260"/>
      <c r="E5" s="260"/>
      <c r="F5" s="263"/>
      <c r="G5" s="264"/>
      <c r="H5" s="263"/>
      <c r="I5" s="265"/>
      <c r="J5" s="262"/>
      <c r="K5" s="266" t="s">
        <v>967</v>
      </c>
      <c r="L5" s="260"/>
      <c r="M5" s="266" t="s">
        <v>1404</v>
      </c>
      <c r="N5" s="267" t="s">
        <v>6782</v>
      </c>
      <c r="O5" s="260"/>
      <c r="P5" s="260"/>
      <c r="Q5" s="260"/>
      <c r="R5" s="266" t="s">
        <v>1416</v>
      </c>
      <c r="S5" s="266"/>
    </row>
    <row r="6" spans="1:26" x14ac:dyDescent="0.25">
      <c r="A6" s="268" t="s">
        <v>6783</v>
      </c>
      <c r="B6" s="269"/>
      <c r="C6" s="270"/>
      <c r="D6" s="271"/>
      <c r="E6" s="272"/>
      <c r="F6" s="273"/>
      <c r="G6" s="273"/>
      <c r="H6" s="273"/>
      <c r="I6" s="274" t="s">
        <v>1084</v>
      </c>
      <c r="J6" s="269"/>
      <c r="K6" s="275"/>
      <c r="L6" s="272"/>
      <c r="M6" s="275"/>
      <c r="N6" s="272" t="s">
        <v>1084</v>
      </c>
      <c r="O6" s="272"/>
      <c r="P6" s="272"/>
      <c r="Q6" s="272"/>
      <c r="R6" s="276"/>
      <c r="S6" s="275"/>
    </row>
    <row r="7" spans="1:26" ht="42.75" customHeight="1" x14ac:dyDescent="0.25">
      <c r="A7" s="202">
        <v>1</v>
      </c>
      <c r="B7" s="199" t="s">
        <v>6784</v>
      </c>
      <c r="C7" s="200" t="s">
        <v>18</v>
      </c>
      <c r="D7" s="199" t="s">
        <v>1444</v>
      </c>
      <c r="E7" s="203" t="s">
        <v>6785</v>
      </c>
      <c r="F7" s="201" t="s">
        <v>6786</v>
      </c>
      <c r="G7" s="169" t="s">
        <v>6787</v>
      </c>
      <c r="H7" s="201"/>
      <c r="I7" s="205" t="s">
        <v>6788</v>
      </c>
      <c r="J7" s="205" t="s">
        <v>393</v>
      </c>
      <c r="K7" s="200">
        <v>44972</v>
      </c>
      <c r="L7" s="202" t="s">
        <v>1469</v>
      </c>
      <c r="M7" s="200">
        <v>44652</v>
      </c>
      <c r="N7" s="202">
        <v>24</v>
      </c>
      <c r="O7" s="202">
        <v>1</v>
      </c>
      <c r="P7" s="232" t="s">
        <v>1028</v>
      </c>
      <c r="Q7" s="205" t="s">
        <v>6789</v>
      </c>
      <c r="R7" s="200">
        <v>48092</v>
      </c>
      <c r="S7" s="200" t="s">
        <v>1084</v>
      </c>
    </row>
    <row r="8" spans="1:26" ht="42.75" customHeight="1" x14ac:dyDescent="0.25">
      <c r="A8" s="202">
        <v>3</v>
      </c>
      <c r="B8" s="199" t="s">
        <v>6790</v>
      </c>
      <c r="C8" s="200" t="s">
        <v>46</v>
      </c>
      <c r="D8" s="199" t="s">
        <v>3388</v>
      </c>
      <c r="E8" s="200">
        <v>24595</v>
      </c>
      <c r="F8" s="201" t="s">
        <v>6791</v>
      </c>
      <c r="G8" s="169" t="s">
        <v>6792</v>
      </c>
      <c r="H8" s="201"/>
      <c r="I8" s="205" t="s">
        <v>6793</v>
      </c>
      <c r="J8" s="205" t="s">
        <v>393</v>
      </c>
      <c r="K8" s="200">
        <v>44560</v>
      </c>
      <c r="L8" s="206" t="s">
        <v>1558</v>
      </c>
      <c r="M8" s="200">
        <v>42826</v>
      </c>
      <c r="N8" s="202">
        <v>23</v>
      </c>
      <c r="O8" s="202">
        <v>1</v>
      </c>
      <c r="P8" s="48" t="s">
        <v>982</v>
      </c>
      <c r="Q8" s="48" t="s">
        <v>6794</v>
      </c>
      <c r="R8" s="203" t="s">
        <v>6795</v>
      </c>
      <c r="S8" s="200"/>
    </row>
    <row r="9" spans="1:26" ht="42.75" customHeight="1" x14ac:dyDescent="0.25">
      <c r="A9" s="202">
        <v>4</v>
      </c>
      <c r="B9" s="199" t="s">
        <v>6796</v>
      </c>
      <c r="C9" s="200" t="s">
        <v>46</v>
      </c>
      <c r="D9" s="199" t="s">
        <v>1934</v>
      </c>
      <c r="E9" s="203">
        <v>26502</v>
      </c>
      <c r="F9" s="201" t="s">
        <v>6797</v>
      </c>
      <c r="G9" s="169" t="s">
        <v>6798</v>
      </c>
      <c r="H9" s="201"/>
      <c r="I9" s="205" t="s">
        <v>6799</v>
      </c>
      <c r="J9" s="205" t="s">
        <v>393</v>
      </c>
      <c r="K9" s="200">
        <v>44560</v>
      </c>
      <c r="L9" s="202" t="s">
        <v>1558</v>
      </c>
      <c r="M9" s="200">
        <v>45383</v>
      </c>
      <c r="N9" s="202">
        <v>26</v>
      </c>
      <c r="O9" s="202">
        <v>1</v>
      </c>
      <c r="P9" s="232" t="s">
        <v>982</v>
      </c>
      <c r="Q9" s="205" t="s">
        <v>6800</v>
      </c>
      <c r="R9" s="200">
        <v>48427</v>
      </c>
      <c r="S9" s="200" t="s">
        <v>1084</v>
      </c>
    </row>
    <row r="10" spans="1:26" ht="42.75" customHeight="1" x14ac:dyDescent="0.25">
      <c r="A10" s="202">
        <v>5</v>
      </c>
      <c r="B10" s="23" t="s">
        <v>6801</v>
      </c>
      <c r="C10" s="200" t="s">
        <v>46</v>
      </c>
      <c r="D10" s="23" t="s">
        <v>1942</v>
      </c>
      <c r="E10" s="277">
        <v>24593</v>
      </c>
      <c r="F10" s="231" t="s">
        <v>6802</v>
      </c>
      <c r="G10" s="34" t="s">
        <v>6803</v>
      </c>
      <c r="H10" s="231"/>
      <c r="I10" s="205" t="s">
        <v>6804</v>
      </c>
      <c r="J10" s="205" t="s">
        <v>393</v>
      </c>
      <c r="K10" s="230"/>
      <c r="L10" s="228" t="s">
        <v>1699</v>
      </c>
      <c r="M10" s="230" t="s">
        <v>6805</v>
      </c>
      <c r="N10" s="228">
        <v>22</v>
      </c>
      <c r="O10" s="228">
        <v>1</v>
      </c>
      <c r="P10" s="278" t="s">
        <v>982</v>
      </c>
      <c r="Q10" s="278" t="s">
        <v>6806</v>
      </c>
      <c r="R10" s="230">
        <v>45809</v>
      </c>
      <c r="S10" s="230">
        <v>42795</v>
      </c>
    </row>
    <row r="11" spans="1:26" ht="42.75" customHeight="1" x14ac:dyDescent="0.25">
      <c r="A11" s="202">
        <v>6</v>
      </c>
      <c r="B11" s="199" t="s">
        <v>6807</v>
      </c>
      <c r="C11" s="200" t="s">
        <v>46</v>
      </c>
      <c r="D11" s="199" t="s">
        <v>1489</v>
      </c>
      <c r="E11" s="200">
        <v>27109</v>
      </c>
      <c r="F11" s="201" t="s">
        <v>6808</v>
      </c>
      <c r="G11" s="279" t="s">
        <v>6809</v>
      </c>
      <c r="H11" s="201"/>
      <c r="I11" s="205" t="s">
        <v>6810</v>
      </c>
      <c r="J11" s="205" t="s">
        <v>393</v>
      </c>
      <c r="K11" s="200">
        <v>44183</v>
      </c>
      <c r="L11" s="202" t="s">
        <v>1699</v>
      </c>
      <c r="M11" s="200">
        <v>44652</v>
      </c>
      <c r="N11" s="202">
        <v>23</v>
      </c>
      <c r="O11" s="202">
        <v>5</v>
      </c>
      <c r="P11" s="199" t="s">
        <v>982</v>
      </c>
      <c r="Q11" s="280" t="s">
        <v>6811</v>
      </c>
      <c r="R11" s="200" t="s">
        <v>6812</v>
      </c>
      <c r="S11" s="203">
        <v>42380</v>
      </c>
    </row>
    <row r="12" spans="1:26" ht="42.75" customHeight="1" x14ac:dyDescent="0.25">
      <c r="A12" s="202">
        <v>7</v>
      </c>
      <c r="B12" s="199" t="s">
        <v>6813</v>
      </c>
      <c r="C12" s="200" t="s">
        <v>46</v>
      </c>
      <c r="D12" s="199" t="s">
        <v>1638</v>
      </c>
      <c r="E12" s="200">
        <v>24643</v>
      </c>
      <c r="F12" s="201" t="s">
        <v>6814</v>
      </c>
      <c r="G12" s="34" t="s">
        <v>6815</v>
      </c>
      <c r="H12" s="201"/>
      <c r="I12" s="205" t="s">
        <v>6816</v>
      </c>
      <c r="J12" s="205" t="s">
        <v>393</v>
      </c>
      <c r="K12" s="200">
        <v>44183</v>
      </c>
      <c r="L12" s="202" t="s">
        <v>1738</v>
      </c>
      <c r="M12" s="200" t="s">
        <v>6817</v>
      </c>
      <c r="N12" s="202">
        <v>13</v>
      </c>
      <c r="O12" s="202">
        <v>1</v>
      </c>
      <c r="P12" s="199" t="s">
        <v>376</v>
      </c>
      <c r="Q12" s="48" t="s">
        <v>6818</v>
      </c>
      <c r="R12" s="200">
        <v>45839</v>
      </c>
      <c r="S12" s="200" t="s">
        <v>1084</v>
      </c>
    </row>
    <row r="13" spans="1:26" ht="42.75" customHeight="1" x14ac:dyDescent="0.25">
      <c r="A13" s="202">
        <v>8</v>
      </c>
      <c r="B13" s="23" t="s">
        <v>6819</v>
      </c>
      <c r="C13" s="200" t="s">
        <v>46</v>
      </c>
      <c r="D13" s="23" t="s">
        <v>6820</v>
      </c>
      <c r="E13" s="230">
        <v>27319</v>
      </c>
      <c r="F13" s="231" t="s">
        <v>6821</v>
      </c>
      <c r="G13" s="34" t="s">
        <v>6822</v>
      </c>
      <c r="H13" s="232"/>
      <c r="I13" s="205" t="s">
        <v>6810</v>
      </c>
      <c r="J13" s="205" t="s">
        <v>393</v>
      </c>
      <c r="K13" s="230">
        <v>44287</v>
      </c>
      <c r="L13" s="228" t="s">
        <v>1738</v>
      </c>
      <c r="M13" s="230">
        <v>42826</v>
      </c>
      <c r="N13" s="228">
        <v>12</v>
      </c>
      <c r="O13" s="228">
        <v>3</v>
      </c>
      <c r="P13" s="199" t="s">
        <v>376</v>
      </c>
      <c r="Q13" s="24" t="s">
        <v>6823</v>
      </c>
      <c r="R13" s="230">
        <v>48519</v>
      </c>
      <c r="S13" s="230">
        <v>43466</v>
      </c>
      <c r="T13" s="19"/>
      <c r="U13" s="19"/>
      <c r="V13" s="19"/>
      <c r="W13" s="19"/>
      <c r="X13" s="19"/>
      <c r="Y13" s="19"/>
      <c r="Z13" s="19"/>
    </row>
    <row r="14" spans="1:26" ht="42.75" customHeight="1" x14ac:dyDescent="0.25">
      <c r="A14" s="202">
        <v>9</v>
      </c>
      <c r="B14" s="23" t="s">
        <v>6824</v>
      </c>
      <c r="C14" s="200" t="s">
        <v>46</v>
      </c>
      <c r="D14" s="23" t="s">
        <v>1844</v>
      </c>
      <c r="E14" s="229">
        <v>29371</v>
      </c>
      <c r="F14" s="231" t="s">
        <v>6825</v>
      </c>
      <c r="G14" s="34" t="s">
        <v>6826</v>
      </c>
      <c r="H14" s="231"/>
      <c r="I14" s="205" t="s">
        <v>6816</v>
      </c>
      <c r="J14" s="205" t="s">
        <v>393</v>
      </c>
      <c r="K14" s="230">
        <v>43647</v>
      </c>
      <c r="L14" s="228" t="s">
        <v>1738</v>
      </c>
      <c r="M14" s="230" t="s">
        <v>2439</v>
      </c>
      <c r="N14" s="228">
        <v>12</v>
      </c>
      <c r="O14" s="228">
        <v>0</v>
      </c>
      <c r="P14" s="199" t="s">
        <v>376</v>
      </c>
      <c r="Q14" s="281" t="s">
        <v>6827</v>
      </c>
      <c r="R14" s="230">
        <v>50557</v>
      </c>
      <c r="S14" s="230">
        <v>42767</v>
      </c>
    </row>
    <row r="15" spans="1:26" ht="42.75" customHeight="1" x14ac:dyDescent="0.25">
      <c r="A15" s="202">
        <v>10</v>
      </c>
      <c r="B15" s="23" t="s">
        <v>6828</v>
      </c>
      <c r="C15" s="282" t="s">
        <v>18</v>
      </c>
      <c r="D15" s="23" t="s">
        <v>1934</v>
      </c>
      <c r="E15" s="230">
        <v>25865</v>
      </c>
      <c r="F15" s="231" t="s">
        <v>6829</v>
      </c>
      <c r="G15" s="34" t="s">
        <v>6830</v>
      </c>
      <c r="H15" s="231"/>
      <c r="I15" s="205" t="s">
        <v>6831</v>
      </c>
      <c r="J15" s="205" t="s">
        <v>393</v>
      </c>
      <c r="K15" s="229"/>
      <c r="L15" s="228" t="s">
        <v>1738</v>
      </c>
      <c r="M15" s="229">
        <v>44652</v>
      </c>
      <c r="N15" s="283">
        <v>26</v>
      </c>
      <c r="O15" s="283">
        <v>5</v>
      </c>
      <c r="P15" s="199" t="s">
        <v>376</v>
      </c>
      <c r="Q15" s="281" t="s">
        <v>6832</v>
      </c>
      <c r="R15" s="230">
        <v>47058</v>
      </c>
      <c r="S15" s="230">
        <v>39084</v>
      </c>
    </row>
    <row r="16" spans="1:26" ht="42.75" customHeight="1" x14ac:dyDescent="0.25">
      <c r="A16" s="202">
        <v>11</v>
      </c>
      <c r="B16" s="278" t="s">
        <v>6833</v>
      </c>
      <c r="C16" s="200" t="s">
        <v>46</v>
      </c>
      <c r="D16" s="23" t="s">
        <v>1489</v>
      </c>
      <c r="E16" s="229">
        <v>30790</v>
      </c>
      <c r="F16" s="231" t="s">
        <v>6834</v>
      </c>
      <c r="G16" s="34" t="s">
        <v>6835</v>
      </c>
      <c r="H16" s="231"/>
      <c r="I16" s="205" t="s">
        <v>6836</v>
      </c>
      <c r="J16" s="205" t="s">
        <v>393</v>
      </c>
      <c r="K16" s="230"/>
      <c r="L16" s="228" t="s">
        <v>1738</v>
      </c>
      <c r="M16" s="229">
        <v>44652</v>
      </c>
      <c r="N16" s="283">
        <v>12</v>
      </c>
      <c r="O16" s="283">
        <v>4</v>
      </c>
      <c r="P16" s="199" t="s">
        <v>376</v>
      </c>
      <c r="Q16" s="281" t="s">
        <v>6837</v>
      </c>
      <c r="R16" s="230">
        <v>51987</v>
      </c>
      <c r="S16" s="230">
        <v>40330</v>
      </c>
    </row>
    <row r="17" spans="1:19" ht="42.75" customHeight="1" x14ac:dyDescent="0.25">
      <c r="A17" s="202">
        <v>12</v>
      </c>
      <c r="B17" s="23" t="s">
        <v>6838</v>
      </c>
      <c r="C17" s="200" t="s">
        <v>46</v>
      </c>
      <c r="D17" s="23" t="s">
        <v>1489</v>
      </c>
      <c r="E17" s="230">
        <v>26119</v>
      </c>
      <c r="F17" s="231" t="s">
        <v>6839</v>
      </c>
      <c r="G17" s="34" t="s">
        <v>6840</v>
      </c>
      <c r="H17" s="284"/>
      <c r="I17" s="205" t="s">
        <v>6841</v>
      </c>
      <c r="J17" s="205" t="s">
        <v>393</v>
      </c>
      <c r="K17" s="230">
        <v>44287</v>
      </c>
      <c r="L17" s="228" t="s">
        <v>1738</v>
      </c>
      <c r="M17" s="230">
        <v>44835</v>
      </c>
      <c r="N17" s="228">
        <v>23</v>
      </c>
      <c r="O17" s="228">
        <v>7</v>
      </c>
      <c r="P17" s="23" t="s">
        <v>389</v>
      </c>
      <c r="Q17" s="24"/>
      <c r="R17" s="230">
        <v>47331</v>
      </c>
      <c r="S17" s="230">
        <v>40725</v>
      </c>
    </row>
    <row r="18" spans="1:19" ht="42.75" customHeight="1" x14ac:dyDescent="0.25">
      <c r="A18" s="202">
        <v>13</v>
      </c>
      <c r="B18" s="23" t="s">
        <v>6842</v>
      </c>
      <c r="C18" s="200" t="s">
        <v>46</v>
      </c>
      <c r="D18" s="23" t="s">
        <v>1934</v>
      </c>
      <c r="E18" s="230">
        <v>28762</v>
      </c>
      <c r="F18" s="231" t="s">
        <v>6843</v>
      </c>
      <c r="G18" s="34" t="s">
        <v>6844</v>
      </c>
      <c r="H18" s="284"/>
      <c r="I18" s="205" t="s">
        <v>6836</v>
      </c>
      <c r="J18" s="205" t="s">
        <v>393</v>
      </c>
      <c r="K18" s="230"/>
      <c r="L18" s="228" t="s">
        <v>1738</v>
      </c>
      <c r="M18" s="230">
        <v>45017</v>
      </c>
      <c r="N18" s="228">
        <v>12</v>
      </c>
      <c r="O18" s="228">
        <v>3</v>
      </c>
      <c r="P18" s="199" t="s">
        <v>376</v>
      </c>
      <c r="Q18" s="24" t="s">
        <v>6845</v>
      </c>
      <c r="R18" s="230">
        <v>49949</v>
      </c>
      <c r="S18" s="230">
        <v>40634</v>
      </c>
    </row>
    <row r="19" spans="1:19" ht="42.75" customHeight="1" x14ac:dyDescent="0.25">
      <c r="A19" s="202">
        <v>14</v>
      </c>
      <c r="B19" s="281" t="s">
        <v>6846</v>
      </c>
      <c r="C19" s="200" t="s">
        <v>46</v>
      </c>
      <c r="D19" s="23" t="s">
        <v>1638</v>
      </c>
      <c r="E19" s="230">
        <v>32233</v>
      </c>
      <c r="F19" s="231" t="s">
        <v>6847</v>
      </c>
      <c r="G19" s="34" t="s">
        <v>6848</v>
      </c>
      <c r="H19" s="232"/>
      <c r="I19" s="205" t="s">
        <v>6849</v>
      </c>
      <c r="J19" s="205" t="s">
        <v>393</v>
      </c>
      <c r="K19" s="230"/>
      <c r="L19" s="228" t="s">
        <v>1738</v>
      </c>
      <c r="M19" s="230">
        <v>45017</v>
      </c>
      <c r="N19" s="283">
        <v>12</v>
      </c>
      <c r="O19" s="283">
        <v>3</v>
      </c>
      <c r="P19" s="199" t="s">
        <v>376</v>
      </c>
      <c r="Q19" s="281" t="s">
        <v>6850</v>
      </c>
      <c r="R19" s="230">
        <v>53418</v>
      </c>
      <c r="S19" s="230">
        <v>43570</v>
      </c>
    </row>
    <row r="20" spans="1:19" ht="42.75" customHeight="1" x14ac:dyDescent="0.25">
      <c r="A20" s="202">
        <v>15</v>
      </c>
      <c r="B20" s="23" t="s">
        <v>6851</v>
      </c>
      <c r="C20" s="282" t="s">
        <v>18</v>
      </c>
      <c r="D20" s="23" t="s">
        <v>1489</v>
      </c>
      <c r="E20" s="229" t="s">
        <v>6852</v>
      </c>
      <c r="F20" s="231" t="s">
        <v>6853</v>
      </c>
      <c r="G20" s="34" t="s">
        <v>6830</v>
      </c>
      <c r="H20" s="231"/>
      <c r="I20" s="205" t="s">
        <v>6854</v>
      </c>
      <c r="J20" s="205" t="s">
        <v>393</v>
      </c>
      <c r="K20" s="230" t="s">
        <v>1084</v>
      </c>
      <c r="L20" s="228" t="s">
        <v>1717</v>
      </c>
      <c r="M20" s="229">
        <v>43556</v>
      </c>
      <c r="N20" s="228">
        <v>8</v>
      </c>
      <c r="O20" s="228">
        <v>3</v>
      </c>
      <c r="P20" s="278" t="s">
        <v>982</v>
      </c>
      <c r="Q20" s="285" t="s">
        <v>6855</v>
      </c>
      <c r="R20" s="230">
        <v>49188</v>
      </c>
      <c r="S20" s="230">
        <v>42887</v>
      </c>
    </row>
    <row r="21" spans="1:19" ht="42.75" customHeight="1" x14ac:dyDescent="0.25">
      <c r="A21" s="202">
        <v>16</v>
      </c>
      <c r="B21" s="23" t="s">
        <v>6856</v>
      </c>
      <c r="C21" s="282" t="s">
        <v>18</v>
      </c>
      <c r="D21" s="23" t="s">
        <v>1566</v>
      </c>
      <c r="E21" s="229">
        <v>29032</v>
      </c>
      <c r="F21" s="231" t="s">
        <v>6857</v>
      </c>
      <c r="G21" s="34" t="s">
        <v>6858</v>
      </c>
      <c r="H21" s="231"/>
      <c r="I21" s="205" t="s">
        <v>6816</v>
      </c>
      <c r="J21" s="205" t="s">
        <v>393</v>
      </c>
      <c r="K21" s="230">
        <v>45566</v>
      </c>
      <c r="L21" s="228" t="s">
        <v>1717</v>
      </c>
      <c r="M21" s="229">
        <v>43739</v>
      </c>
      <c r="N21" s="228">
        <v>8</v>
      </c>
      <c r="O21" s="228">
        <v>9</v>
      </c>
      <c r="P21" s="199" t="s">
        <v>376</v>
      </c>
      <c r="Q21" s="285" t="s">
        <v>6859</v>
      </c>
      <c r="R21" s="230">
        <v>50222</v>
      </c>
      <c r="S21" s="230">
        <v>44410</v>
      </c>
    </row>
    <row r="22" spans="1:19" ht="42.75" customHeight="1" x14ac:dyDescent="0.25">
      <c r="A22" s="202">
        <v>17</v>
      </c>
      <c r="B22" s="281" t="s">
        <v>6860</v>
      </c>
      <c r="C22" s="229" t="s">
        <v>18</v>
      </c>
      <c r="D22" s="24" t="s">
        <v>2042</v>
      </c>
      <c r="E22" s="229">
        <v>28772</v>
      </c>
      <c r="F22" s="231" t="s">
        <v>6861</v>
      </c>
      <c r="G22" s="34" t="s">
        <v>6862</v>
      </c>
      <c r="H22" s="231"/>
      <c r="I22" s="205" t="s">
        <v>6810</v>
      </c>
      <c r="J22" s="205" t="s">
        <v>393</v>
      </c>
      <c r="K22" s="229">
        <v>45231</v>
      </c>
      <c r="L22" s="283" t="s">
        <v>1717</v>
      </c>
      <c r="M22" s="229">
        <v>43922</v>
      </c>
      <c r="N22" s="283">
        <v>16</v>
      </c>
      <c r="O22" s="283">
        <v>1</v>
      </c>
      <c r="P22" s="199" t="s">
        <v>376</v>
      </c>
      <c r="Q22" s="281" t="s">
        <v>6863</v>
      </c>
      <c r="R22" s="229">
        <v>49980</v>
      </c>
      <c r="S22" s="230">
        <v>42975</v>
      </c>
    </row>
    <row r="23" spans="1:19" ht="42.75" customHeight="1" x14ac:dyDescent="0.25">
      <c r="A23" s="202">
        <v>18</v>
      </c>
      <c r="B23" s="23" t="s">
        <v>6864</v>
      </c>
      <c r="C23" s="200" t="s">
        <v>46</v>
      </c>
      <c r="D23" s="23" t="s">
        <v>1489</v>
      </c>
      <c r="E23" s="230">
        <v>30103</v>
      </c>
      <c r="F23" s="231" t="s">
        <v>6865</v>
      </c>
      <c r="G23" s="34" t="s">
        <v>6866</v>
      </c>
      <c r="H23" s="231"/>
      <c r="I23" s="205" t="s">
        <v>6804</v>
      </c>
      <c r="J23" s="205" t="s">
        <v>393</v>
      </c>
      <c r="K23" s="230"/>
      <c r="L23" s="228" t="s">
        <v>1717</v>
      </c>
      <c r="M23" s="230" t="s">
        <v>3190</v>
      </c>
      <c r="N23" s="228">
        <v>14</v>
      </c>
      <c r="O23" s="228">
        <v>3</v>
      </c>
      <c r="P23" s="23" t="s">
        <v>389</v>
      </c>
      <c r="Q23" s="281" t="s">
        <v>6867</v>
      </c>
      <c r="R23" s="230">
        <v>51318</v>
      </c>
      <c r="S23" s="230">
        <v>38353</v>
      </c>
    </row>
    <row r="24" spans="1:19" ht="42.75" customHeight="1" x14ac:dyDescent="0.25">
      <c r="A24" s="202">
        <v>19</v>
      </c>
      <c r="B24" s="23" t="s">
        <v>6868</v>
      </c>
      <c r="C24" s="230" t="s">
        <v>18</v>
      </c>
      <c r="D24" s="23" t="s">
        <v>3627</v>
      </c>
      <c r="E24" s="230" t="s">
        <v>6869</v>
      </c>
      <c r="F24" s="231" t="s">
        <v>6870</v>
      </c>
      <c r="G24" s="34" t="s">
        <v>6871</v>
      </c>
      <c r="H24" s="231"/>
      <c r="I24" s="205" t="s">
        <v>6872</v>
      </c>
      <c r="J24" s="205" t="s">
        <v>393</v>
      </c>
      <c r="K24" s="230">
        <v>45413</v>
      </c>
      <c r="L24" s="228" t="s">
        <v>1717</v>
      </c>
      <c r="M24" s="230">
        <v>45017</v>
      </c>
      <c r="N24" s="228">
        <v>8</v>
      </c>
      <c r="O24" s="228">
        <v>1</v>
      </c>
      <c r="P24" s="278" t="s">
        <v>982</v>
      </c>
      <c r="Q24" s="280" t="s">
        <v>6873</v>
      </c>
      <c r="R24" s="230">
        <v>54179</v>
      </c>
      <c r="S24" s="230">
        <v>44562</v>
      </c>
    </row>
    <row r="25" spans="1:19" ht="42.75" customHeight="1" x14ac:dyDescent="0.25">
      <c r="A25" s="202">
        <v>20</v>
      </c>
      <c r="B25" s="23" t="s">
        <v>6874</v>
      </c>
      <c r="C25" s="200" t="s">
        <v>46</v>
      </c>
      <c r="D25" s="23" t="s">
        <v>5510</v>
      </c>
      <c r="E25" s="230" t="s">
        <v>6875</v>
      </c>
      <c r="F25" s="231" t="s">
        <v>6876</v>
      </c>
      <c r="G25" s="34" t="s">
        <v>6877</v>
      </c>
      <c r="H25" s="231"/>
      <c r="I25" s="205" t="s">
        <v>6836</v>
      </c>
      <c r="J25" s="205" t="s">
        <v>393</v>
      </c>
      <c r="K25" s="230"/>
      <c r="L25" s="228" t="s">
        <v>1717</v>
      </c>
      <c r="M25" s="230">
        <v>45017</v>
      </c>
      <c r="N25" s="228">
        <v>8</v>
      </c>
      <c r="O25" s="228">
        <v>1</v>
      </c>
      <c r="P25" s="278" t="s">
        <v>982</v>
      </c>
      <c r="Q25" s="280" t="s">
        <v>6878</v>
      </c>
      <c r="R25" s="230">
        <v>52994</v>
      </c>
      <c r="S25" s="230">
        <v>44562</v>
      </c>
    </row>
    <row r="26" spans="1:19" ht="42.75" customHeight="1" x14ac:dyDescent="0.25">
      <c r="A26" s="202">
        <v>21</v>
      </c>
      <c r="B26" s="278" t="s">
        <v>6879</v>
      </c>
      <c r="C26" s="228" t="s">
        <v>18</v>
      </c>
      <c r="D26" s="23" t="s">
        <v>1934</v>
      </c>
      <c r="E26" s="228" t="s">
        <v>6880</v>
      </c>
      <c r="F26" s="231" t="s">
        <v>6881</v>
      </c>
      <c r="G26" s="34" t="s">
        <v>6882</v>
      </c>
      <c r="H26" s="231"/>
      <c r="I26" s="205" t="s">
        <v>6883</v>
      </c>
      <c r="J26" s="205" t="s">
        <v>393</v>
      </c>
      <c r="K26" s="230"/>
      <c r="L26" s="228" t="s">
        <v>2698</v>
      </c>
      <c r="M26" s="229">
        <v>45017</v>
      </c>
      <c r="N26" s="283">
        <v>24</v>
      </c>
      <c r="O26" s="283">
        <v>3</v>
      </c>
      <c r="P26" s="278" t="s">
        <v>460</v>
      </c>
      <c r="Q26" s="281" t="s">
        <v>6884</v>
      </c>
      <c r="R26" s="230">
        <v>46935</v>
      </c>
      <c r="S26" s="230">
        <v>39874</v>
      </c>
    </row>
    <row r="27" spans="1:19" ht="42.75" customHeight="1" x14ac:dyDescent="0.25">
      <c r="A27" s="202">
        <v>22</v>
      </c>
      <c r="B27" s="278" t="s">
        <v>6885</v>
      </c>
      <c r="C27" s="228" t="s">
        <v>18</v>
      </c>
      <c r="D27" s="23" t="s">
        <v>1648</v>
      </c>
      <c r="E27" s="228" t="s">
        <v>6886</v>
      </c>
      <c r="F27" s="231" t="s">
        <v>6887</v>
      </c>
      <c r="G27" s="34" t="s">
        <v>6888</v>
      </c>
      <c r="H27" s="231"/>
      <c r="I27" s="205" t="s">
        <v>80</v>
      </c>
      <c r="J27" s="24" t="s">
        <v>393</v>
      </c>
      <c r="K27" s="230"/>
      <c r="L27" s="228" t="s">
        <v>6889</v>
      </c>
      <c r="M27" s="229">
        <v>44470</v>
      </c>
      <c r="N27" s="283">
        <v>20</v>
      </c>
      <c r="O27" s="283">
        <v>9</v>
      </c>
      <c r="P27" s="278" t="s">
        <v>6890</v>
      </c>
      <c r="Q27" s="281" t="s">
        <v>6891</v>
      </c>
      <c r="R27" s="230">
        <v>49583</v>
      </c>
      <c r="S27" s="230">
        <v>45293</v>
      </c>
    </row>
    <row r="28" spans="1:19" ht="42.75" customHeight="1" x14ac:dyDescent="0.25">
      <c r="A28" s="202">
        <v>23</v>
      </c>
      <c r="B28" s="23" t="s">
        <v>6892</v>
      </c>
      <c r="C28" s="200" t="s">
        <v>46</v>
      </c>
      <c r="D28" s="23" t="s">
        <v>2428</v>
      </c>
      <c r="E28" s="230">
        <v>36317</v>
      </c>
      <c r="F28" s="231" t="s">
        <v>6893</v>
      </c>
      <c r="G28" s="34" t="s">
        <v>6894</v>
      </c>
      <c r="H28" s="231"/>
      <c r="I28" s="205" t="s">
        <v>6895</v>
      </c>
      <c r="J28" s="205" t="s">
        <v>393</v>
      </c>
      <c r="K28" s="230"/>
      <c r="L28" s="228" t="s">
        <v>6896</v>
      </c>
      <c r="M28" s="230">
        <v>44621</v>
      </c>
      <c r="N28" s="228">
        <v>0</v>
      </c>
      <c r="O28" s="228">
        <v>0</v>
      </c>
      <c r="P28" s="23" t="s">
        <v>389</v>
      </c>
      <c r="Q28" s="24" t="s">
        <v>6897</v>
      </c>
      <c r="R28" s="230">
        <v>57527</v>
      </c>
      <c r="S28" s="230">
        <v>43831</v>
      </c>
    </row>
    <row r="29" spans="1:19" ht="42.75" customHeight="1" x14ac:dyDescent="0.25">
      <c r="A29" s="202">
        <v>24</v>
      </c>
      <c r="B29" s="278" t="s">
        <v>6898</v>
      </c>
      <c r="C29" s="228" t="s">
        <v>18</v>
      </c>
      <c r="D29" s="23" t="s">
        <v>1934</v>
      </c>
      <c r="E29" s="282">
        <v>24940</v>
      </c>
      <c r="F29" s="231" t="s">
        <v>6899</v>
      </c>
      <c r="G29" s="34" t="s">
        <v>6900</v>
      </c>
      <c r="H29" s="231"/>
      <c r="I29" s="205" t="s">
        <v>274</v>
      </c>
      <c r="J29" s="205" t="s">
        <v>393</v>
      </c>
      <c r="K29" s="230"/>
      <c r="L29" s="228" t="s">
        <v>6896</v>
      </c>
      <c r="M29" s="229">
        <v>45017</v>
      </c>
      <c r="N29" s="228">
        <v>19</v>
      </c>
      <c r="O29" s="228">
        <v>3</v>
      </c>
      <c r="P29" s="278" t="s">
        <v>750</v>
      </c>
      <c r="Q29" s="278" t="s">
        <v>6901</v>
      </c>
      <c r="R29" s="230">
        <v>46143</v>
      </c>
      <c r="S29" s="230">
        <v>42919</v>
      </c>
    </row>
    <row r="30" spans="1:19" ht="42.75" customHeight="1" x14ac:dyDescent="0.25">
      <c r="A30" s="284" t="s">
        <v>6902</v>
      </c>
      <c r="B30" s="286"/>
      <c r="C30" s="287"/>
      <c r="D30" s="286"/>
      <c r="E30" s="287"/>
      <c r="F30" s="288"/>
      <c r="G30" s="287"/>
      <c r="H30" s="289"/>
      <c r="I30" s="289"/>
      <c r="J30" s="290"/>
      <c r="K30" s="289"/>
      <c r="L30" s="291"/>
      <c r="M30" s="291"/>
      <c r="N30" s="291"/>
      <c r="O30" s="291"/>
      <c r="P30" s="291"/>
      <c r="Q30" s="291"/>
      <c r="R30" s="291"/>
      <c r="S30" s="291"/>
    </row>
    <row r="31" spans="1:19" ht="42.75" customHeight="1" x14ac:dyDescent="0.25">
      <c r="A31" s="202">
        <v>1</v>
      </c>
      <c r="B31" s="232" t="s">
        <v>6903</v>
      </c>
      <c r="C31" s="202" t="s">
        <v>18</v>
      </c>
      <c r="D31" s="199" t="s">
        <v>1566</v>
      </c>
      <c r="E31" s="202" t="s">
        <v>6904</v>
      </c>
      <c r="F31" s="201" t="s">
        <v>6905</v>
      </c>
      <c r="G31" s="169" t="s">
        <v>6906</v>
      </c>
      <c r="H31" s="201"/>
      <c r="I31" s="205" t="s">
        <v>6907</v>
      </c>
      <c r="J31" s="89" t="s">
        <v>6908</v>
      </c>
      <c r="K31" s="200">
        <v>45019</v>
      </c>
      <c r="L31" s="202" t="s">
        <v>1738</v>
      </c>
      <c r="M31" s="203">
        <v>44287</v>
      </c>
      <c r="N31" s="206">
        <v>12</v>
      </c>
      <c r="O31" s="206">
        <v>3</v>
      </c>
      <c r="P31" s="232" t="s">
        <v>982</v>
      </c>
      <c r="Q31" s="205" t="s">
        <v>6909</v>
      </c>
      <c r="R31" s="200">
        <v>50041</v>
      </c>
      <c r="S31" s="200">
        <v>40238</v>
      </c>
    </row>
    <row r="32" spans="1:19" ht="42.75" customHeight="1" x14ac:dyDescent="0.25">
      <c r="A32" s="202">
        <v>2</v>
      </c>
      <c r="B32" s="23" t="s">
        <v>6910</v>
      </c>
      <c r="C32" s="230" t="s">
        <v>18</v>
      </c>
      <c r="D32" s="23" t="s">
        <v>1648</v>
      </c>
      <c r="E32" s="229">
        <v>27067</v>
      </c>
      <c r="F32" s="231" t="s">
        <v>6911</v>
      </c>
      <c r="G32" s="169" t="s">
        <v>6912</v>
      </c>
      <c r="H32" s="231"/>
      <c r="I32" s="205" t="s">
        <v>6913</v>
      </c>
      <c r="J32" s="89" t="s">
        <v>6908</v>
      </c>
      <c r="K32" s="200">
        <v>45019</v>
      </c>
      <c r="L32" s="228" t="s">
        <v>1738</v>
      </c>
      <c r="M32" s="230">
        <v>42095</v>
      </c>
      <c r="N32" s="228">
        <v>12</v>
      </c>
      <c r="O32" s="228">
        <v>4</v>
      </c>
      <c r="P32" s="199" t="s">
        <v>376</v>
      </c>
      <c r="Q32" s="281" t="s">
        <v>6914</v>
      </c>
      <c r="R32" s="230">
        <v>48274</v>
      </c>
      <c r="S32" s="230" t="s">
        <v>1084</v>
      </c>
    </row>
    <row r="33" spans="1:19" ht="42.75" customHeight="1" x14ac:dyDescent="0.25">
      <c r="A33" s="202">
        <v>3</v>
      </c>
      <c r="B33" s="199" t="s">
        <v>6915</v>
      </c>
      <c r="C33" s="200" t="s">
        <v>46</v>
      </c>
      <c r="D33" s="199" t="s">
        <v>2042</v>
      </c>
      <c r="E33" s="200" t="s">
        <v>6916</v>
      </c>
      <c r="F33" s="201" t="s">
        <v>6917</v>
      </c>
      <c r="G33" s="169" t="s">
        <v>6918</v>
      </c>
      <c r="H33" s="201"/>
      <c r="I33" s="281" t="s">
        <v>6919</v>
      </c>
      <c r="J33" s="89" t="s">
        <v>6908</v>
      </c>
      <c r="K33" s="200">
        <v>44652</v>
      </c>
      <c r="L33" s="206" t="s">
        <v>1699</v>
      </c>
      <c r="M33" s="200">
        <v>44652</v>
      </c>
      <c r="N33" s="202">
        <v>16</v>
      </c>
      <c r="O33" s="202">
        <v>0</v>
      </c>
      <c r="P33" s="232" t="s">
        <v>982</v>
      </c>
      <c r="Q33" s="205" t="s">
        <v>6920</v>
      </c>
      <c r="R33" s="200">
        <v>49461</v>
      </c>
      <c r="S33" s="200" t="s">
        <v>1084</v>
      </c>
    </row>
    <row r="34" spans="1:19" ht="42.75" customHeight="1" x14ac:dyDescent="0.25">
      <c r="A34" s="202">
        <v>4</v>
      </c>
      <c r="B34" s="278" t="s">
        <v>6921</v>
      </c>
      <c r="C34" s="228" t="s">
        <v>18</v>
      </c>
      <c r="D34" s="23" t="s">
        <v>2004</v>
      </c>
      <c r="E34" s="228" t="s">
        <v>6922</v>
      </c>
      <c r="F34" s="231" t="s">
        <v>6923</v>
      </c>
      <c r="G34" s="231" t="s">
        <v>6924</v>
      </c>
      <c r="H34" s="231"/>
      <c r="I34" s="205" t="s">
        <v>6925</v>
      </c>
      <c r="J34" s="89" t="s">
        <v>6908</v>
      </c>
      <c r="K34" s="230">
        <v>43891</v>
      </c>
      <c r="L34" s="228" t="s">
        <v>1738</v>
      </c>
      <c r="M34" s="229">
        <v>45444</v>
      </c>
      <c r="N34" s="283">
        <v>12</v>
      </c>
      <c r="O34" s="283">
        <v>6</v>
      </c>
      <c r="P34" s="199" t="s">
        <v>376</v>
      </c>
      <c r="Q34" s="281" t="s">
        <v>6926</v>
      </c>
      <c r="R34" s="230">
        <v>53359</v>
      </c>
      <c r="S34" s="230">
        <v>44928</v>
      </c>
    </row>
    <row r="35" spans="1:19" ht="42.75" customHeight="1" x14ac:dyDescent="0.25">
      <c r="A35" s="202">
        <v>5</v>
      </c>
      <c r="B35" s="199" t="s">
        <v>6927</v>
      </c>
      <c r="C35" s="200" t="s">
        <v>46</v>
      </c>
      <c r="D35" s="199" t="s">
        <v>1934</v>
      </c>
      <c r="E35" s="200">
        <v>28816</v>
      </c>
      <c r="F35" s="201" t="s">
        <v>6928</v>
      </c>
      <c r="G35" s="169" t="s">
        <v>6929</v>
      </c>
      <c r="H35" s="201"/>
      <c r="I35" s="205" t="s">
        <v>6925</v>
      </c>
      <c r="J35" s="89" t="s">
        <v>6908</v>
      </c>
      <c r="K35" s="200">
        <v>43435</v>
      </c>
      <c r="L35" s="202" t="s">
        <v>1738</v>
      </c>
      <c r="M35" s="200" t="s">
        <v>3190</v>
      </c>
      <c r="N35" s="202">
        <v>12</v>
      </c>
      <c r="O35" s="202">
        <v>3</v>
      </c>
      <c r="P35" s="232" t="s">
        <v>982</v>
      </c>
      <c r="Q35" s="205" t="s">
        <v>6930</v>
      </c>
      <c r="R35" s="200">
        <v>50010</v>
      </c>
      <c r="S35" s="200" t="s">
        <v>6931</v>
      </c>
    </row>
    <row r="36" spans="1:19" ht="42.75" customHeight="1" x14ac:dyDescent="0.25">
      <c r="A36" s="202">
        <v>6</v>
      </c>
      <c r="B36" s="199" t="s">
        <v>6932</v>
      </c>
      <c r="C36" s="292" t="s">
        <v>18</v>
      </c>
      <c r="D36" s="199" t="s">
        <v>2927</v>
      </c>
      <c r="E36" s="203">
        <v>26775</v>
      </c>
      <c r="F36" s="201" t="s">
        <v>6933</v>
      </c>
      <c r="G36" s="169" t="s">
        <v>6934</v>
      </c>
      <c r="H36" s="201"/>
      <c r="I36" s="205" t="s">
        <v>6935</v>
      </c>
      <c r="J36" s="89" t="s">
        <v>6908</v>
      </c>
      <c r="K36" s="200">
        <v>44560</v>
      </c>
      <c r="L36" s="202" t="s">
        <v>1738</v>
      </c>
      <c r="M36" s="200">
        <v>42826</v>
      </c>
      <c r="N36" s="202">
        <v>12</v>
      </c>
      <c r="O36" s="202">
        <v>1</v>
      </c>
      <c r="P36" s="199" t="s">
        <v>376</v>
      </c>
      <c r="Q36" s="205" t="s">
        <v>6936</v>
      </c>
      <c r="R36" s="200">
        <v>47969</v>
      </c>
      <c r="S36" s="200" t="s">
        <v>1084</v>
      </c>
    </row>
    <row r="37" spans="1:19" ht="42.75" customHeight="1" x14ac:dyDescent="0.25">
      <c r="A37" s="202">
        <v>7</v>
      </c>
      <c r="B37" s="23" t="s">
        <v>6937</v>
      </c>
      <c r="C37" s="200" t="s">
        <v>46</v>
      </c>
      <c r="D37" s="23" t="s">
        <v>1648</v>
      </c>
      <c r="E37" s="230">
        <v>24583</v>
      </c>
      <c r="F37" s="231" t="s">
        <v>6938</v>
      </c>
      <c r="G37" s="34" t="s">
        <v>6939</v>
      </c>
      <c r="H37" s="231"/>
      <c r="I37" s="205" t="s">
        <v>80</v>
      </c>
      <c r="J37" s="24" t="s">
        <v>440</v>
      </c>
      <c r="K37" s="230"/>
      <c r="L37" s="228" t="s">
        <v>1738</v>
      </c>
      <c r="M37" s="230" t="s">
        <v>6940</v>
      </c>
      <c r="N37" s="228">
        <v>25</v>
      </c>
      <c r="O37" s="228">
        <v>1</v>
      </c>
      <c r="P37" s="199" t="s">
        <v>376</v>
      </c>
      <c r="Q37" s="24" t="s">
        <v>6941</v>
      </c>
      <c r="R37" s="230">
        <v>45778</v>
      </c>
      <c r="S37" s="230">
        <v>39874</v>
      </c>
    </row>
    <row r="38" spans="1:19" ht="42.75" customHeight="1" x14ac:dyDescent="0.25">
      <c r="A38" s="202">
        <v>8</v>
      </c>
      <c r="B38" s="23" t="s">
        <v>6942</v>
      </c>
      <c r="C38" s="282" t="s">
        <v>18</v>
      </c>
      <c r="D38" s="23" t="s">
        <v>1648</v>
      </c>
      <c r="E38" s="230">
        <v>24506</v>
      </c>
      <c r="F38" s="231" t="s">
        <v>6943</v>
      </c>
      <c r="G38" s="34" t="s">
        <v>6944</v>
      </c>
      <c r="H38" s="231"/>
      <c r="I38" s="205" t="s">
        <v>80</v>
      </c>
      <c r="J38" s="24" t="s">
        <v>440</v>
      </c>
      <c r="K38" s="230"/>
      <c r="L38" s="228" t="s">
        <v>1738</v>
      </c>
      <c r="M38" s="230">
        <v>43922</v>
      </c>
      <c r="N38" s="228">
        <v>23</v>
      </c>
      <c r="O38" s="228">
        <v>3</v>
      </c>
      <c r="P38" s="199" t="s">
        <v>376</v>
      </c>
      <c r="Q38" s="281" t="s">
        <v>6945</v>
      </c>
      <c r="R38" s="230">
        <v>45717</v>
      </c>
      <c r="S38" s="230">
        <v>38353</v>
      </c>
    </row>
    <row r="39" spans="1:19" ht="42.75" customHeight="1" x14ac:dyDescent="0.25">
      <c r="A39" s="202">
        <v>9</v>
      </c>
      <c r="B39" s="23" t="s">
        <v>6946</v>
      </c>
      <c r="C39" s="200" t="s">
        <v>46</v>
      </c>
      <c r="D39" s="23" t="s">
        <v>4050</v>
      </c>
      <c r="E39" s="229">
        <v>24595</v>
      </c>
      <c r="F39" s="231" t="s">
        <v>6947</v>
      </c>
      <c r="G39" s="34" t="s">
        <v>6948</v>
      </c>
      <c r="H39" s="231"/>
      <c r="I39" s="205" t="s">
        <v>6949</v>
      </c>
      <c r="J39" s="24" t="s">
        <v>440</v>
      </c>
      <c r="K39" s="230"/>
      <c r="L39" s="228" t="s">
        <v>1738</v>
      </c>
      <c r="M39" s="230">
        <v>38991</v>
      </c>
      <c r="N39" s="228">
        <v>13</v>
      </c>
      <c r="O39" s="228">
        <v>1</v>
      </c>
      <c r="P39" s="199" t="s">
        <v>376</v>
      </c>
      <c r="Q39" s="281" t="s">
        <v>6950</v>
      </c>
      <c r="R39" s="230">
        <v>45809</v>
      </c>
      <c r="S39" s="230">
        <v>42919</v>
      </c>
    </row>
    <row r="40" spans="1:19" ht="42.75" customHeight="1" x14ac:dyDescent="0.25">
      <c r="A40" s="202">
        <v>10</v>
      </c>
      <c r="B40" s="278" t="s">
        <v>6951</v>
      </c>
      <c r="C40" s="230" t="s">
        <v>18</v>
      </c>
      <c r="D40" s="23" t="s">
        <v>1456</v>
      </c>
      <c r="E40" s="230">
        <v>30199</v>
      </c>
      <c r="F40" s="231" t="s">
        <v>6952</v>
      </c>
      <c r="G40" s="34" t="s">
        <v>6953</v>
      </c>
      <c r="H40" s="231"/>
      <c r="I40" s="205" t="s">
        <v>6954</v>
      </c>
      <c r="J40" s="24" t="s">
        <v>6955</v>
      </c>
      <c r="K40" s="230"/>
      <c r="L40" s="228" t="s">
        <v>1738</v>
      </c>
      <c r="M40" s="230">
        <v>43191</v>
      </c>
      <c r="N40" s="228">
        <v>12</v>
      </c>
      <c r="O40" s="228">
        <v>0</v>
      </c>
      <c r="P40" s="199" t="s">
        <v>376</v>
      </c>
      <c r="Q40" s="281" t="s">
        <v>6956</v>
      </c>
      <c r="R40" s="230">
        <v>51410</v>
      </c>
      <c r="S40" s="230">
        <v>44562</v>
      </c>
    </row>
    <row r="41" spans="1:19" ht="42.75" customHeight="1" x14ac:dyDescent="0.25">
      <c r="A41" s="202">
        <v>11</v>
      </c>
      <c r="B41" s="278" t="s">
        <v>6957</v>
      </c>
      <c r="C41" s="228" t="s">
        <v>18</v>
      </c>
      <c r="D41" s="23" t="s">
        <v>1489</v>
      </c>
      <c r="E41" s="230">
        <v>25504</v>
      </c>
      <c r="F41" s="231" t="s">
        <v>6958</v>
      </c>
      <c r="G41" s="34" t="s">
        <v>6959</v>
      </c>
      <c r="H41" s="231"/>
      <c r="I41" s="205" t="s">
        <v>6960</v>
      </c>
      <c r="J41" s="24" t="s">
        <v>440</v>
      </c>
      <c r="K41" s="229"/>
      <c r="L41" s="228" t="s">
        <v>1991</v>
      </c>
      <c r="M41" s="229">
        <v>40087</v>
      </c>
      <c r="N41" s="283">
        <v>15</v>
      </c>
      <c r="O41" s="283">
        <v>9</v>
      </c>
      <c r="P41" s="278" t="s">
        <v>430</v>
      </c>
      <c r="Q41" s="281" t="s">
        <v>6961</v>
      </c>
      <c r="R41" s="230">
        <v>46692</v>
      </c>
      <c r="S41" s="230">
        <v>40632</v>
      </c>
    </row>
    <row r="42" spans="1:19" ht="42.75" customHeight="1" x14ac:dyDescent="0.25">
      <c r="A42" s="202">
        <v>12</v>
      </c>
      <c r="B42" s="23" t="s">
        <v>6962</v>
      </c>
      <c r="C42" s="200" t="s">
        <v>46</v>
      </c>
      <c r="D42" s="23" t="s">
        <v>1934</v>
      </c>
      <c r="E42" s="230">
        <v>24610</v>
      </c>
      <c r="F42" s="231" t="s">
        <v>6963</v>
      </c>
      <c r="G42" s="34" t="s">
        <v>6964</v>
      </c>
      <c r="H42" s="231"/>
      <c r="I42" s="205" t="s">
        <v>80</v>
      </c>
      <c r="J42" s="24" t="s">
        <v>440</v>
      </c>
      <c r="K42" s="230"/>
      <c r="L42" s="228" t="s">
        <v>1991</v>
      </c>
      <c r="M42" s="230">
        <v>41000</v>
      </c>
      <c r="N42" s="228">
        <v>16</v>
      </c>
      <c r="O42" s="228">
        <v>5</v>
      </c>
      <c r="P42" s="23" t="s">
        <v>460</v>
      </c>
      <c r="Q42" s="24" t="s">
        <v>6965</v>
      </c>
      <c r="R42" s="230">
        <v>45809</v>
      </c>
      <c r="S42" s="230">
        <v>40679</v>
      </c>
    </row>
    <row r="43" spans="1:19" ht="42.75" customHeight="1" x14ac:dyDescent="0.25">
      <c r="A43" s="202">
        <v>13</v>
      </c>
      <c r="B43" s="278" t="s">
        <v>6966</v>
      </c>
      <c r="C43" s="228" t="s">
        <v>18</v>
      </c>
      <c r="D43" s="23" t="s">
        <v>1934</v>
      </c>
      <c r="E43" s="228" t="s">
        <v>6967</v>
      </c>
      <c r="F43" s="231" t="s">
        <v>6968</v>
      </c>
      <c r="G43" s="34" t="s">
        <v>6969</v>
      </c>
      <c r="H43" s="231"/>
      <c r="I43" s="205" t="s">
        <v>80</v>
      </c>
      <c r="J43" s="24" t="s">
        <v>6955</v>
      </c>
      <c r="K43" s="230"/>
      <c r="L43" s="228" t="s">
        <v>1991</v>
      </c>
      <c r="M43" s="230">
        <v>45017</v>
      </c>
      <c r="N43" s="228">
        <v>21</v>
      </c>
      <c r="O43" s="228">
        <v>5</v>
      </c>
      <c r="P43" s="199" t="s">
        <v>376</v>
      </c>
      <c r="Q43" s="281" t="s">
        <v>6970</v>
      </c>
      <c r="R43" s="230">
        <v>46905</v>
      </c>
      <c r="S43" s="230">
        <v>44935</v>
      </c>
    </row>
    <row r="44" spans="1:19" ht="42.75" customHeight="1" x14ac:dyDescent="0.25">
      <c r="A44" s="202">
        <v>14</v>
      </c>
      <c r="B44" s="278" t="s">
        <v>6971</v>
      </c>
      <c r="C44" s="200" t="s">
        <v>46</v>
      </c>
      <c r="D44" s="23" t="s">
        <v>1648</v>
      </c>
      <c r="E44" s="228" t="s">
        <v>6972</v>
      </c>
      <c r="F44" s="231" t="s">
        <v>6973</v>
      </c>
      <c r="G44" s="231" t="s">
        <v>6974</v>
      </c>
      <c r="H44" s="231"/>
      <c r="I44" s="205" t="s">
        <v>6954</v>
      </c>
      <c r="J44" s="24" t="s">
        <v>6955</v>
      </c>
      <c r="K44" s="230"/>
      <c r="L44" s="228" t="s">
        <v>1991</v>
      </c>
      <c r="M44" s="230">
        <v>43556</v>
      </c>
      <c r="N44" s="228">
        <v>6</v>
      </c>
      <c r="O44" s="228">
        <v>4</v>
      </c>
      <c r="P44" s="23" t="s">
        <v>389</v>
      </c>
      <c r="Q44" s="281" t="s">
        <v>6975</v>
      </c>
      <c r="R44" s="230">
        <v>51410</v>
      </c>
      <c r="S44" s="230">
        <v>44896</v>
      </c>
    </row>
    <row r="45" spans="1:19" ht="42.75" customHeight="1" x14ac:dyDescent="0.25">
      <c r="A45" s="202">
        <v>15</v>
      </c>
      <c r="B45" s="278" t="s">
        <v>6976</v>
      </c>
      <c r="C45" s="228" t="s">
        <v>18</v>
      </c>
      <c r="D45" s="23" t="s">
        <v>1648</v>
      </c>
      <c r="E45" s="228" t="s">
        <v>6977</v>
      </c>
      <c r="F45" s="231" t="s">
        <v>6978</v>
      </c>
      <c r="G45" s="34" t="s">
        <v>6979</v>
      </c>
      <c r="H45" s="231"/>
      <c r="I45" s="205" t="s">
        <v>6980</v>
      </c>
      <c r="J45" s="24" t="s">
        <v>440</v>
      </c>
      <c r="K45" s="230"/>
      <c r="L45" s="228" t="s">
        <v>2698</v>
      </c>
      <c r="M45" s="230">
        <v>45017</v>
      </c>
      <c r="N45" s="228">
        <v>25</v>
      </c>
      <c r="O45" s="228">
        <v>4</v>
      </c>
      <c r="P45" s="278" t="s">
        <v>460</v>
      </c>
      <c r="Q45" s="281"/>
      <c r="R45" s="230">
        <v>47239</v>
      </c>
      <c r="S45" s="230">
        <v>45293</v>
      </c>
    </row>
    <row r="46" spans="1:19" ht="42.75" customHeight="1" x14ac:dyDescent="0.25">
      <c r="A46" s="202">
        <v>16</v>
      </c>
      <c r="B46" s="278" t="s">
        <v>6981</v>
      </c>
      <c r="C46" s="228" t="s">
        <v>18</v>
      </c>
      <c r="D46" s="23" t="s">
        <v>1934</v>
      </c>
      <c r="E46" s="230">
        <v>26897</v>
      </c>
      <c r="F46" s="231" t="s">
        <v>6982</v>
      </c>
      <c r="G46" s="34" t="s">
        <v>6983</v>
      </c>
      <c r="H46" s="231"/>
      <c r="I46" s="205" t="s">
        <v>288</v>
      </c>
      <c r="J46" s="24" t="s">
        <v>440</v>
      </c>
      <c r="K46" s="230"/>
      <c r="L46" s="228" t="s">
        <v>2698</v>
      </c>
      <c r="M46" s="230">
        <v>45017</v>
      </c>
      <c r="N46" s="228">
        <v>21</v>
      </c>
      <c r="O46" s="228">
        <v>5</v>
      </c>
      <c r="P46" s="278" t="s">
        <v>6984</v>
      </c>
      <c r="Q46" s="281"/>
      <c r="R46" s="230">
        <v>48092</v>
      </c>
      <c r="S46" s="230">
        <v>39934</v>
      </c>
    </row>
    <row r="47" spans="1:19" ht="42.75" customHeight="1" x14ac:dyDescent="0.25">
      <c r="A47" s="202">
        <v>17</v>
      </c>
      <c r="B47" s="278" t="s">
        <v>6985</v>
      </c>
      <c r="C47" s="228" t="s">
        <v>18</v>
      </c>
      <c r="D47" s="23" t="s">
        <v>3546</v>
      </c>
      <c r="E47" s="228" t="s">
        <v>6986</v>
      </c>
      <c r="F47" s="231" t="s">
        <v>6987</v>
      </c>
      <c r="G47" s="34" t="s">
        <v>6988</v>
      </c>
      <c r="H47" s="231"/>
      <c r="I47" s="205" t="s">
        <v>670</v>
      </c>
      <c r="J47" s="24" t="s">
        <v>440</v>
      </c>
      <c r="K47" s="230"/>
      <c r="L47" s="228" t="s">
        <v>2698</v>
      </c>
      <c r="M47" s="230">
        <v>45017</v>
      </c>
      <c r="N47" s="228">
        <v>26</v>
      </c>
      <c r="O47" s="228">
        <v>10</v>
      </c>
      <c r="P47" s="278" t="s">
        <v>460</v>
      </c>
      <c r="Q47" s="281" t="s">
        <v>6989</v>
      </c>
      <c r="R47" s="230">
        <v>45717</v>
      </c>
      <c r="S47" s="230">
        <v>40245</v>
      </c>
    </row>
    <row r="48" spans="1:19" ht="42.75" customHeight="1" x14ac:dyDescent="0.25">
      <c r="A48" s="202">
        <v>18</v>
      </c>
      <c r="B48" s="278" t="s">
        <v>863</v>
      </c>
      <c r="C48" s="228" t="s">
        <v>18</v>
      </c>
      <c r="D48" s="23" t="s">
        <v>1489</v>
      </c>
      <c r="E48" s="228" t="s">
        <v>6990</v>
      </c>
      <c r="F48" s="231" t="s">
        <v>6991</v>
      </c>
      <c r="G48" s="34" t="s">
        <v>6992</v>
      </c>
      <c r="H48" s="231"/>
      <c r="I48" s="205" t="s">
        <v>6960</v>
      </c>
      <c r="J48" s="24" t="s">
        <v>440</v>
      </c>
      <c r="K48" s="230"/>
      <c r="L48" s="228" t="s">
        <v>2698</v>
      </c>
      <c r="M48" s="230">
        <v>45017</v>
      </c>
      <c r="N48" s="228">
        <v>26</v>
      </c>
      <c r="O48" s="228">
        <v>2</v>
      </c>
      <c r="P48" s="278" t="s">
        <v>430</v>
      </c>
      <c r="Q48" s="281"/>
      <c r="R48" s="230">
        <v>46296</v>
      </c>
      <c r="S48" s="230">
        <v>39587</v>
      </c>
    </row>
    <row r="49" spans="1:26" ht="42.75" customHeight="1" x14ac:dyDescent="0.25">
      <c r="A49" s="202">
        <v>19</v>
      </c>
      <c r="B49" s="278" t="s">
        <v>6993</v>
      </c>
      <c r="C49" s="228" t="s">
        <v>18</v>
      </c>
      <c r="D49" s="23" t="s">
        <v>1648</v>
      </c>
      <c r="E49" s="228" t="s">
        <v>6994</v>
      </c>
      <c r="F49" s="231" t="s">
        <v>6995</v>
      </c>
      <c r="G49" s="34" t="s">
        <v>6996</v>
      </c>
      <c r="H49" s="231"/>
      <c r="I49" s="205" t="s">
        <v>80</v>
      </c>
      <c r="J49" s="24" t="s">
        <v>440</v>
      </c>
      <c r="K49" s="230"/>
      <c r="L49" s="228" t="s">
        <v>6889</v>
      </c>
      <c r="M49" s="229">
        <v>44287</v>
      </c>
      <c r="N49" s="283">
        <v>22</v>
      </c>
      <c r="O49" s="283">
        <v>11</v>
      </c>
      <c r="P49" s="278" t="s">
        <v>430</v>
      </c>
      <c r="Q49" s="281" t="s">
        <v>6997</v>
      </c>
      <c r="R49" s="230">
        <v>48214</v>
      </c>
      <c r="S49" s="230">
        <v>44562</v>
      </c>
    </row>
    <row r="50" spans="1:26" ht="42.75" customHeight="1" x14ac:dyDescent="0.25">
      <c r="A50" s="202">
        <v>20</v>
      </c>
      <c r="B50" s="278" t="s">
        <v>6998</v>
      </c>
      <c r="C50" s="228" t="s">
        <v>18</v>
      </c>
      <c r="D50" s="23" t="s">
        <v>1648</v>
      </c>
      <c r="E50" s="228" t="s">
        <v>6999</v>
      </c>
      <c r="F50" s="231" t="s">
        <v>7000</v>
      </c>
      <c r="G50" s="34" t="s">
        <v>7001</v>
      </c>
      <c r="H50" s="231"/>
      <c r="I50" s="205" t="s">
        <v>7002</v>
      </c>
      <c r="J50" s="24" t="s">
        <v>440</v>
      </c>
      <c r="K50" s="230"/>
      <c r="L50" s="228" t="s">
        <v>6889</v>
      </c>
      <c r="M50" s="229">
        <v>44287</v>
      </c>
      <c r="N50" s="283">
        <v>22</v>
      </c>
      <c r="O50" s="283">
        <v>11</v>
      </c>
      <c r="P50" s="278" t="s">
        <v>460</v>
      </c>
      <c r="Q50" s="281">
        <v>1995</v>
      </c>
      <c r="R50" s="230">
        <v>48761</v>
      </c>
      <c r="S50" s="230">
        <v>40210</v>
      </c>
    </row>
    <row r="51" spans="1:26" ht="42.75" customHeight="1" x14ac:dyDescent="0.25">
      <c r="A51" s="202">
        <v>21</v>
      </c>
      <c r="B51" s="278" t="s">
        <v>7003</v>
      </c>
      <c r="C51" s="228" t="s">
        <v>18</v>
      </c>
      <c r="D51" s="23" t="s">
        <v>1648</v>
      </c>
      <c r="E51" s="228" t="s">
        <v>7004</v>
      </c>
      <c r="F51" s="231" t="s">
        <v>7005</v>
      </c>
      <c r="G51" s="34" t="s">
        <v>7006</v>
      </c>
      <c r="H51" s="231"/>
      <c r="I51" s="205" t="s">
        <v>6980</v>
      </c>
      <c r="J51" s="24" t="s">
        <v>440</v>
      </c>
      <c r="K51" s="230"/>
      <c r="L51" s="228" t="s">
        <v>6889</v>
      </c>
      <c r="M51" s="229">
        <v>44470</v>
      </c>
      <c r="N51" s="283">
        <v>19</v>
      </c>
      <c r="O51" s="283">
        <v>8</v>
      </c>
      <c r="P51" s="278" t="s">
        <v>7007</v>
      </c>
      <c r="Q51" s="281"/>
      <c r="R51" s="230">
        <v>47178</v>
      </c>
      <c r="S51" s="230">
        <v>45293</v>
      </c>
      <c r="T51" s="19"/>
      <c r="U51" s="19"/>
      <c r="V51" s="19"/>
      <c r="W51" s="19"/>
      <c r="X51" s="19"/>
      <c r="Y51" s="19"/>
      <c r="Z51" s="19"/>
    </row>
    <row r="52" spans="1:26" ht="42.75" customHeight="1" x14ac:dyDescent="0.25">
      <c r="A52" s="202">
        <v>22</v>
      </c>
      <c r="B52" s="278" t="s">
        <v>7008</v>
      </c>
      <c r="C52" s="228" t="s">
        <v>18</v>
      </c>
      <c r="D52" s="23" t="s">
        <v>1489</v>
      </c>
      <c r="E52" s="228" t="s">
        <v>7009</v>
      </c>
      <c r="F52" s="231" t="s">
        <v>7010</v>
      </c>
      <c r="G52" s="34" t="s">
        <v>7011</v>
      </c>
      <c r="H52" s="231"/>
      <c r="I52" s="205" t="s">
        <v>288</v>
      </c>
      <c r="J52" s="24" t="s">
        <v>440</v>
      </c>
      <c r="K52" s="230"/>
      <c r="L52" s="228" t="s">
        <v>6889</v>
      </c>
      <c r="M52" s="229">
        <v>44287</v>
      </c>
      <c r="N52" s="283">
        <v>22</v>
      </c>
      <c r="O52" s="283">
        <v>0</v>
      </c>
      <c r="P52" s="278" t="s">
        <v>449</v>
      </c>
      <c r="Q52" s="281">
        <v>1995</v>
      </c>
      <c r="R52" s="230">
        <v>48335</v>
      </c>
      <c r="S52" s="230">
        <v>40238</v>
      </c>
    </row>
    <row r="53" spans="1:26" ht="42.75" customHeight="1" x14ac:dyDescent="0.25">
      <c r="A53" s="202">
        <v>23</v>
      </c>
      <c r="B53" s="278" t="s">
        <v>7012</v>
      </c>
      <c r="C53" s="228" t="s">
        <v>18</v>
      </c>
      <c r="D53" s="23" t="s">
        <v>1648</v>
      </c>
      <c r="E53" s="228" t="s">
        <v>7013</v>
      </c>
      <c r="F53" s="231" t="s">
        <v>7014</v>
      </c>
      <c r="G53" s="34" t="s">
        <v>7015</v>
      </c>
      <c r="H53" s="231"/>
      <c r="I53" s="205" t="s">
        <v>6980</v>
      </c>
      <c r="J53" s="24" t="s">
        <v>440</v>
      </c>
      <c r="K53" s="230"/>
      <c r="L53" s="228" t="s">
        <v>6889</v>
      </c>
      <c r="M53" s="229">
        <v>44470</v>
      </c>
      <c r="N53" s="283">
        <v>20</v>
      </c>
      <c r="O53" s="283">
        <v>5</v>
      </c>
      <c r="P53" s="278" t="s">
        <v>430</v>
      </c>
      <c r="Q53" s="281"/>
      <c r="R53" s="230">
        <v>47300</v>
      </c>
      <c r="S53" s="230">
        <v>45293</v>
      </c>
    </row>
    <row r="54" spans="1:26" ht="42.75" customHeight="1" x14ac:dyDescent="0.25">
      <c r="A54" s="202">
        <v>24</v>
      </c>
      <c r="B54" s="278" t="s">
        <v>7016</v>
      </c>
      <c r="C54" s="228" t="s">
        <v>18</v>
      </c>
      <c r="D54" s="23" t="s">
        <v>1648</v>
      </c>
      <c r="E54" s="228" t="s">
        <v>7017</v>
      </c>
      <c r="F54" s="231" t="s">
        <v>7018</v>
      </c>
      <c r="G54" s="34" t="s">
        <v>7019</v>
      </c>
      <c r="H54" s="231"/>
      <c r="I54" s="205" t="s">
        <v>288</v>
      </c>
      <c r="J54" s="24" t="s">
        <v>440</v>
      </c>
      <c r="K54" s="230"/>
      <c r="L54" s="228" t="s">
        <v>6889</v>
      </c>
      <c r="M54" s="229">
        <v>44287</v>
      </c>
      <c r="N54" s="283">
        <v>21</v>
      </c>
      <c r="O54" s="283">
        <v>7</v>
      </c>
      <c r="P54" s="278" t="s">
        <v>460</v>
      </c>
      <c r="Q54" s="281" t="s">
        <v>1648</v>
      </c>
      <c r="R54" s="230">
        <v>46357</v>
      </c>
      <c r="S54" s="230">
        <v>40210</v>
      </c>
    </row>
    <row r="55" spans="1:26" ht="42.75" customHeight="1" x14ac:dyDescent="0.25">
      <c r="A55" s="202">
        <v>25</v>
      </c>
      <c r="B55" s="278" t="s">
        <v>7020</v>
      </c>
      <c r="C55" s="228" t="s">
        <v>18</v>
      </c>
      <c r="D55" s="23" t="s">
        <v>1934</v>
      </c>
      <c r="E55" s="228" t="s">
        <v>7021</v>
      </c>
      <c r="F55" s="231" t="s">
        <v>7022</v>
      </c>
      <c r="G55" s="34" t="s">
        <v>7023</v>
      </c>
      <c r="H55" s="231"/>
      <c r="I55" s="205" t="s">
        <v>943</v>
      </c>
      <c r="J55" s="24" t="s">
        <v>6955</v>
      </c>
      <c r="K55" s="230"/>
      <c r="L55" s="228" t="s">
        <v>6889</v>
      </c>
      <c r="M55" s="229">
        <v>44835</v>
      </c>
      <c r="N55" s="283">
        <v>17</v>
      </c>
      <c r="O55" s="283">
        <v>9</v>
      </c>
      <c r="P55" s="278" t="s">
        <v>437</v>
      </c>
      <c r="Q55" s="281" t="s">
        <v>7024</v>
      </c>
      <c r="R55" s="230">
        <v>51105</v>
      </c>
      <c r="S55" s="230">
        <v>40238</v>
      </c>
    </row>
    <row r="56" spans="1:26" ht="42.75" customHeight="1" x14ac:dyDescent="0.25">
      <c r="A56" s="202">
        <v>26</v>
      </c>
      <c r="B56" s="278" t="s">
        <v>7025</v>
      </c>
      <c r="C56" s="228" t="s">
        <v>18</v>
      </c>
      <c r="D56" s="23" t="s">
        <v>1934</v>
      </c>
      <c r="E56" s="228" t="s">
        <v>7026</v>
      </c>
      <c r="F56" s="231" t="s">
        <v>7027</v>
      </c>
      <c r="G56" s="34" t="s">
        <v>7028</v>
      </c>
      <c r="H56" s="231"/>
      <c r="I56" s="205" t="s">
        <v>6980</v>
      </c>
      <c r="J56" s="24" t="s">
        <v>440</v>
      </c>
      <c r="K56" s="230"/>
      <c r="L56" s="228" t="s">
        <v>6889</v>
      </c>
      <c r="M56" s="229">
        <v>44835</v>
      </c>
      <c r="N56" s="283">
        <v>18</v>
      </c>
      <c r="O56" s="283">
        <v>0</v>
      </c>
      <c r="P56" s="278" t="s">
        <v>430</v>
      </c>
      <c r="Q56" s="281"/>
      <c r="R56" s="230">
        <v>47969</v>
      </c>
      <c r="S56" s="230">
        <v>45293</v>
      </c>
    </row>
    <row r="57" spans="1:26" ht="42.75" customHeight="1" x14ac:dyDescent="0.25">
      <c r="A57" s="202">
        <v>27</v>
      </c>
      <c r="B57" s="23" t="s">
        <v>7029</v>
      </c>
      <c r="C57" s="282" t="s">
        <v>18</v>
      </c>
      <c r="D57" s="23" t="s">
        <v>1489</v>
      </c>
      <c r="E57" s="229">
        <v>26937</v>
      </c>
      <c r="F57" s="231" t="s">
        <v>7030</v>
      </c>
      <c r="G57" s="34" t="s">
        <v>7031</v>
      </c>
      <c r="H57" s="231"/>
      <c r="I57" s="205" t="s">
        <v>288</v>
      </c>
      <c r="J57" s="24" t="s">
        <v>440</v>
      </c>
      <c r="K57" s="230"/>
      <c r="L57" s="228" t="s">
        <v>6896</v>
      </c>
      <c r="M57" s="230">
        <v>41730</v>
      </c>
      <c r="N57" s="228">
        <v>17</v>
      </c>
      <c r="O57" s="228">
        <v>1</v>
      </c>
      <c r="P57" s="278" t="s">
        <v>552</v>
      </c>
      <c r="Q57" s="281"/>
      <c r="R57" s="230">
        <v>48122</v>
      </c>
      <c r="S57" s="230">
        <v>39454</v>
      </c>
    </row>
    <row r="58" spans="1:26" ht="42.75" customHeight="1" x14ac:dyDescent="0.25">
      <c r="A58" s="293" t="s">
        <v>7032</v>
      </c>
      <c r="B58" s="293"/>
      <c r="C58" s="294"/>
      <c r="D58" s="293"/>
      <c r="E58" s="294"/>
      <c r="F58" s="295"/>
      <c r="G58" s="296"/>
      <c r="H58" s="295"/>
      <c r="I58" s="297"/>
      <c r="J58" s="293"/>
      <c r="K58" s="298"/>
      <c r="L58" s="293"/>
      <c r="M58" s="298"/>
      <c r="N58" s="293"/>
      <c r="O58" s="293"/>
      <c r="P58" s="293"/>
      <c r="Q58" s="297"/>
      <c r="R58" s="293"/>
      <c r="S58" s="293"/>
    </row>
    <row r="59" spans="1:26" ht="42.75" customHeight="1" x14ac:dyDescent="0.25">
      <c r="A59" s="202">
        <v>1</v>
      </c>
      <c r="B59" s="199" t="s">
        <v>7033</v>
      </c>
      <c r="C59" s="200" t="s">
        <v>46</v>
      </c>
      <c r="D59" s="199" t="s">
        <v>7034</v>
      </c>
      <c r="E59" s="203">
        <v>23743</v>
      </c>
      <c r="F59" s="201" t="s">
        <v>7035</v>
      </c>
      <c r="G59" s="295" t="s">
        <v>7036</v>
      </c>
      <c r="H59" s="201"/>
      <c r="I59" s="48" t="s">
        <v>7037</v>
      </c>
      <c r="J59" s="48" t="s">
        <v>200</v>
      </c>
      <c r="K59" s="200">
        <v>45288</v>
      </c>
      <c r="L59" s="202" t="s">
        <v>1469</v>
      </c>
      <c r="M59" s="203">
        <v>44105</v>
      </c>
      <c r="N59" s="206">
        <v>31</v>
      </c>
      <c r="O59" s="206">
        <v>7</v>
      </c>
      <c r="P59" s="199" t="s">
        <v>982</v>
      </c>
      <c r="Q59" s="299" t="s">
        <v>7038</v>
      </c>
      <c r="R59" s="200">
        <v>45689</v>
      </c>
      <c r="S59" s="200" t="s">
        <v>1084</v>
      </c>
    </row>
    <row r="60" spans="1:26" ht="42.75" customHeight="1" x14ac:dyDescent="0.25">
      <c r="A60" s="202">
        <v>2</v>
      </c>
      <c r="B60" s="199" t="s">
        <v>7039</v>
      </c>
      <c r="C60" s="200" t="s">
        <v>18</v>
      </c>
      <c r="D60" s="199" t="s">
        <v>1489</v>
      </c>
      <c r="E60" s="200">
        <v>24468</v>
      </c>
      <c r="F60" s="201" t="s">
        <v>7040</v>
      </c>
      <c r="G60" s="169" t="s">
        <v>7041</v>
      </c>
      <c r="H60" s="201"/>
      <c r="I60" s="205" t="s">
        <v>7042</v>
      </c>
      <c r="J60" s="48" t="s">
        <v>200</v>
      </c>
      <c r="K60" s="200">
        <v>44183</v>
      </c>
      <c r="L60" s="202" t="s">
        <v>1558</v>
      </c>
      <c r="M60" s="200" t="s">
        <v>7043</v>
      </c>
      <c r="N60" s="202">
        <v>19</v>
      </c>
      <c r="O60" s="202">
        <v>7</v>
      </c>
      <c r="P60" s="199" t="s">
        <v>982</v>
      </c>
      <c r="Q60" s="280" t="s">
        <v>7044</v>
      </c>
      <c r="R60" s="200">
        <v>46023</v>
      </c>
      <c r="S60" s="200">
        <v>45628</v>
      </c>
    </row>
    <row r="61" spans="1:26" ht="42.75" customHeight="1" x14ac:dyDescent="0.25">
      <c r="A61" s="202">
        <v>2</v>
      </c>
      <c r="B61" s="199" t="s">
        <v>7045</v>
      </c>
      <c r="C61" s="200" t="s">
        <v>18</v>
      </c>
      <c r="D61" s="199" t="s">
        <v>3300</v>
      </c>
      <c r="E61" s="203">
        <v>28333</v>
      </c>
      <c r="F61" s="201" t="s">
        <v>7046</v>
      </c>
      <c r="G61" s="169" t="s">
        <v>7047</v>
      </c>
      <c r="H61" s="201"/>
      <c r="I61" s="48" t="s">
        <v>7048</v>
      </c>
      <c r="J61" s="48" t="s">
        <v>200</v>
      </c>
      <c r="K61" s="200">
        <v>44974</v>
      </c>
      <c r="L61" s="202" t="s">
        <v>1558</v>
      </c>
      <c r="M61" s="203">
        <v>45200</v>
      </c>
      <c r="N61" s="206">
        <v>20</v>
      </c>
      <c r="O61" s="206">
        <v>10</v>
      </c>
      <c r="P61" s="199" t="s">
        <v>982</v>
      </c>
      <c r="Q61" s="48" t="s">
        <v>7049</v>
      </c>
      <c r="R61" s="200">
        <v>49522</v>
      </c>
      <c r="S61" s="200" t="s">
        <v>1084</v>
      </c>
    </row>
    <row r="62" spans="1:26" ht="42.75" customHeight="1" x14ac:dyDescent="0.25">
      <c r="A62" s="202">
        <v>3</v>
      </c>
      <c r="B62" s="199" t="s">
        <v>7050</v>
      </c>
      <c r="C62" s="200" t="s">
        <v>18</v>
      </c>
      <c r="D62" s="199" t="s">
        <v>1894</v>
      </c>
      <c r="E62" s="200">
        <v>25730</v>
      </c>
      <c r="F62" s="201" t="s">
        <v>7051</v>
      </c>
      <c r="G62" s="169" t="s">
        <v>7052</v>
      </c>
      <c r="H62" s="201"/>
      <c r="I62" s="205" t="s">
        <v>7053</v>
      </c>
      <c r="J62" s="48" t="s">
        <v>200</v>
      </c>
      <c r="K62" s="200">
        <v>44183</v>
      </c>
      <c r="L62" s="202" t="s">
        <v>1699</v>
      </c>
      <c r="M62" s="200">
        <v>42644</v>
      </c>
      <c r="N62" s="202">
        <v>16</v>
      </c>
      <c r="O62" s="202">
        <v>7</v>
      </c>
      <c r="P62" s="199" t="s">
        <v>982</v>
      </c>
      <c r="Q62" s="48" t="s">
        <v>7054</v>
      </c>
      <c r="R62" s="200">
        <v>46935</v>
      </c>
      <c r="S62" s="200" t="s">
        <v>1084</v>
      </c>
    </row>
    <row r="63" spans="1:26" ht="42.75" customHeight="1" x14ac:dyDescent="0.25">
      <c r="A63" s="202">
        <v>4</v>
      </c>
      <c r="B63" s="199" t="s">
        <v>7055</v>
      </c>
      <c r="C63" s="200" t="s">
        <v>46</v>
      </c>
      <c r="D63" s="199" t="s">
        <v>1489</v>
      </c>
      <c r="E63" s="200">
        <v>24587</v>
      </c>
      <c r="F63" s="201" t="s">
        <v>7056</v>
      </c>
      <c r="G63" s="169" t="s">
        <v>7057</v>
      </c>
      <c r="H63" s="201"/>
      <c r="I63" s="48" t="s">
        <v>7058</v>
      </c>
      <c r="J63" s="48" t="s">
        <v>200</v>
      </c>
      <c r="K63" s="200">
        <v>44183</v>
      </c>
      <c r="L63" s="202" t="s">
        <v>1699</v>
      </c>
      <c r="M63" s="200">
        <v>41365</v>
      </c>
      <c r="N63" s="202">
        <v>16</v>
      </c>
      <c r="O63" s="202">
        <v>1</v>
      </c>
      <c r="P63" s="199" t="s">
        <v>982</v>
      </c>
      <c r="Q63" s="48" t="s">
        <v>7059</v>
      </c>
      <c r="R63" s="200">
        <v>45778</v>
      </c>
      <c r="S63" s="200">
        <v>44593</v>
      </c>
    </row>
    <row r="64" spans="1:26" ht="42.75" customHeight="1" x14ac:dyDescent="0.25">
      <c r="A64" s="202">
        <v>5</v>
      </c>
      <c r="B64" s="199" t="s">
        <v>7060</v>
      </c>
      <c r="C64" s="200" t="s">
        <v>18</v>
      </c>
      <c r="D64" s="199" t="s">
        <v>1934</v>
      </c>
      <c r="E64" s="200">
        <v>24984</v>
      </c>
      <c r="F64" s="201" t="s">
        <v>7061</v>
      </c>
      <c r="G64" s="169" t="s">
        <v>7062</v>
      </c>
      <c r="H64" s="201"/>
      <c r="I64" s="205" t="s">
        <v>6925</v>
      </c>
      <c r="J64" s="48" t="s">
        <v>200</v>
      </c>
      <c r="K64" s="200">
        <v>44183</v>
      </c>
      <c r="L64" s="202" t="s">
        <v>1699</v>
      </c>
      <c r="M64" s="200">
        <v>41548</v>
      </c>
      <c r="N64" s="202">
        <v>20</v>
      </c>
      <c r="O64" s="202">
        <v>7</v>
      </c>
      <c r="P64" s="199" t="s">
        <v>982</v>
      </c>
      <c r="Q64" s="48" t="s">
        <v>7063</v>
      </c>
      <c r="R64" s="200">
        <v>46174</v>
      </c>
      <c r="S64" s="200">
        <v>45446</v>
      </c>
    </row>
    <row r="65" spans="1:19" ht="42.75" customHeight="1" x14ac:dyDescent="0.25">
      <c r="A65" s="202">
        <v>6</v>
      </c>
      <c r="B65" s="23" t="s">
        <v>7064</v>
      </c>
      <c r="C65" s="200" t="s">
        <v>46</v>
      </c>
      <c r="D65" s="23" t="s">
        <v>1489</v>
      </c>
      <c r="E65" s="230">
        <v>25263</v>
      </c>
      <c r="F65" s="231" t="s">
        <v>7065</v>
      </c>
      <c r="G65" s="169" t="s">
        <v>7066</v>
      </c>
      <c r="H65" s="231"/>
      <c r="I65" s="205" t="s">
        <v>6925</v>
      </c>
      <c r="J65" s="48" t="s">
        <v>200</v>
      </c>
      <c r="K65" s="200">
        <v>44560</v>
      </c>
      <c r="L65" s="202" t="s">
        <v>1699</v>
      </c>
      <c r="M65" s="230">
        <v>41730</v>
      </c>
      <c r="N65" s="228">
        <v>16</v>
      </c>
      <c r="O65" s="228">
        <v>1</v>
      </c>
      <c r="P65" s="23" t="s">
        <v>982</v>
      </c>
      <c r="Q65" s="280" t="s">
        <v>7067</v>
      </c>
      <c r="R65" s="230">
        <v>46478</v>
      </c>
      <c r="S65" s="200">
        <v>45446</v>
      </c>
    </row>
    <row r="66" spans="1:19" ht="42.75" customHeight="1" x14ac:dyDescent="0.25">
      <c r="A66" s="202">
        <v>7</v>
      </c>
      <c r="B66" s="232" t="s">
        <v>7068</v>
      </c>
      <c r="C66" s="200" t="s">
        <v>46</v>
      </c>
      <c r="D66" s="199" t="s">
        <v>1648</v>
      </c>
      <c r="E66" s="200" t="s">
        <v>7069</v>
      </c>
      <c r="F66" s="201" t="s">
        <v>7070</v>
      </c>
      <c r="G66" s="169" t="s">
        <v>7071</v>
      </c>
      <c r="H66" s="201"/>
      <c r="I66" s="48" t="s">
        <v>7058</v>
      </c>
      <c r="J66" s="48" t="s">
        <v>200</v>
      </c>
      <c r="K66" s="200">
        <v>44183</v>
      </c>
      <c r="L66" s="202" t="s">
        <v>1738</v>
      </c>
      <c r="M66" s="200">
        <v>43922</v>
      </c>
      <c r="N66" s="202">
        <v>12</v>
      </c>
      <c r="O66" s="202">
        <v>3</v>
      </c>
      <c r="P66" s="199" t="s">
        <v>376</v>
      </c>
      <c r="Q66" s="205" t="s">
        <v>7072</v>
      </c>
      <c r="R66" s="200">
        <v>51592</v>
      </c>
      <c r="S66" s="200" t="s">
        <v>1084</v>
      </c>
    </row>
    <row r="67" spans="1:19" ht="42.75" customHeight="1" x14ac:dyDescent="0.25">
      <c r="A67" s="202">
        <v>8</v>
      </c>
      <c r="B67" s="23" t="s">
        <v>7073</v>
      </c>
      <c r="C67" s="200" t="s">
        <v>46</v>
      </c>
      <c r="D67" s="23" t="s">
        <v>1934</v>
      </c>
      <c r="E67" s="230" t="s">
        <v>7074</v>
      </c>
      <c r="F67" s="231" t="s">
        <v>7075</v>
      </c>
      <c r="G67" s="34" t="s">
        <v>4006</v>
      </c>
      <c r="H67" s="231"/>
      <c r="I67" s="205" t="s">
        <v>6872</v>
      </c>
      <c r="J67" s="48" t="s">
        <v>200</v>
      </c>
      <c r="K67" s="230"/>
      <c r="L67" s="228" t="s">
        <v>1738</v>
      </c>
      <c r="M67" s="230">
        <v>43922</v>
      </c>
      <c r="N67" s="228">
        <v>12</v>
      </c>
      <c r="O67" s="228">
        <v>3</v>
      </c>
      <c r="P67" s="278" t="s">
        <v>982</v>
      </c>
      <c r="Q67" s="280" t="s">
        <v>7076</v>
      </c>
      <c r="R67" s="230">
        <v>52201</v>
      </c>
      <c r="S67" s="230">
        <v>44866</v>
      </c>
    </row>
    <row r="68" spans="1:19" ht="42.75" customHeight="1" x14ac:dyDescent="0.25">
      <c r="A68" s="202">
        <v>9</v>
      </c>
      <c r="B68" s="23" t="s">
        <v>7077</v>
      </c>
      <c r="C68" s="282" t="s">
        <v>18</v>
      </c>
      <c r="D68" s="23" t="s">
        <v>1489</v>
      </c>
      <c r="E68" s="230" t="s">
        <v>4826</v>
      </c>
      <c r="F68" s="231" t="s">
        <v>7078</v>
      </c>
      <c r="G68" s="34" t="s">
        <v>7079</v>
      </c>
      <c r="H68" s="231"/>
      <c r="I68" s="205" t="s">
        <v>7080</v>
      </c>
      <c r="J68" s="48" t="s">
        <v>200</v>
      </c>
      <c r="K68" s="230"/>
      <c r="L68" s="228" t="s">
        <v>1738</v>
      </c>
      <c r="M68" s="230">
        <v>43191</v>
      </c>
      <c r="N68" s="283">
        <v>12</v>
      </c>
      <c r="O68" s="283">
        <v>0</v>
      </c>
      <c r="P68" s="199" t="s">
        <v>376</v>
      </c>
      <c r="Q68" s="281" t="s">
        <v>7081</v>
      </c>
      <c r="R68" s="230">
        <v>50041</v>
      </c>
      <c r="S68" s="230">
        <v>40850</v>
      </c>
    </row>
    <row r="69" spans="1:19" ht="42.75" customHeight="1" x14ac:dyDescent="0.25">
      <c r="A69" s="202">
        <v>10</v>
      </c>
      <c r="B69" s="23" t="s">
        <v>7082</v>
      </c>
      <c r="C69" s="230" t="s">
        <v>18</v>
      </c>
      <c r="D69" s="23" t="s">
        <v>1648</v>
      </c>
      <c r="E69" s="230">
        <v>25435</v>
      </c>
      <c r="F69" s="231" t="s">
        <v>7083</v>
      </c>
      <c r="G69" s="34" t="s">
        <v>7084</v>
      </c>
      <c r="H69" s="231"/>
      <c r="I69" s="205" t="s">
        <v>370</v>
      </c>
      <c r="J69" s="48" t="s">
        <v>200</v>
      </c>
      <c r="K69" s="230"/>
      <c r="L69" s="228" t="s">
        <v>1738</v>
      </c>
      <c r="M69" s="230">
        <v>43191</v>
      </c>
      <c r="N69" s="228">
        <v>20</v>
      </c>
      <c r="O69" s="228">
        <v>2</v>
      </c>
      <c r="P69" s="199" t="s">
        <v>376</v>
      </c>
      <c r="Q69" s="280" t="s">
        <v>7085</v>
      </c>
      <c r="R69" s="230">
        <v>46631</v>
      </c>
      <c r="S69" s="230">
        <v>39454</v>
      </c>
    </row>
    <row r="70" spans="1:19" ht="42.75" customHeight="1" x14ac:dyDescent="0.25">
      <c r="A70" s="202">
        <v>11</v>
      </c>
      <c r="B70" s="23" t="s">
        <v>7086</v>
      </c>
      <c r="C70" s="230" t="s">
        <v>18</v>
      </c>
      <c r="D70" s="23" t="s">
        <v>1648</v>
      </c>
      <c r="E70" s="230">
        <v>25618</v>
      </c>
      <c r="F70" s="231" t="s">
        <v>7087</v>
      </c>
      <c r="G70" s="34" t="s">
        <v>7088</v>
      </c>
      <c r="H70" s="231"/>
      <c r="I70" s="205" t="s">
        <v>370</v>
      </c>
      <c r="J70" s="48" t="s">
        <v>200</v>
      </c>
      <c r="K70" s="230"/>
      <c r="L70" s="228" t="s">
        <v>1738</v>
      </c>
      <c r="M70" s="230">
        <v>42644</v>
      </c>
      <c r="N70" s="228">
        <v>19</v>
      </c>
      <c r="O70" s="228">
        <v>7</v>
      </c>
      <c r="P70" s="199" t="s">
        <v>376</v>
      </c>
      <c r="Q70" s="280" t="s">
        <v>7089</v>
      </c>
      <c r="R70" s="230">
        <v>46813</v>
      </c>
      <c r="S70" s="230">
        <v>43102</v>
      </c>
    </row>
    <row r="71" spans="1:19" ht="42.75" customHeight="1" x14ac:dyDescent="0.25">
      <c r="A71" s="202">
        <v>12</v>
      </c>
      <c r="B71" s="281" t="s">
        <v>7090</v>
      </c>
      <c r="C71" s="230" t="s">
        <v>18</v>
      </c>
      <c r="D71" s="24" t="s">
        <v>2103</v>
      </c>
      <c r="E71" s="230" t="s">
        <v>7091</v>
      </c>
      <c r="F71" s="231" t="s">
        <v>7092</v>
      </c>
      <c r="G71" s="34" t="s">
        <v>7093</v>
      </c>
      <c r="H71" s="231"/>
      <c r="I71" s="205" t="s">
        <v>7094</v>
      </c>
      <c r="J71" s="48" t="s">
        <v>200</v>
      </c>
      <c r="K71" s="230"/>
      <c r="L71" s="228" t="s">
        <v>1738</v>
      </c>
      <c r="M71" s="230">
        <v>43922</v>
      </c>
      <c r="N71" s="228">
        <v>12</v>
      </c>
      <c r="O71" s="228">
        <v>4</v>
      </c>
      <c r="P71" s="199" t="s">
        <v>376</v>
      </c>
      <c r="Q71" s="281" t="s">
        <v>7095</v>
      </c>
      <c r="R71" s="230">
        <v>52475</v>
      </c>
      <c r="S71" s="229">
        <v>42919</v>
      </c>
    </row>
    <row r="72" spans="1:19" ht="42.75" customHeight="1" x14ac:dyDescent="0.25">
      <c r="A72" s="202">
        <v>13</v>
      </c>
      <c r="B72" s="281" t="s">
        <v>7096</v>
      </c>
      <c r="C72" s="200" t="s">
        <v>46</v>
      </c>
      <c r="D72" s="24" t="s">
        <v>7097</v>
      </c>
      <c r="E72" s="229">
        <v>29628</v>
      </c>
      <c r="F72" s="231" t="s">
        <v>7098</v>
      </c>
      <c r="G72" s="34" t="s">
        <v>7099</v>
      </c>
      <c r="H72" s="231"/>
      <c r="I72" s="205" t="s">
        <v>7100</v>
      </c>
      <c r="J72" s="48" t="s">
        <v>200</v>
      </c>
      <c r="K72" s="230"/>
      <c r="L72" s="228" t="s">
        <v>1738</v>
      </c>
      <c r="M72" s="229">
        <v>44287</v>
      </c>
      <c r="N72" s="283">
        <v>12</v>
      </c>
      <c r="O72" s="283">
        <v>3</v>
      </c>
      <c r="P72" s="199" t="s">
        <v>376</v>
      </c>
      <c r="Q72" s="9" t="s">
        <v>7101</v>
      </c>
      <c r="R72" s="229">
        <v>50830</v>
      </c>
      <c r="S72" s="230">
        <v>43952</v>
      </c>
    </row>
    <row r="73" spans="1:19" ht="42.75" customHeight="1" x14ac:dyDescent="0.25">
      <c r="A73" s="202">
        <v>15</v>
      </c>
      <c r="B73" s="278" t="s">
        <v>7102</v>
      </c>
      <c r="C73" s="228" t="s">
        <v>18</v>
      </c>
      <c r="D73" s="23" t="s">
        <v>1934</v>
      </c>
      <c r="E73" s="230" t="s">
        <v>7103</v>
      </c>
      <c r="F73" s="231" t="s">
        <v>7104</v>
      </c>
      <c r="G73" s="169" t="s">
        <v>7105</v>
      </c>
      <c r="H73" s="231"/>
      <c r="I73" s="205" t="s">
        <v>7106</v>
      </c>
      <c r="J73" s="205" t="s">
        <v>379</v>
      </c>
      <c r="K73" s="230">
        <v>43160</v>
      </c>
      <c r="L73" s="228" t="s">
        <v>1738</v>
      </c>
      <c r="M73" s="230">
        <v>45566</v>
      </c>
      <c r="N73" s="228">
        <v>16</v>
      </c>
      <c r="O73" s="228">
        <v>6</v>
      </c>
      <c r="P73" s="278" t="s">
        <v>982</v>
      </c>
      <c r="Q73" s="281" t="s">
        <v>7107</v>
      </c>
      <c r="R73" s="230">
        <v>50010</v>
      </c>
      <c r="S73" s="230">
        <v>45108</v>
      </c>
    </row>
    <row r="74" spans="1:19" ht="42.75" customHeight="1" x14ac:dyDescent="0.25">
      <c r="A74" s="202">
        <v>16</v>
      </c>
      <c r="B74" s="23" t="s">
        <v>7108</v>
      </c>
      <c r="C74" s="200" t="s">
        <v>46</v>
      </c>
      <c r="D74" s="23" t="s">
        <v>3342</v>
      </c>
      <c r="E74" s="230">
        <v>26909</v>
      </c>
      <c r="F74" s="231" t="s">
        <v>7109</v>
      </c>
      <c r="G74" s="34" t="s">
        <v>7110</v>
      </c>
      <c r="H74" s="231"/>
      <c r="I74" s="205" t="s">
        <v>740</v>
      </c>
      <c r="J74" s="48" t="s">
        <v>200</v>
      </c>
      <c r="K74" s="230"/>
      <c r="L74" s="228" t="s">
        <v>1991</v>
      </c>
      <c r="M74" s="230">
        <v>42826</v>
      </c>
      <c r="N74" s="228">
        <v>15</v>
      </c>
      <c r="O74" s="228">
        <v>1</v>
      </c>
      <c r="P74" s="23" t="s">
        <v>460</v>
      </c>
      <c r="Q74" s="24" t="s">
        <v>7111</v>
      </c>
      <c r="R74" s="230">
        <v>48122</v>
      </c>
      <c r="S74" s="230">
        <v>38646</v>
      </c>
    </row>
    <row r="75" spans="1:19" ht="42.75" customHeight="1" x14ac:dyDescent="0.25">
      <c r="A75" s="202">
        <v>17</v>
      </c>
      <c r="B75" s="278" t="s">
        <v>7112</v>
      </c>
      <c r="C75" s="228" t="s">
        <v>18</v>
      </c>
      <c r="D75" s="23" t="s">
        <v>1934</v>
      </c>
      <c r="E75" s="228" t="s">
        <v>7113</v>
      </c>
      <c r="F75" s="231" t="s">
        <v>7114</v>
      </c>
      <c r="G75" s="34" t="s">
        <v>7115</v>
      </c>
      <c r="H75" s="231"/>
      <c r="I75" s="205" t="s">
        <v>7116</v>
      </c>
      <c r="J75" s="48" t="s">
        <v>200</v>
      </c>
      <c r="K75" s="230"/>
      <c r="L75" s="228" t="s">
        <v>2698</v>
      </c>
      <c r="M75" s="230">
        <v>45017</v>
      </c>
      <c r="N75" s="228">
        <v>25</v>
      </c>
      <c r="O75" s="228">
        <v>2</v>
      </c>
      <c r="P75" s="278" t="s">
        <v>460</v>
      </c>
      <c r="Q75" s="281" t="s">
        <v>7117</v>
      </c>
      <c r="R75" s="230" t="s">
        <v>7118</v>
      </c>
      <c r="S75" s="230">
        <v>44271</v>
      </c>
    </row>
    <row r="76" spans="1:19" ht="42.75" customHeight="1" x14ac:dyDescent="0.25">
      <c r="A76" s="202">
        <v>18</v>
      </c>
      <c r="B76" s="278" t="s">
        <v>7119</v>
      </c>
      <c r="C76" s="200" t="s">
        <v>46</v>
      </c>
      <c r="D76" s="23" t="s">
        <v>1934</v>
      </c>
      <c r="E76" s="228" t="s">
        <v>7120</v>
      </c>
      <c r="F76" s="231" t="s">
        <v>7121</v>
      </c>
      <c r="G76" s="34" t="s">
        <v>7122</v>
      </c>
      <c r="H76" s="231"/>
      <c r="I76" s="205" t="s">
        <v>391</v>
      </c>
      <c r="J76" s="48" t="s">
        <v>200</v>
      </c>
      <c r="K76" s="230"/>
      <c r="L76" s="228" t="s">
        <v>2698</v>
      </c>
      <c r="M76" s="229">
        <v>44652</v>
      </c>
      <c r="N76" s="283">
        <v>13</v>
      </c>
      <c r="O76" s="283">
        <v>3</v>
      </c>
      <c r="P76" s="199" t="s">
        <v>376</v>
      </c>
      <c r="Q76" s="281" t="s">
        <v>7123</v>
      </c>
      <c r="R76" s="230">
        <v>49735</v>
      </c>
      <c r="S76" s="230">
        <v>44326</v>
      </c>
    </row>
    <row r="77" spans="1:19" ht="42.75" customHeight="1" x14ac:dyDescent="0.25">
      <c r="A77" s="202">
        <v>19</v>
      </c>
      <c r="B77" s="278" t="s">
        <v>7124</v>
      </c>
      <c r="C77" s="228" t="s">
        <v>18</v>
      </c>
      <c r="D77" s="23" t="s">
        <v>1934</v>
      </c>
      <c r="E77" s="228" t="s">
        <v>7125</v>
      </c>
      <c r="F77" s="231" t="s">
        <v>7126</v>
      </c>
      <c r="G77" s="34" t="s">
        <v>7127</v>
      </c>
      <c r="H77" s="231"/>
      <c r="I77" s="205" t="s">
        <v>80</v>
      </c>
      <c r="J77" s="48" t="s">
        <v>379</v>
      </c>
      <c r="K77" s="230"/>
      <c r="L77" s="228" t="s">
        <v>6889</v>
      </c>
      <c r="M77" s="229">
        <v>44287</v>
      </c>
      <c r="N77" s="283">
        <v>20</v>
      </c>
      <c r="O77" s="283">
        <v>10</v>
      </c>
      <c r="P77" s="278" t="s">
        <v>430</v>
      </c>
      <c r="Q77" s="281" t="s">
        <v>7128</v>
      </c>
      <c r="R77" s="230">
        <v>47119</v>
      </c>
      <c r="S77" s="230">
        <v>45108</v>
      </c>
    </row>
    <row r="78" spans="1:19" ht="42.75" customHeight="1" x14ac:dyDescent="0.25">
      <c r="A78" s="293" t="s">
        <v>7129</v>
      </c>
      <c r="B78" s="293"/>
      <c r="C78" s="294"/>
      <c r="D78" s="293"/>
      <c r="E78" s="294"/>
      <c r="F78" s="295"/>
      <c r="G78" s="232"/>
      <c r="H78" s="295"/>
      <c r="I78" s="297"/>
      <c r="J78" s="293"/>
      <c r="K78" s="298"/>
      <c r="L78" s="293"/>
      <c r="M78" s="298"/>
      <c r="N78" s="293"/>
      <c r="O78" s="293"/>
      <c r="P78" s="293"/>
      <c r="Q78" s="297"/>
      <c r="R78" s="293"/>
      <c r="S78" s="293"/>
    </row>
    <row r="79" spans="1:19" ht="42.75" customHeight="1" x14ac:dyDescent="0.25">
      <c r="A79" s="202">
        <v>1</v>
      </c>
      <c r="B79" s="23" t="s">
        <v>7130</v>
      </c>
      <c r="C79" s="200" t="s">
        <v>46</v>
      </c>
      <c r="D79" s="23" t="s">
        <v>2103</v>
      </c>
      <c r="E79" s="230">
        <v>27392</v>
      </c>
      <c r="F79" s="231" t="s">
        <v>7131</v>
      </c>
      <c r="G79" s="169" t="s">
        <v>7132</v>
      </c>
      <c r="H79" s="231"/>
      <c r="I79" s="300" t="s">
        <v>7133</v>
      </c>
      <c r="J79" s="205" t="s">
        <v>1033</v>
      </c>
      <c r="K79" s="200">
        <v>45364</v>
      </c>
      <c r="L79" s="228" t="s">
        <v>1738</v>
      </c>
      <c r="M79" s="230">
        <v>44652</v>
      </c>
      <c r="N79" s="228">
        <v>22</v>
      </c>
      <c r="O79" s="228">
        <v>1</v>
      </c>
      <c r="P79" s="199" t="s">
        <v>376</v>
      </c>
      <c r="Q79" s="24" t="s">
        <v>7134</v>
      </c>
      <c r="R79" s="230">
        <v>48580</v>
      </c>
      <c r="S79" s="230">
        <v>36586</v>
      </c>
    </row>
    <row r="80" spans="1:19" ht="42.75" customHeight="1" x14ac:dyDescent="0.25">
      <c r="A80" s="228">
        <v>2</v>
      </c>
      <c r="B80" s="281" t="s">
        <v>7135</v>
      </c>
      <c r="C80" s="200" t="s">
        <v>46</v>
      </c>
      <c r="D80" s="24" t="s">
        <v>1648</v>
      </c>
      <c r="E80" s="230">
        <v>24572</v>
      </c>
      <c r="F80" s="231" t="s">
        <v>7136</v>
      </c>
      <c r="G80" s="34" t="s">
        <v>7137</v>
      </c>
      <c r="H80" s="231"/>
      <c r="I80" s="205" t="s">
        <v>570</v>
      </c>
      <c r="J80" s="281" t="s">
        <v>7138</v>
      </c>
      <c r="K80" s="230"/>
      <c r="L80" s="228" t="s">
        <v>1738</v>
      </c>
      <c r="M80" s="230" t="s">
        <v>4909</v>
      </c>
      <c r="N80" s="228">
        <v>23</v>
      </c>
      <c r="O80" s="228">
        <v>1</v>
      </c>
      <c r="P80" s="199" t="s">
        <v>376</v>
      </c>
      <c r="Q80" s="280" t="s">
        <v>7139</v>
      </c>
      <c r="R80" s="229" t="s">
        <v>7140</v>
      </c>
      <c r="S80" s="230">
        <v>42380</v>
      </c>
    </row>
    <row r="81" spans="1:19" ht="42.75" customHeight="1" x14ac:dyDescent="0.25">
      <c r="A81" s="202">
        <v>3</v>
      </c>
      <c r="B81" s="23" t="s">
        <v>7141</v>
      </c>
      <c r="C81" s="200" t="s">
        <v>46</v>
      </c>
      <c r="D81" s="23" t="s">
        <v>6039</v>
      </c>
      <c r="E81" s="229">
        <v>25464</v>
      </c>
      <c r="F81" s="231" t="s">
        <v>7142</v>
      </c>
      <c r="G81" s="34" t="s">
        <v>7143</v>
      </c>
      <c r="H81" s="231"/>
      <c r="I81" s="205" t="s">
        <v>6836</v>
      </c>
      <c r="J81" s="281" t="s">
        <v>7138</v>
      </c>
      <c r="K81" s="230"/>
      <c r="L81" s="228" t="s">
        <v>1717</v>
      </c>
      <c r="M81" s="230">
        <v>41913</v>
      </c>
      <c r="N81" s="228">
        <v>19</v>
      </c>
      <c r="O81" s="228">
        <v>7</v>
      </c>
      <c r="P81" s="23" t="s">
        <v>389</v>
      </c>
      <c r="Q81" s="281" t="s">
        <v>7144</v>
      </c>
      <c r="R81" s="230">
        <v>46661</v>
      </c>
      <c r="S81" s="230">
        <v>44326</v>
      </c>
    </row>
    <row r="82" spans="1:19" ht="42.75" customHeight="1" x14ac:dyDescent="0.25">
      <c r="A82" s="228">
        <v>4</v>
      </c>
      <c r="B82" s="23" t="s">
        <v>7145</v>
      </c>
      <c r="C82" s="282" t="s">
        <v>18</v>
      </c>
      <c r="D82" s="23" t="s">
        <v>2042</v>
      </c>
      <c r="E82" s="229">
        <v>26160</v>
      </c>
      <c r="F82" s="231" t="s">
        <v>7146</v>
      </c>
      <c r="G82" s="34" t="s">
        <v>7147</v>
      </c>
      <c r="H82" s="231"/>
      <c r="I82" s="205" t="s">
        <v>7148</v>
      </c>
      <c r="J82" s="281" t="s">
        <v>7138</v>
      </c>
      <c r="K82" s="230"/>
      <c r="L82" s="228" t="s">
        <v>1738</v>
      </c>
      <c r="M82" s="230">
        <v>44652</v>
      </c>
      <c r="N82" s="228">
        <v>23</v>
      </c>
      <c r="O82" s="228">
        <v>1</v>
      </c>
      <c r="P82" s="199" t="s">
        <v>376</v>
      </c>
      <c r="Q82" s="281" t="s">
        <v>7149</v>
      </c>
      <c r="R82" s="230">
        <v>47362</v>
      </c>
      <c r="S82" s="230">
        <v>43626</v>
      </c>
    </row>
    <row r="83" spans="1:19" ht="42.75" customHeight="1" x14ac:dyDescent="0.25">
      <c r="A83" s="202">
        <v>5</v>
      </c>
      <c r="B83" s="278" t="s">
        <v>7150</v>
      </c>
      <c r="C83" s="228" t="s">
        <v>18</v>
      </c>
      <c r="D83" s="23" t="s">
        <v>1934</v>
      </c>
      <c r="E83" s="228" t="s">
        <v>7151</v>
      </c>
      <c r="F83" s="231" t="s">
        <v>7152</v>
      </c>
      <c r="G83" s="34" t="s">
        <v>7153</v>
      </c>
      <c r="H83" s="231"/>
      <c r="I83" s="205" t="s">
        <v>80</v>
      </c>
      <c r="J83" s="281" t="s">
        <v>7138</v>
      </c>
      <c r="K83" s="230"/>
      <c r="L83" s="228" t="s">
        <v>1738</v>
      </c>
      <c r="M83" s="230">
        <v>43556</v>
      </c>
      <c r="N83" s="228">
        <v>21</v>
      </c>
      <c r="O83" s="228">
        <v>8</v>
      </c>
      <c r="P83" s="199" t="s">
        <v>376</v>
      </c>
      <c r="Q83" s="281" t="s">
        <v>7154</v>
      </c>
      <c r="R83" s="230" t="s">
        <v>7155</v>
      </c>
      <c r="S83" s="230">
        <v>44562</v>
      </c>
    </row>
    <row r="84" spans="1:19" ht="42.75" customHeight="1" x14ac:dyDescent="0.25">
      <c r="A84" s="228">
        <v>6</v>
      </c>
      <c r="B84" s="23" t="s">
        <v>7156</v>
      </c>
      <c r="C84" s="230" t="s">
        <v>18</v>
      </c>
      <c r="D84" s="23" t="s">
        <v>1648</v>
      </c>
      <c r="E84" s="230">
        <v>25305</v>
      </c>
      <c r="F84" s="231" t="s">
        <v>7157</v>
      </c>
      <c r="G84" s="34" t="s">
        <v>7158</v>
      </c>
      <c r="H84" s="231"/>
      <c r="I84" s="205" t="s">
        <v>391</v>
      </c>
      <c r="J84" s="281" t="s">
        <v>7138</v>
      </c>
      <c r="K84" s="230"/>
      <c r="L84" s="228" t="s">
        <v>1991</v>
      </c>
      <c r="M84" s="230">
        <v>45383</v>
      </c>
      <c r="N84" s="228">
        <v>21</v>
      </c>
      <c r="O84" s="228">
        <v>6</v>
      </c>
      <c r="P84" s="23" t="s">
        <v>460</v>
      </c>
      <c r="Q84" s="24" t="s">
        <v>7159</v>
      </c>
      <c r="R84" s="230">
        <v>46508</v>
      </c>
      <c r="S84" s="230">
        <v>37926</v>
      </c>
    </row>
    <row r="85" spans="1:19" ht="42.75" customHeight="1" x14ac:dyDescent="0.25">
      <c r="A85" s="202">
        <v>7</v>
      </c>
      <c r="B85" s="278" t="s">
        <v>7160</v>
      </c>
      <c r="C85" s="228" t="s">
        <v>18</v>
      </c>
      <c r="D85" s="23" t="s">
        <v>1648</v>
      </c>
      <c r="E85" s="228" t="s">
        <v>7161</v>
      </c>
      <c r="F85" s="231" t="s">
        <v>7162</v>
      </c>
      <c r="G85" s="34" t="s">
        <v>7163</v>
      </c>
      <c r="H85" s="231"/>
      <c r="I85" s="205" t="s">
        <v>7164</v>
      </c>
      <c r="J85" s="281" t="s">
        <v>7138</v>
      </c>
      <c r="K85" s="230"/>
      <c r="L85" s="228" t="s">
        <v>6889</v>
      </c>
      <c r="M85" s="229">
        <v>44470</v>
      </c>
      <c r="N85" s="283">
        <v>17</v>
      </c>
      <c r="O85" s="283">
        <v>6</v>
      </c>
      <c r="P85" s="278" t="s">
        <v>6890</v>
      </c>
      <c r="Q85" s="281" t="s">
        <v>7165</v>
      </c>
      <c r="R85" s="230">
        <v>51136</v>
      </c>
      <c r="S85" s="230">
        <v>45446</v>
      </c>
    </row>
    <row r="86" spans="1:19" ht="42.75" customHeight="1" x14ac:dyDescent="0.25">
      <c r="A86" s="228">
        <v>8</v>
      </c>
      <c r="B86" s="278" t="s">
        <v>7166</v>
      </c>
      <c r="C86" s="228" t="s">
        <v>18</v>
      </c>
      <c r="D86" s="23" t="s">
        <v>1519</v>
      </c>
      <c r="E86" s="230">
        <v>27138</v>
      </c>
      <c r="F86" s="231" t="s">
        <v>7167</v>
      </c>
      <c r="G86" s="34" t="s">
        <v>7168</v>
      </c>
      <c r="H86" s="231"/>
      <c r="I86" s="205" t="s">
        <v>80</v>
      </c>
      <c r="J86" s="281" t="s">
        <v>7138</v>
      </c>
      <c r="K86" s="230"/>
      <c r="L86" s="228" t="s">
        <v>2698</v>
      </c>
      <c r="M86" s="229">
        <v>45017</v>
      </c>
      <c r="N86" s="228">
        <v>19</v>
      </c>
      <c r="O86" s="228">
        <v>11</v>
      </c>
      <c r="P86" s="278" t="s">
        <v>460</v>
      </c>
      <c r="Q86" s="281"/>
      <c r="R86" s="230">
        <v>48335</v>
      </c>
      <c r="S86" s="230">
        <v>45446</v>
      </c>
    </row>
    <row r="87" spans="1:19" ht="42.75" customHeight="1" x14ac:dyDescent="0.25">
      <c r="A87" s="202">
        <v>9</v>
      </c>
      <c r="B87" s="278" t="s">
        <v>7169</v>
      </c>
      <c r="C87" s="228" t="s">
        <v>18</v>
      </c>
      <c r="D87" s="23" t="s">
        <v>1648</v>
      </c>
      <c r="E87" s="228" t="s">
        <v>7170</v>
      </c>
      <c r="F87" s="231" t="s">
        <v>7171</v>
      </c>
      <c r="G87" s="34" t="s">
        <v>7172</v>
      </c>
      <c r="H87" s="231"/>
      <c r="I87" s="205" t="s">
        <v>65</v>
      </c>
      <c r="J87" s="281" t="s">
        <v>7138</v>
      </c>
      <c r="K87" s="230"/>
      <c r="L87" s="228" t="s">
        <v>6889</v>
      </c>
      <c r="M87" s="229">
        <v>44835</v>
      </c>
      <c r="N87" s="283">
        <v>18</v>
      </c>
      <c r="O87" s="283">
        <v>2</v>
      </c>
      <c r="P87" s="278" t="s">
        <v>449</v>
      </c>
      <c r="Q87" s="281" t="s">
        <v>7173</v>
      </c>
      <c r="R87" s="230">
        <v>52352</v>
      </c>
      <c r="S87" s="230">
        <v>45446</v>
      </c>
    </row>
    <row r="88" spans="1:19" ht="42.75" customHeight="1" x14ac:dyDescent="0.25">
      <c r="A88" s="301" t="s">
        <v>7174</v>
      </c>
      <c r="B88" s="301"/>
      <c r="C88" s="294"/>
      <c r="D88" s="301"/>
      <c r="E88" s="302"/>
      <c r="F88" s="295"/>
      <c r="G88" s="232"/>
      <c r="H88" s="295"/>
      <c r="I88" s="303"/>
      <c r="J88" s="301"/>
      <c r="K88" s="304"/>
      <c r="L88" s="302"/>
      <c r="M88" s="305"/>
      <c r="N88" s="302"/>
      <c r="O88" s="302"/>
      <c r="P88" s="302"/>
      <c r="Q88" s="306"/>
      <c r="R88" s="305"/>
      <c r="S88" s="304"/>
    </row>
    <row r="89" spans="1:19" ht="42.75" customHeight="1" x14ac:dyDescent="0.25">
      <c r="A89" s="202">
        <v>1</v>
      </c>
      <c r="B89" s="199" t="s">
        <v>7175</v>
      </c>
      <c r="C89" s="200" t="s">
        <v>46</v>
      </c>
      <c r="D89" s="199" t="s">
        <v>1489</v>
      </c>
      <c r="E89" s="200">
        <v>25932</v>
      </c>
      <c r="F89" s="201" t="s">
        <v>7176</v>
      </c>
      <c r="G89" s="169" t="s">
        <v>7177</v>
      </c>
      <c r="H89" s="201"/>
      <c r="I89" s="205" t="s">
        <v>6925</v>
      </c>
      <c r="J89" s="48" t="s">
        <v>7178</v>
      </c>
      <c r="K89" s="200">
        <v>44228</v>
      </c>
      <c r="L89" s="202" t="s">
        <v>1738</v>
      </c>
      <c r="M89" s="200">
        <v>40634</v>
      </c>
      <c r="N89" s="202">
        <v>12</v>
      </c>
      <c r="O89" s="202">
        <v>1</v>
      </c>
      <c r="P89" s="199" t="s">
        <v>376</v>
      </c>
      <c r="Q89" s="205" t="s">
        <v>7179</v>
      </c>
      <c r="R89" s="200">
        <v>47119</v>
      </c>
      <c r="S89" s="200"/>
    </row>
    <row r="90" spans="1:19" ht="42.75" customHeight="1" x14ac:dyDescent="0.25">
      <c r="A90" s="202">
        <v>2</v>
      </c>
      <c r="B90" s="23" t="s">
        <v>7180</v>
      </c>
      <c r="C90" s="200" t="s">
        <v>46</v>
      </c>
      <c r="D90" s="23" t="s">
        <v>1950</v>
      </c>
      <c r="E90" s="230">
        <v>26571</v>
      </c>
      <c r="F90" s="231" t="s">
        <v>7181</v>
      </c>
      <c r="G90" s="34" t="s">
        <v>7182</v>
      </c>
      <c r="H90" s="231"/>
      <c r="I90" s="205" t="s">
        <v>7183</v>
      </c>
      <c r="J90" s="48" t="s">
        <v>836</v>
      </c>
      <c r="K90" s="230"/>
      <c r="L90" s="228" t="s">
        <v>1738</v>
      </c>
      <c r="M90" s="230">
        <v>44652</v>
      </c>
      <c r="N90" s="228">
        <v>23</v>
      </c>
      <c r="O90" s="228">
        <v>1</v>
      </c>
      <c r="P90" s="199" t="s">
        <v>376</v>
      </c>
      <c r="Q90" s="24" t="s">
        <v>7184</v>
      </c>
      <c r="R90" s="230" t="s">
        <v>7185</v>
      </c>
      <c r="S90" s="230">
        <v>36831</v>
      </c>
    </row>
    <row r="91" spans="1:19" ht="42.75" customHeight="1" x14ac:dyDescent="0.25">
      <c r="A91" s="202">
        <v>3</v>
      </c>
      <c r="B91" s="278" t="s">
        <v>7186</v>
      </c>
      <c r="C91" s="200" t="s">
        <v>46</v>
      </c>
      <c r="D91" s="23" t="s">
        <v>2042</v>
      </c>
      <c r="E91" s="228" t="s">
        <v>7187</v>
      </c>
      <c r="F91" s="231" t="s">
        <v>7188</v>
      </c>
      <c r="G91" s="34" t="s">
        <v>7189</v>
      </c>
      <c r="H91" s="231"/>
      <c r="I91" s="205" t="s">
        <v>391</v>
      </c>
      <c r="J91" s="48" t="s">
        <v>836</v>
      </c>
      <c r="K91" s="230"/>
      <c r="L91" s="228" t="s">
        <v>6889</v>
      </c>
      <c r="M91" s="229">
        <v>44287</v>
      </c>
      <c r="N91" s="283">
        <v>21</v>
      </c>
      <c r="O91" s="283">
        <v>10</v>
      </c>
      <c r="P91" s="278" t="s">
        <v>460</v>
      </c>
      <c r="Q91" s="23">
        <v>1994</v>
      </c>
      <c r="R91" s="230">
        <v>49157</v>
      </c>
      <c r="S91" s="230">
        <v>44958</v>
      </c>
    </row>
    <row r="92" spans="1:19" ht="42.75" customHeight="1" x14ac:dyDescent="0.25">
      <c r="A92" s="301" t="s">
        <v>7190</v>
      </c>
      <c r="B92" s="301"/>
      <c r="C92" s="294"/>
      <c r="D92" s="301"/>
      <c r="E92" s="230"/>
      <c r="F92" s="295"/>
      <c r="G92" s="232"/>
      <c r="H92" s="295"/>
      <c r="I92" s="281"/>
      <c r="J92" s="232"/>
      <c r="K92" s="230"/>
      <c r="L92" s="228"/>
      <c r="M92" s="230"/>
      <c r="N92" s="228"/>
      <c r="O92" s="228"/>
      <c r="P92" s="23"/>
      <c r="Q92" s="24"/>
      <c r="R92" s="230"/>
      <c r="S92" s="230"/>
    </row>
    <row r="93" spans="1:19" ht="42.75" customHeight="1" x14ac:dyDescent="0.25">
      <c r="A93" s="202">
        <v>1</v>
      </c>
      <c r="B93" s="278" t="s">
        <v>7191</v>
      </c>
      <c r="C93" s="229" t="s">
        <v>18</v>
      </c>
      <c r="D93" s="23" t="s">
        <v>1934</v>
      </c>
      <c r="E93" s="229">
        <v>25727</v>
      </c>
      <c r="F93" s="231" t="s">
        <v>7192</v>
      </c>
      <c r="G93" s="169" t="s">
        <v>7193</v>
      </c>
      <c r="H93" s="231"/>
      <c r="I93" s="205" t="s">
        <v>6925</v>
      </c>
      <c r="J93" s="48" t="s">
        <v>7178</v>
      </c>
      <c r="K93" s="200">
        <v>44183</v>
      </c>
      <c r="L93" s="228" t="s">
        <v>1699</v>
      </c>
      <c r="M93" s="230" t="s">
        <v>4909</v>
      </c>
      <c r="N93" s="283">
        <v>23</v>
      </c>
      <c r="O93" s="283">
        <v>11</v>
      </c>
      <c r="P93" s="281" t="s">
        <v>982</v>
      </c>
      <c r="Q93" s="281" t="s">
        <v>7194</v>
      </c>
      <c r="R93" s="229">
        <v>46935</v>
      </c>
      <c r="S93" s="229">
        <v>40245</v>
      </c>
    </row>
    <row r="94" spans="1:19" ht="42.75" customHeight="1" x14ac:dyDescent="0.25">
      <c r="A94" s="301" t="s">
        <v>7195</v>
      </c>
      <c r="B94" s="301"/>
      <c r="C94" s="294"/>
      <c r="D94" s="301"/>
      <c r="E94" s="230"/>
      <c r="F94" s="295"/>
      <c r="G94" s="89"/>
      <c r="H94" s="295"/>
      <c r="I94" s="303"/>
      <c r="J94" s="301"/>
      <c r="K94" s="230"/>
      <c r="L94" s="228"/>
      <c r="M94" s="230"/>
      <c r="N94" s="228"/>
      <c r="O94" s="228"/>
      <c r="P94" s="23"/>
      <c r="Q94" s="24"/>
      <c r="R94" s="230"/>
      <c r="S94" s="230"/>
    </row>
    <row r="95" spans="1:19" ht="42.75" customHeight="1" x14ac:dyDescent="0.25">
      <c r="A95" s="284" t="s">
        <v>7196</v>
      </c>
      <c r="B95" s="301"/>
      <c r="C95" s="294"/>
      <c r="D95" s="301"/>
      <c r="E95" s="230"/>
      <c r="F95" s="295"/>
      <c r="G95" s="232"/>
      <c r="H95" s="295"/>
      <c r="I95" s="303"/>
      <c r="J95" s="301"/>
      <c r="K95" s="230"/>
      <c r="L95" s="228"/>
      <c r="M95" s="230"/>
      <c r="N95" s="228"/>
      <c r="O95" s="228"/>
      <c r="P95" s="23"/>
      <c r="Q95" s="24"/>
      <c r="R95" s="230"/>
      <c r="S95" s="230"/>
    </row>
    <row r="96" spans="1:19" ht="42.75" customHeight="1" x14ac:dyDescent="0.25">
      <c r="A96" s="202">
        <v>1</v>
      </c>
      <c r="B96" s="307" t="s">
        <v>7197</v>
      </c>
      <c r="C96" s="308" t="s">
        <v>18</v>
      </c>
      <c r="D96" s="307" t="s">
        <v>6039</v>
      </c>
      <c r="E96" s="309">
        <v>28981</v>
      </c>
      <c r="F96" s="310" t="s">
        <v>7198</v>
      </c>
      <c r="G96" s="169" t="s">
        <v>7199</v>
      </c>
      <c r="H96" s="310"/>
      <c r="I96" s="205" t="s">
        <v>7106</v>
      </c>
      <c r="J96" s="24" t="s">
        <v>905</v>
      </c>
      <c r="K96" s="230">
        <v>44287</v>
      </c>
      <c r="L96" s="308" t="s">
        <v>1738</v>
      </c>
      <c r="M96" s="309">
        <v>43191</v>
      </c>
      <c r="N96" s="308">
        <v>12</v>
      </c>
      <c r="O96" s="308">
        <v>0</v>
      </c>
      <c r="P96" s="199" t="s">
        <v>376</v>
      </c>
      <c r="Q96" s="311" t="s">
        <v>7200</v>
      </c>
      <c r="R96" s="309" t="s">
        <v>7201</v>
      </c>
      <c r="S96" s="312">
        <v>38808</v>
      </c>
    </row>
    <row r="97" spans="1:19" ht="42.75" customHeight="1" x14ac:dyDescent="0.25">
      <c r="A97" s="202">
        <v>2</v>
      </c>
      <c r="B97" s="232" t="s">
        <v>7202</v>
      </c>
      <c r="C97" s="202" t="s">
        <v>18</v>
      </c>
      <c r="D97" s="199" t="s">
        <v>7034</v>
      </c>
      <c r="E97" s="292">
        <v>29688</v>
      </c>
      <c r="F97" s="201" t="s">
        <v>7203</v>
      </c>
      <c r="G97" s="169" t="s">
        <v>7204</v>
      </c>
      <c r="H97" s="201"/>
      <c r="I97" s="205" t="s">
        <v>7106</v>
      </c>
      <c r="J97" s="24" t="s">
        <v>905</v>
      </c>
      <c r="K97" s="200">
        <v>44256</v>
      </c>
      <c r="L97" s="202" t="s">
        <v>1738</v>
      </c>
      <c r="M97" s="203">
        <v>45383</v>
      </c>
      <c r="N97" s="206">
        <v>14</v>
      </c>
      <c r="O97" s="206">
        <v>4</v>
      </c>
      <c r="P97" s="199" t="s">
        <v>376</v>
      </c>
      <c r="Q97" s="205" t="s">
        <v>7205</v>
      </c>
      <c r="R97" s="200" t="s">
        <v>7206</v>
      </c>
      <c r="S97" s="155">
        <v>40148</v>
      </c>
    </row>
    <row r="98" spans="1:19" ht="42.75" customHeight="1" x14ac:dyDescent="0.25">
      <c r="A98" s="202">
        <v>3</v>
      </c>
      <c r="B98" s="40" t="s">
        <v>7207</v>
      </c>
      <c r="C98" s="292" t="s">
        <v>18</v>
      </c>
      <c r="D98" s="199" t="s">
        <v>1519</v>
      </c>
      <c r="E98" s="200">
        <v>31483</v>
      </c>
      <c r="F98" s="201" t="s">
        <v>7208</v>
      </c>
      <c r="G98" s="169" t="s">
        <v>7209</v>
      </c>
      <c r="H98" s="201"/>
      <c r="I98" s="205" t="s">
        <v>7106</v>
      </c>
      <c r="J98" s="24" t="s">
        <v>905</v>
      </c>
      <c r="K98" s="200">
        <v>45078</v>
      </c>
      <c r="L98" s="202" t="s">
        <v>1717</v>
      </c>
      <c r="M98" s="203">
        <v>45200</v>
      </c>
      <c r="N98" s="206">
        <v>12</v>
      </c>
      <c r="O98" s="206">
        <v>9</v>
      </c>
      <c r="P98" s="199" t="s">
        <v>376</v>
      </c>
      <c r="Q98" s="205" t="s">
        <v>7210</v>
      </c>
      <c r="R98" s="200">
        <v>52688</v>
      </c>
      <c r="S98" s="155">
        <v>40544</v>
      </c>
    </row>
    <row r="99" spans="1:19" ht="42.75" customHeight="1" x14ac:dyDescent="0.25">
      <c r="A99" s="202">
        <v>4</v>
      </c>
      <c r="B99" s="40" t="s">
        <v>7211</v>
      </c>
      <c r="C99" s="292" t="s">
        <v>18</v>
      </c>
      <c r="D99" s="199" t="s">
        <v>1648</v>
      </c>
      <c r="E99" s="200" t="s">
        <v>7212</v>
      </c>
      <c r="F99" s="201" t="s">
        <v>7213</v>
      </c>
      <c r="G99" s="169" t="s">
        <v>7214</v>
      </c>
      <c r="H99" s="201"/>
      <c r="I99" s="205" t="s">
        <v>7106</v>
      </c>
      <c r="J99" s="24" t="s">
        <v>905</v>
      </c>
      <c r="K99" s="200">
        <v>44256</v>
      </c>
      <c r="L99" s="202" t="s">
        <v>1738</v>
      </c>
      <c r="M99" s="203">
        <v>45383</v>
      </c>
      <c r="N99" s="206">
        <v>13</v>
      </c>
      <c r="O99" s="206">
        <v>3</v>
      </c>
      <c r="P99" s="232" t="s">
        <v>982</v>
      </c>
      <c r="Q99" s="205" t="s">
        <v>7215</v>
      </c>
      <c r="R99" s="200">
        <v>52902</v>
      </c>
      <c r="S99" s="155">
        <v>40544</v>
      </c>
    </row>
    <row r="100" spans="1:19" ht="42.75" customHeight="1" x14ac:dyDescent="0.25">
      <c r="A100" s="202">
        <v>5</v>
      </c>
      <c r="B100" s="40" t="s">
        <v>7216</v>
      </c>
      <c r="C100" s="292" t="s">
        <v>18</v>
      </c>
      <c r="D100" s="199" t="s">
        <v>1519</v>
      </c>
      <c r="E100" s="200" t="s">
        <v>7217</v>
      </c>
      <c r="F100" s="201" t="s">
        <v>7218</v>
      </c>
      <c r="G100" s="313" t="s">
        <v>7219</v>
      </c>
      <c r="H100" s="201"/>
      <c r="I100" s="205" t="s">
        <v>7106</v>
      </c>
      <c r="J100" s="24" t="s">
        <v>905</v>
      </c>
      <c r="K100" s="200">
        <v>45078</v>
      </c>
      <c r="L100" s="202" t="s">
        <v>1717</v>
      </c>
      <c r="M100" s="203">
        <v>45200</v>
      </c>
      <c r="N100" s="206">
        <v>12</v>
      </c>
      <c r="O100" s="206">
        <v>9</v>
      </c>
      <c r="P100" s="199" t="s">
        <v>376</v>
      </c>
      <c r="Q100" s="205" t="s">
        <v>7220</v>
      </c>
      <c r="R100" s="200">
        <v>51836</v>
      </c>
      <c r="S100" s="155">
        <v>40544</v>
      </c>
    </row>
    <row r="101" spans="1:19" ht="42.75" customHeight="1" x14ac:dyDescent="0.25">
      <c r="A101" s="202">
        <v>6</v>
      </c>
      <c r="B101" s="40" t="s">
        <v>7221</v>
      </c>
      <c r="C101" s="292" t="s">
        <v>18</v>
      </c>
      <c r="D101" s="199" t="s">
        <v>7222</v>
      </c>
      <c r="E101" s="200" t="s">
        <v>7223</v>
      </c>
      <c r="F101" s="201" t="s">
        <v>7224</v>
      </c>
      <c r="G101" s="169" t="s">
        <v>7225</v>
      </c>
      <c r="H101" s="201"/>
      <c r="I101" s="205" t="s">
        <v>7106</v>
      </c>
      <c r="J101" s="24" t="s">
        <v>905</v>
      </c>
      <c r="K101" s="200">
        <v>44256</v>
      </c>
      <c r="L101" s="202" t="s">
        <v>1738</v>
      </c>
      <c r="M101" s="203">
        <v>45383</v>
      </c>
      <c r="N101" s="206">
        <v>13</v>
      </c>
      <c r="O101" s="206">
        <v>3</v>
      </c>
      <c r="P101" s="232" t="s">
        <v>982</v>
      </c>
      <c r="Q101" s="205" t="s">
        <v>7226</v>
      </c>
      <c r="R101" s="200">
        <v>53114</v>
      </c>
      <c r="S101" s="155">
        <v>40544</v>
      </c>
    </row>
    <row r="102" spans="1:19" ht="42.75" customHeight="1" x14ac:dyDescent="0.25">
      <c r="A102" s="284" t="s">
        <v>7227</v>
      </c>
      <c r="B102" s="301"/>
      <c r="C102" s="294"/>
      <c r="D102" s="301"/>
      <c r="E102" s="230"/>
      <c r="F102" s="295"/>
      <c r="G102" s="89"/>
      <c r="H102" s="295"/>
      <c r="I102" s="24"/>
      <c r="J102" s="301"/>
      <c r="K102" s="230"/>
      <c r="L102" s="228"/>
      <c r="M102" s="230"/>
      <c r="N102" s="228"/>
      <c r="O102" s="228"/>
      <c r="P102" s="23"/>
      <c r="Q102" s="24"/>
      <c r="R102" s="230"/>
      <c r="S102" s="230"/>
    </row>
    <row r="103" spans="1:19" ht="42.75" customHeight="1" x14ac:dyDescent="0.25">
      <c r="A103" s="228">
        <v>1</v>
      </c>
      <c r="B103" s="278" t="s">
        <v>7228</v>
      </c>
      <c r="C103" s="200" t="s">
        <v>46</v>
      </c>
      <c r="D103" s="23" t="s">
        <v>1489</v>
      </c>
      <c r="E103" s="230">
        <v>23823</v>
      </c>
      <c r="F103" s="231" t="s">
        <v>7229</v>
      </c>
      <c r="G103" s="169" t="s">
        <v>7230</v>
      </c>
      <c r="H103" s="231"/>
      <c r="I103" s="205" t="s">
        <v>7231</v>
      </c>
      <c r="J103" s="24" t="s">
        <v>478</v>
      </c>
      <c r="K103" s="230">
        <v>41821</v>
      </c>
      <c r="L103" s="228" t="s">
        <v>1558</v>
      </c>
      <c r="M103" s="230">
        <v>44652</v>
      </c>
      <c r="N103" s="228">
        <v>26</v>
      </c>
      <c r="O103" s="228">
        <v>0</v>
      </c>
      <c r="P103" s="199" t="s">
        <v>376</v>
      </c>
      <c r="Q103" s="280" t="s">
        <v>7232</v>
      </c>
      <c r="R103" s="230" t="s">
        <v>7233</v>
      </c>
      <c r="S103" s="230"/>
    </row>
    <row r="104" spans="1:19" ht="42.75" customHeight="1" x14ac:dyDescent="0.25">
      <c r="A104" s="228">
        <v>2</v>
      </c>
      <c r="B104" s="278" t="s">
        <v>7234</v>
      </c>
      <c r="C104" s="200" t="s">
        <v>46</v>
      </c>
      <c r="D104" s="23" t="s">
        <v>1555</v>
      </c>
      <c r="E104" s="230">
        <v>25086</v>
      </c>
      <c r="F104" s="231" t="s">
        <v>7235</v>
      </c>
      <c r="G104" s="169" t="s">
        <v>7236</v>
      </c>
      <c r="H104" s="231"/>
      <c r="I104" s="205" t="s">
        <v>7231</v>
      </c>
      <c r="J104" s="24" t="s">
        <v>478</v>
      </c>
      <c r="K104" s="230">
        <v>41821</v>
      </c>
      <c r="L104" s="228" t="s">
        <v>1469</v>
      </c>
      <c r="M104" s="230">
        <v>45383</v>
      </c>
      <c r="N104" s="228">
        <v>26</v>
      </c>
      <c r="O104" s="228">
        <v>1</v>
      </c>
      <c r="P104" s="278" t="s">
        <v>982</v>
      </c>
      <c r="Q104" s="281" t="s">
        <v>7237</v>
      </c>
      <c r="R104" s="230" t="s">
        <v>7238</v>
      </c>
      <c r="S104" s="230"/>
    </row>
    <row r="105" spans="1:19" ht="42.75" customHeight="1" x14ac:dyDescent="0.25">
      <c r="A105" s="228">
        <v>3</v>
      </c>
      <c r="B105" s="278" t="s">
        <v>7239</v>
      </c>
      <c r="C105" s="200" t="s">
        <v>46</v>
      </c>
      <c r="D105" s="23" t="s">
        <v>2789</v>
      </c>
      <c r="E105" s="230">
        <v>25825</v>
      </c>
      <c r="F105" s="231" t="s">
        <v>7240</v>
      </c>
      <c r="G105" s="169" t="s">
        <v>7241</v>
      </c>
      <c r="H105" s="231"/>
      <c r="I105" s="205" t="s">
        <v>7231</v>
      </c>
      <c r="J105" s="24" t="s">
        <v>478</v>
      </c>
      <c r="K105" s="230">
        <v>43678</v>
      </c>
      <c r="L105" s="228" t="s">
        <v>1558</v>
      </c>
      <c r="M105" s="230">
        <v>45383</v>
      </c>
      <c r="N105" s="228">
        <v>25</v>
      </c>
      <c r="O105" s="228">
        <v>1</v>
      </c>
      <c r="P105" s="278" t="s">
        <v>982</v>
      </c>
      <c r="Q105" s="281" t="s">
        <v>7242</v>
      </c>
      <c r="R105" s="230" t="s">
        <v>7185</v>
      </c>
      <c r="S105" s="230">
        <v>39479</v>
      </c>
    </row>
    <row r="106" spans="1:19" ht="42.75" customHeight="1" x14ac:dyDescent="0.25">
      <c r="A106" s="228">
        <v>4</v>
      </c>
      <c r="B106" s="278" t="s">
        <v>7243</v>
      </c>
      <c r="C106" s="200" t="s">
        <v>46</v>
      </c>
      <c r="D106" s="23" t="s">
        <v>1456</v>
      </c>
      <c r="E106" s="230">
        <v>26284</v>
      </c>
      <c r="F106" s="231" t="s">
        <v>7244</v>
      </c>
      <c r="G106" s="169" t="s">
        <v>7245</v>
      </c>
      <c r="H106" s="231"/>
      <c r="I106" s="205" t="s">
        <v>7246</v>
      </c>
      <c r="J106" s="24" t="s">
        <v>478</v>
      </c>
      <c r="K106" s="229">
        <v>42005</v>
      </c>
      <c r="L106" s="228" t="s">
        <v>1738</v>
      </c>
      <c r="M106" s="229" t="s">
        <v>7247</v>
      </c>
      <c r="N106" s="283">
        <v>13</v>
      </c>
      <c r="O106" s="283">
        <v>1</v>
      </c>
      <c r="P106" s="278" t="s">
        <v>982</v>
      </c>
      <c r="Q106" s="281" t="s">
        <v>7248</v>
      </c>
      <c r="R106" s="230">
        <v>47484</v>
      </c>
      <c r="S106" s="230">
        <v>39387</v>
      </c>
    </row>
    <row r="107" spans="1:19" ht="42.75" customHeight="1" x14ac:dyDescent="0.25">
      <c r="A107" s="228">
        <v>5</v>
      </c>
      <c r="B107" s="278" t="s">
        <v>7249</v>
      </c>
      <c r="C107" s="228" t="s">
        <v>18</v>
      </c>
      <c r="D107" s="314" t="s">
        <v>1648</v>
      </c>
      <c r="E107" s="230">
        <v>24694</v>
      </c>
      <c r="F107" s="231" t="s">
        <v>7250</v>
      </c>
      <c r="G107" s="169" t="s">
        <v>7251</v>
      </c>
      <c r="H107" s="231"/>
      <c r="I107" s="205" t="s">
        <v>7246</v>
      </c>
      <c r="J107" s="24" t="s">
        <v>478</v>
      </c>
      <c r="K107" s="229">
        <v>41334</v>
      </c>
      <c r="L107" s="228" t="s">
        <v>1738</v>
      </c>
      <c r="M107" s="229">
        <v>43009</v>
      </c>
      <c r="N107" s="283">
        <v>20</v>
      </c>
      <c r="O107" s="283">
        <v>7</v>
      </c>
      <c r="P107" s="199" t="s">
        <v>376</v>
      </c>
      <c r="Q107" s="281" t="s">
        <v>7252</v>
      </c>
      <c r="R107" s="230" t="s">
        <v>7155</v>
      </c>
      <c r="S107" s="230">
        <v>37257</v>
      </c>
    </row>
    <row r="108" spans="1:19" ht="42.75" customHeight="1" x14ac:dyDescent="0.25">
      <c r="A108" s="228">
        <v>6</v>
      </c>
      <c r="B108" s="281" t="s">
        <v>7253</v>
      </c>
      <c r="C108" s="200" t="s">
        <v>46</v>
      </c>
      <c r="D108" s="24" t="s">
        <v>1934</v>
      </c>
      <c r="E108" s="229">
        <v>29472</v>
      </c>
      <c r="F108" s="231" t="s">
        <v>7254</v>
      </c>
      <c r="G108" s="169" t="s">
        <v>7255</v>
      </c>
      <c r="H108" s="231"/>
      <c r="I108" s="205" t="s">
        <v>7246</v>
      </c>
      <c r="J108" s="24" t="s">
        <v>478</v>
      </c>
      <c r="K108" s="229">
        <v>45108</v>
      </c>
      <c r="L108" s="283" t="s">
        <v>1991</v>
      </c>
      <c r="M108" s="229">
        <v>42461</v>
      </c>
      <c r="N108" s="283">
        <v>8</v>
      </c>
      <c r="O108" s="283">
        <v>0</v>
      </c>
      <c r="P108" s="199" t="s">
        <v>376</v>
      </c>
      <c r="Q108" s="280" t="s">
        <v>7256</v>
      </c>
      <c r="R108" s="229" t="s">
        <v>5226</v>
      </c>
      <c r="S108" s="229">
        <v>43101</v>
      </c>
    </row>
    <row r="109" spans="1:19" ht="42.75" customHeight="1" x14ac:dyDescent="0.25">
      <c r="A109" s="228">
        <v>7</v>
      </c>
      <c r="B109" s="278" t="s">
        <v>7257</v>
      </c>
      <c r="C109" s="200" t="s">
        <v>46</v>
      </c>
      <c r="D109" s="23" t="s">
        <v>2088</v>
      </c>
      <c r="E109" s="230">
        <v>26985</v>
      </c>
      <c r="F109" s="231" t="s">
        <v>7258</v>
      </c>
      <c r="G109" s="169" t="s">
        <v>7259</v>
      </c>
      <c r="H109" s="231"/>
      <c r="I109" s="205" t="s">
        <v>7246</v>
      </c>
      <c r="J109" s="24" t="s">
        <v>478</v>
      </c>
      <c r="K109" s="230">
        <v>41091</v>
      </c>
      <c r="L109" s="228" t="s">
        <v>1738</v>
      </c>
      <c r="M109" s="229" t="s">
        <v>3794</v>
      </c>
      <c r="N109" s="283">
        <v>24</v>
      </c>
      <c r="O109" s="283">
        <v>3</v>
      </c>
      <c r="P109" s="278" t="s">
        <v>982</v>
      </c>
      <c r="Q109" s="281" t="s">
        <v>7260</v>
      </c>
      <c r="R109" s="230" t="s">
        <v>7261</v>
      </c>
      <c r="S109" s="230"/>
    </row>
    <row r="110" spans="1:19" ht="42.75" customHeight="1" x14ac:dyDescent="0.25">
      <c r="A110" s="228">
        <v>8</v>
      </c>
      <c r="B110" s="278" t="s">
        <v>7262</v>
      </c>
      <c r="C110" s="200" t="s">
        <v>46</v>
      </c>
      <c r="D110" s="23" t="s">
        <v>1934</v>
      </c>
      <c r="E110" s="230">
        <v>29792</v>
      </c>
      <c r="F110" s="231" t="s">
        <v>7263</v>
      </c>
      <c r="G110" s="169" t="s">
        <v>7264</v>
      </c>
      <c r="H110" s="231"/>
      <c r="I110" s="205" t="s">
        <v>7246</v>
      </c>
      <c r="J110" s="24" t="s">
        <v>478</v>
      </c>
      <c r="K110" s="230" t="s">
        <v>7265</v>
      </c>
      <c r="L110" s="228" t="s">
        <v>1717</v>
      </c>
      <c r="M110" s="230">
        <v>45383</v>
      </c>
      <c r="N110" s="228">
        <v>17</v>
      </c>
      <c r="O110" s="228">
        <v>3</v>
      </c>
      <c r="P110" s="278" t="s">
        <v>982</v>
      </c>
      <c r="Q110" s="281" t="s">
        <v>7266</v>
      </c>
      <c r="R110" s="230" t="s">
        <v>7267</v>
      </c>
      <c r="S110" s="230">
        <v>38354</v>
      </c>
    </row>
    <row r="111" spans="1:19" ht="42.75" customHeight="1" x14ac:dyDescent="0.25">
      <c r="A111" s="228">
        <v>9</v>
      </c>
      <c r="B111" s="278" t="s">
        <v>7268</v>
      </c>
      <c r="C111" s="228" t="s">
        <v>18</v>
      </c>
      <c r="D111" s="23" t="s">
        <v>2435</v>
      </c>
      <c r="E111" s="228" t="s">
        <v>7269</v>
      </c>
      <c r="F111" s="231" t="s">
        <v>7270</v>
      </c>
      <c r="G111" s="169" t="s">
        <v>7271</v>
      </c>
      <c r="H111" s="231"/>
      <c r="I111" s="205" t="s">
        <v>7246</v>
      </c>
      <c r="J111" s="24" t="s">
        <v>478</v>
      </c>
      <c r="K111" s="229">
        <v>45170</v>
      </c>
      <c r="L111" s="228" t="s">
        <v>1991</v>
      </c>
      <c r="M111" s="229">
        <v>45383</v>
      </c>
      <c r="N111" s="283">
        <v>20</v>
      </c>
      <c r="O111" s="283">
        <v>7</v>
      </c>
      <c r="P111" s="199" t="s">
        <v>376</v>
      </c>
      <c r="Q111" s="281" t="s">
        <v>1475</v>
      </c>
      <c r="R111" s="230" t="s">
        <v>7272</v>
      </c>
      <c r="S111" s="230">
        <v>40238</v>
      </c>
    </row>
    <row r="112" spans="1:19" ht="42.75" customHeight="1" x14ac:dyDescent="0.25">
      <c r="A112" s="228">
        <v>10</v>
      </c>
      <c r="B112" s="281" t="s">
        <v>7273</v>
      </c>
      <c r="C112" s="229" t="s">
        <v>18</v>
      </c>
      <c r="D112" s="24" t="s">
        <v>1648</v>
      </c>
      <c r="E112" s="229">
        <v>25748</v>
      </c>
      <c r="F112" s="231" t="s">
        <v>7274</v>
      </c>
      <c r="G112" s="34" t="s">
        <v>7275</v>
      </c>
      <c r="H112" s="231"/>
      <c r="I112" s="205" t="s">
        <v>7246</v>
      </c>
      <c r="J112" s="24" t="s">
        <v>478</v>
      </c>
      <c r="K112" s="230">
        <v>44287</v>
      </c>
      <c r="L112" s="228" t="s">
        <v>1738</v>
      </c>
      <c r="M112" s="229">
        <v>43191</v>
      </c>
      <c r="N112" s="283">
        <v>12</v>
      </c>
      <c r="O112" s="283">
        <v>0</v>
      </c>
      <c r="P112" s="199" t="s">
        <v>376</v>
      </c>
      <c r="Q112" s="280" t="s">
        <v>7276</v>
      </c>
      <c r="R112" s="229">
        <v>46935</v>
      </c>
      <c r="S112" s="229">
        <v>43102</v>
      </c>
    </row>
    <row r="113" spans="1:19" ht="42.75" customHeight="1" x14ac:dyDescent="0.25">
      <c r="A113" s="228">
        <v>11</v>
      </c>
      <c r="B113" s="278" t="s">
        <v>7277</v>
      </c>
      <c r="C113" s="200" t="s">
        <v>46</v>
      </c>
      <c r="D113" s="23" t="s">
        <v>2400</v>
      </c>
      <c r="E113" s="230">
        <v>25583</v>
      </c>
      <c r="F113" s="231" t="s">
        <v>7278</v>
      </c>
      <c r="G113" s="34" t="s">
        <v>7279</v>
      </c>
      <c r="H113" s="231"/>
      <c r="I113" s="205" t="s">
        <v>958</v>
      </c>
      <c r="J113" s="24" t="s">
        <v>478</v>
      </c>
      <c r="K113" s="229"/>
      <c r="L113" s="228" t="s">
        <v>1991</v>
      </c>
      <c r="M113" s="229">
        <v>38808</v>
      </c>
      <c r="N113" s="283">
        <v>14</v>
      </c>
      <c r="O113" s="283">
        <v>1</v>
      </c>
      <c r="P113" s="278" t="s">
        <v>750</v>
      </c>
      <c r="Q113" s="281" t="s">
        <v>7280</v>
      </c>
      <c r="R113" s="230" t="s">
        <v>7281</v>
      </c>
      <c r="S113" s="230">
        <v>37257</v>
      </c>
    </row>
    <row r="114" spans="1:19" ht="42.75" customHeight="1" x14ac:dyDescent="0.25">
      <c r="A114" s="228">
        <v>12</v>
      </c>
      <c r="B114" s="23" t="s">
        <v>7282</v>
      </c>
      <c r="C114" s="282" t="s">
        <v>18</v>
      </c>
      <c r="D114" s="23" t="s">
        <v>1934</v>
      </c>
      <c r="E114" s="229">
        <v>24742</v>
      </c>
      <c r="F114" s="231" t="s">
        <v>7283</v>
      </c>
      <c r="G114" s="34" t="s">
        <v>7284</v>
      </c>
      <c r="H114" s="231"/>
      <c r="I114" s="205" t="s">
        <v>958</v>
      </c>
      <c r="J114" s="24" t="s">
        <v>478</v>
      </c>
      <c r="K114" s="230"/>
      <c r="L114" s="228" t="s">
        <v>1991</v>
      </c>
      <c r="M114" s="230" t="s">
        <v>2877</v>
      </c>
      <c r="N114" s="228">
        <v>18</v>
      </c>
      <c r="O114" s="228">
        <v>9</v>
      </c>
      <c r="P114" s="278" t="s">
        <v>430</v>
      </c>
      <c r="Q114" s="281" t="s">
        <v>7285</v>
      </c>
      <c r="R114" s="230">
        <v>45931</v>
      </c>
      <c r="S114" s="230">
        <v>40632</v>
      </c>
    </row>
    <row r="115" spans="1:19" ht="42.75" customHeight="1" x14ac:dyDescent="0.25">
      <c r="A115" s="228">
        <v>13</v>
      </c>
      <c r="B115" s="278" t="s">
        <v>7286</v>
      </c>
      <c r="C115" s="228" t="s">
        <v>18</v>
      </c>
      <c r="D115" s="23" t="s">
        <v>1489</v>
      </c>
      <c r="E115" s="230">
        <v>25601</v>
      </c>
      <c r="F115" s="231" t="s">
        <v>7287</v>
      </c>
      <c r="G115" s="34" t="s">
        <v>7288</v>
      </c>
      <c r="H115" s="231"/>
      <c r="I115" s="205" t="s">
        <v>7289</v>
      </c>
      <c r="J115" s="24" t="s">
        <v>478</v>
      </c>
      <c r="K115" s="230"/>
      <c r="L115" s="228" t="s">
        <v>6896</v>
      </c>
      <c r="M115" s="230">
        <v>40634</v>
      </c>
      <c r="N115" s="228">
        <v>17</v>
      </c>
      <c r="O115" s="228">
        <v>1</v>
      </c>
      <c r="P115" s="278" t="s">
        <v>460</v>
      </c>
      <c r="Q115" s="281" t="s">
        <v>7290</v>
      </c>
      <c r="R115" s="230" t="s">
        <v>7291</v>
      </c>
      <c r="S115" s="230">
        <v>37288</v>
      </c>
    </row>
    <row r="116" spans="1:19" ht="42.75" customHeight="1" x14ac:dyDescent="0.25">
      <c r="A116" s="228">
        <v>14</v>
      </c>
      <c r="B116" s="23" t="s">
        <v>7292</v>
      </c>
      <c r="C116" s="200" t="s">
        <v>46</v>
      </c>
      <c r="D116" s="23" t="s">
        <v>2486</v>
      </c>
      <c r="E116" s="230" t="s">
        <v>7293</v>
      </c>
      <c r="F116" s="231" t="s">
        <v>7294</v>
      </c>
      <c r="G116" s="34" t="s">
        <v>7295</v>
      </c>
      <c r="H116" s="231"/>
      <c r="I116" s="205" t="s">
        <v>1342</v>
      </c>
      <c r="J116" s="24" t="s">
        <v>478</v>
      </c>
      <c r="K116" s="230">
        <v>44287</v>
      </c>
      <c r="L116" s="228" t="s">
        <v>1991</v>
      </c>
      <c r="M116" s="230">
        <v>43556</v>
      </c>
      <c r="N116" s="228">
        <v>4</v>
      </c>
      <c r="O116" s="228">
        <v>1</v>
      </c>
      <c r="P116" s="199" t="s">
        <v>376</v>
      </c>
      <c r="Q116" s="280" t="s">
        <v>7296</v>
      </c>
      <c r="R116" s="230">
        <v>50891</v>
      </c>
      <c r="S116" s="230">
        <v>42064</v>
      </c>
    </row>
    <row r="117" spans="1:19" ht="42.75" customHeight="1" x14ac:dyDescent="0.25">
      <c r="A117" s="228">
        <v>15</v>
      </c>
      <c r="B117" s="12" t="s">
        <v>7297</v>
      </c>
      <c r="C117" s="200" t="s">
        <v>46</v>
      </c>
      <c r="D117" s="12" t="s">
        <v>3342</v>
      </c>
      <c r="E117" s="150">
        <v>35900</v>
      </c>
      <c r="F117" s="20" t="s">
        <v>7298</v>
      </c>
      <c r="G117" s="34" t="s">
        <v>7299</v>
      </c>
      <c r="H117" s="231"/>
      <c r="I117" s="205" t="s">
        <v>1342</v>
      </c>
      <c r="J117" s="24" t="s">
        <v>478</v>
      </c>
      <c r="K117" s="230">
        <v>44866</v>
      </c>
      <c r="L117" s="228" t="s">
        <v>2698</v>
      </c>
      <c r="M117" s="230">
        <v>44166</v>
      </c>
      <c r="N117" s="228">
        <v>0</v>
      </c>
      <c r="O117" s="228">
        <v>0</v>
      </c>
      <c r="P117" s="199" t="s">
        <v>376</v>
      </c>
      <c r="Q117" s="11" t="s">
        <v>7300</v>
      </c>
      <c r="R117" s="230">
        <v>57101</v>
      </c>
      <c r="S117" s="230">
        <v>44209</v>
      </c>
    </row>
    <row r="118" spans="1:19" ht="42.75" customHeight="1" x14ac:dyDescent="0.25">
      <c r="A118" s="228">
        <v>16</v>
      </c>
      <c r="B118" s="12" t="s">
        <v>7301</v>
      </c>
      <c r="C118" s="200" t="s">
        <v>46</v>
      </c>
      <c r="D118" s="12" t="s">
        <v>2088</v>
      </c>
      <c r="E118" s="150">
        <v>34814</v>
      </c>
      <c r="F118" s="20" t="s">
        <v>7302</v>
      </c>
      <c r="G118" s="34" t="s">
        <v>7303</v>
      </c>
      <c r="H118" s="231"/>
      <c r="I118" s="205" t="s">
        <v>1342</v>
      </c>
      <c r="J118" s="24" t="s">
        <v>478</v>
      </c>
      <c r="K118" s="230">
        <v>44866</v>
      </c>
      <c r="L118" s="228" t="s">
        <v>2698</v>
      </c>
      <c r="M118" s="230">
        <v>44166</v>
      </c>
      <c r="N118" s="228">
        <v>0</v>
      </c>
      <c r="O118" s="228">
        <v>0</v>
      </c>
      <c r="P118" s="199" t="s">
        <v>376</v>
      </c>
      <c r="Q118" s="11" t="s">
        <v>7304</v>
      </c>
      <c r="R118" s="230">
        <v>56005</v>
      </c>
      <c r="S118" s="230">
        <v>44209</v>
      </c>
    </row>
    <row r="119" spans="1:19" ht="42.75" customHeight="1" x14ac:dyDescent="0.25">
      <c r="A119" s="228">
        <v>17</v>
      </c>
      <c r="B119" s="12" t="s">
        <v>7305</v>
      </c>
      <c r="C119" s="200" t="s">
        <v>46</v>
      </c>
      <c r="D119" s="12" t="s">
        <v>1648</v>
      </c>
      <c r="E119" s="150">
        <v>35029</v>
      </c>
      <c r="F119" s="20" t="s">
        <v>7306</v>
      </c>
      <c r="G119" s="34" t="s">
        <v>7307</v>
      </c>
      <c r="H119" s="231"/>
      <c r="I119" s="205" t="s">
        <v>1342</v>
      </c>
      <c r="J119" s="24" t="s">
        <v>478</v>
      </c>
      <c r="K119" s="230">
        <v>44866</v>
      </c>
      <c r="L119" s="228" t="s">
        <v>2698</v>
      </c>
      <c r="M119" s="230">
        <v>44166</v>
      </c>
      <c r="N119" s="228">
        <v>0</v>
      </c>
      <c r="O119" s="228">
        <v>0</v>
      </c>
      <c r="P119" s="199" t="s">
        <v>376</v>
      </c>
      <c r="Q119" s="11" t="s">
        <v>1971</v>
      </c>
      <c r="R119" s="230">
        <v>56219</v>
      </c>
      <c r="S119" s="230">
        <v>44209</v>
      </c>
    </row>
    <row r="120" spans="1:19" ht="42.75" customHeight="1" x14ac:dyDescent="0.25">
      <c r="A120" s="228">
        <v>18</v>
      </c>
      <c r="B120" s="12" t="s">
        <v>7308</v>
      </c>
      <c r="C120" s="200" t="s">
        <v>46</v>
      </c>
      <c r="D120" s="12" t="s">
        <v>1648</v>
      </c>
      <c r="E120" s="150">
        <v>34396</v>
      </c>
      <c r="F120" s="20" t="s">
        <v>7309</v>
      </c>
      <c r="G120" s="34" t="s">
        <v>7310</v>
      </c>
      <c r="H120" s="231"/>
      <c r="I120" s="205" t="s">
        <v>1342</v>
      </c>
      <c r="J120" s="24" t="s">
        <v>478</v>
      </c>
      <c r="K120" s="230">
        <v>44866</v>
      </c>
      <c r="L120" s="228" t="s">
        <v>2698</v>
      </c>
      <c r="M120" s="230">
        <v>44166</v>
      </c>
      <c r="N120" s="228">
        <v>0</v>
      </c>
      <c r="O120" s="228">
        <v>0</v>
      </c>
      <c r="P120" s="199" t="s">
        <v>376</v>
      </c>
      <c r="Q120" s="11" t="s">
        <v>7311</v>
      </c>
      <c r="R120" s="230">
        <v>55610</v>
      </c>
      <c r="S120" s="230">
        <v>44209</v>
      </c>
    </row>
    <row r="121" spans="1:19" ht="42.75" customHeight="1" x14ac:dyDescent="0.25">
      <c r="A121" s="228">
        <v>19</v>
      </c>
      <c r="B121" s="12" t="s">
        <v>7312</v>
      </c>
      <c r="C121" s="5" t="s">
        <v>18</v>
      </c>
      <c r="D121" s="12" t="s">
        <v>1638</v>
      </c>
      <c r="E121" s="150">
        <v>33678</v>
      </c>
      <c r="F121" s="20" t="s">
        <v>7313</v>
      </c>
      <c r="G121" s="34" t="s">
        <v>7314</v>
      </c>
      <c r="H121" s="295"/>
      <c r="I121" s="205" t="s">
        <v>1342</v>
      </c>
      <c r="J121" s="24" t="s">
        <v>478</v>
      </c>
      <c r="K121" s="230">
        <v>44866</v>
      </c>
      <c r="L121" s="228" t="s">
        <v>2698</v>
      </c>
      <c r="M121" s="230">
        <v>44166</v>
      </c>
      <c r="N121" s="228">
        <v>0</v>
      </c>
      <c r="O121" s="228">
        <v>0</v>
      </c>
      <c r="P121" s="199" t="s">
        <v>376</v>
      </c>
      <c r="Q121" s="11" t="s">
        <v>7315</v>
      </c>
      <c r="R121" s="230">
        <v>54879</v>
      </c>
      <c r="S121" s="230">
        <v>44209</v>
      </c>
    </row>
    <row r="122" spans="1:19" ht="42.75" customHeight="1" x14ac:dyDescent="0.25">
      <c r="A122" s="228">
        <v>20</v>
      </c>
      <c r="B122" s="278" t="s">
        <v>7316</v>
      </c>
      <c r="C122" s="200" t="s">
        <v>46</v>
      </c>
      <c r="D122" s="23" t="s">
        <v>1489</v>
      </c>
      <c r="E122" s="230">
        <v>31940</v>
      </c>
      <c r="F122" s="231" t="s">
        <v>7317</v>
      </c>
      <c r="G122" s="34" t="s">
        <v>7318</v>
      </c>
      <c r="H122" s="231"/>
      <c r="I122" s="205" t="s">
        <v>7319</v>
      </c>
      <c r="J122" s="24" t="s">
        <v>478</v>
      </c>
      <c r="K122" s="230"/>
      <c r="L122" s="228" t="s">
        <v>2698</v>
      </c>
      <c r="M122" s="229">
        <v>44166</v>
      </c>
      <c r="N122" s="228">
        <v>0</v>
      </c>
      <c r="O122" s="228">
        <v>0</v>
      </c>
      <c r="P122" s="199" t="s">
        <v>376</v>
      </c>
      <c r="Q122" s="281" t="s">
        <v>7320</v>
      </c>
      <c r="R122" s="230">
        <v>53053</v>
      </c>
      <c r="S122" s="230">
        <v>44928</v>
      </c>
    </row>
    <row r="123" spans="1:19" ht="42.75" customHeight="1" x14ac:dyDescent="0.25">
      <c r="A123" s="228">
        <v>21</v>
      </c>
      <c r="B123" s="278" t="s">
        <v>7321</v>
      </c>
      <c r="C123" s="228" t="s">
        <v>18</v>
      </c>
      <c r="D123" s="23" t="s">
        <v>2759</v>
      </c>
      <c r="E123" s="228" t="s">
        <v>7322</v>
      </c>
      <c r="F123" s="231" t="s">
        <v>7323</v>
      </c>
      <c r="G123" s="34" t="s">
        <v>7324</v>
      </c>
      <c r="H123" s="231"/>
      <c r="I123" s="205" t="s">
        <v>708</v>
      </c>
      <c r="J123" s="24" t="s">
        <v>478</v>
      </c>
      <c r="K123" s="230"/>
      <c r="L123" s="228" t="s">
        <v>6889</v>
      </c>
      <c r="M123" s="229">
        <v>44287</v>
      </c>
      <c r="N123" s="283">
        <v>19</v>
      </c>
      <c r="O123" s="283">
        <v>11</v>
      </c>
      <c r="P123" s="278" t="s">
        <v>460</v>
      </c>
      <c r="Q123" s="281">
        <v>1986</v>
      </c>
      <c r="R123" s="230">
        <v>45689</v>
      </c>
      <c r="S123" s="230">
        <v>45383</v>
      </c>
    </row>
    <row r="124" spans="1:19" ht="42.75" customHeight="1" x14ac:dyDescent="0.25">
      <c r="A124" s="293" t="s">
        <v>7325</v>
      </c>
      <c r="B124" s="293"/>
      <c r="C124" s="294"/>
      <c r="D124" s="293"/>
      <c r="E124" s="228"/>
      <c r="F124" s="295"/>
      <c r="G124" s="89"/>
      <c r="H124" s="295"/>
      <c r="I124" s="283"/>
      <c r="J124" s="228"/>
      <c r="K124" s="230"/>
      <c r="L124" s="228"/>
      <c r="M124" s="230"/>
      <c r="N124" s="228"/>
      <c r="O124" s="228"/>
      <c r="P124" s="278"/>
      <c r="Q124" s="281"/>
      <c r="R124" s="230"/>
      <c r="S124" s="230"/>
    </row>
    <row r="125" spans="1:19" ht="42.75" customHeight="1" x14ac:dyDescent="0.25">
      <c r="A125" s="228">
        <v>1</v>
      </c>
      <c r="B125" s="281" t="s">
        <v>7326</v>
      </c>
      <c r="C125" s="229" t="s">
        <v>18</v>
      </c>
      <c r="D125" s="24" t="s">
        <v>1934</v>
      </c>
      <c r="E125" s="229">
        <v>24927</v>
      </c>
      <c r="F125" s="231" t="s">
        <v>7327</v>
      </c>
      <c r="G125" s="34" t="s">
        <v>7328</v>
      </c>
      <c r="H125" s="231"/>
      <c r="I125" s="205" t="s">
        <v>7329</v>
      </c>
      <c r="J125" s="24" t="s">
        <v>933</v>
      </c>
      <c r="K125" s="229"/>
      <c r="L125" s="283" t="s">
        <v>1991</v>
      </c>
      <c r="M125" s="229">
        <v>40634</v>
      </c>
      <c r="N125" s="283">
        <v>15</v>
      </c>
      <c r="O125" s="283">
        <v>1</v>
      </c>
      <c r="P125" s="281" t="s">
        <v>460</v>
      </c>
      <c r="Q125" s="281" t="s">
        <v>7330</v>
      </c>
      <c r="R125" s="229">
        <v>46113</v>
      </c>
      <c r="S125" s="229">
        <v>43656</v>
      </c>
    </row>
    <row r="126" spans="1:19" ht="42.75" customHeight="1" x14ac:dyDescent="0.25">
      <c r="A126" s="228">
        <v>2</v>
      </c>
      <c r="B126" s="278" t="s">
        <v>7331</v>
      </c>
      <c r="C126" s="228" t="s">
        <v>18</v>
      </c>
      <c r="D126" s="23" t="s">
        <v>1498</v>
      </c>
      <c r="E126" s="228" t="s">
        <v>7332</v>
      </c>
      <c r="F126" s="231" t="s">
        <v>7333</v>
      </c>
      <c r="G126" s="34" t="s">
        <v>7334</v>
      </c>
      <c r="H126" s="231"/>
      <c r="I126" s="205" t="s">
        <v>7335</v>
      </c>
      <c r="J126" s="24" t="s">
        <v>933</v>
      </c>
      <c r="K126" s="230"/>
      <c r="L126" s="228" t="s">
        <v>1738</v>
      </c>
      <c r="M126" s="229">
        <v>45566</v>
      </c>
      <c r="N126" s="283">
        <v>13</v>
      </c>
      <c r="O126" s="283">
        <v>9</v>
      </c>
      <c r="P126" s="199" t="s">
        <v>376</v>
      </c>
      <c r="Q126" s="281" t="s">
        <v>7336</v>
      </c>
      <c r="R126" s="230">
        <v>51167</v>
      </c>
      <c r="S126" s="230">
        <v>43488</v>
      </c>
    </row>
    <row r="127" spans="1:19" ht="42.75" customHeight="1" x14ac:dyDescent="0.25">
      <c r="A127" s="228">
        <v>3</v>
      </c>
      <c r="B127" s="281" t="s">
        <v>7337</v>
      </c>
      <c r="C127" s="200" t="s">
        <v>46</v>
      </c>
      <c r="D127" s="24" t="s">
        <v>3546</v>
      </c>
      <c r="E127" s="230">
        <v>26206</v>
      </c>
      <c r="F127" s="231" t="s">
        <v>7338</v>
      </c>
      <c r="G127" s="34" t="s">
        <v>7339</v>
      </c>
      <c r="H127" s="231"/>
      <c r="I127" s="205" t="s">
        <v>6836</v>
      </c>
      <c r="J127" s="24" t="s">
        <v>933</v>
      </c>
      <c r="K127" s="230"/>
      <c r="L127" s="228" t="s">
        <v>1991</v>
      </c>
      <c r="M127" s="230">
        <v>45017</v>
      </c>
      <c r="N127" s="228">
        <v>24</v>
      </c>
      <c r="O127" s="228">
        <v>6</v>
      </c>
      <c r="P127" s="281" t="s">
        <v>460</v>
      </c>
      <c r="Q127" s="281" t="s">
        <v>6884</v>
      </c>
      <c r="R127" s="229" t="s">
        <v>7340</v>
      </c>
      <c r="S127" s="230">
        <v>44359</v>
      </c>
    </row>
    <row r="128" spans="1:19" ht="42.75" customHeight="1" x14ac:dyDescent="0.25">
      <c r="A128" s="293" t="s">
        <v>7341</v>
      </c>
      <c r="B128" s="293"/>
      <c r="C128" s="294"/>
      <c r="D128" s="293"/>
      <c r="E128" s="228"/>
      <c r="F128" s="295"/>
      <c r="G128" s="89"/>
      <c r="H128" s="295"/>
      <c r="I128" s="283"/>
      <c r="J128" s="228"/>
      <c r="K128" s="230"/>
      <c r="L128" s="228"/>
      <c r="M128" s="230"/>
      <c r="N128" s="228"/>
      <c r="O128" s="228"/>
      <c r="P128" s="278"/>
      <c r="Q128" s="281"/>
      <c r="R128" s="230"/>
      <c r="S128" s="230"/>
    </row>
    <row r="129" spans="1:19" ht="42.75" customHeight="1" x14ac:dyDescent="0.25">
      <c r="A129" s="202">
        <v>1</v>
      </c>
      <c r="B129" s="23" t="s">
        <v>7342</v>
      </c>
      <c r="C129" s="200" t="s">
        <v>46</v>
      </c>
      <c r="D129" s="23" t="s">
        <v>1934</v>
      </c>
      <c r="E129" s="229">
        <v>27906</v>
      </c>
      <c r="F129" s="231" t="s">
        <v>7343</v>
      </c>
      <c r="G129" s="34" t="s">
        <v>7344</v>
      </c>
      <c r="H129" s="231"/>
      <c r="I129" s="205" t="s">
        <v>391</v>
      </c>
      <c r="J129" s="24" t="s">
        <v>933</v>
      </c>
      <c r="K129" s="229"/>
      <c r="L129" s="228" t="s">
        <v>1738</v>
      </c>
      <c r="M129" s="229">
        <v>45017</v>
      </c>
      <c r="N129" s="283">
        <v>12</v>
      </c>
      <c r="O129" s="283">
        <v>3</v>
      </c>
      <c r="P129" s="199" t="s">
        <v>376</v>
      </c>
      <c r="Q129" s="281" t="s">
        <v>7345</v>
      </c>
      <c r="R129" s="230">
        <v>49096</v>
      </c>
      <c r="S129" s="230">
        <v>45446</v>
      </c>
    </row>
    <row r="130" spans="1:19" ht="42.75" customHeight="1" x14ac:dyDescent="0.25">
      <c r="A130" s="202">
        <v>2</v>
      </c>
      <c r="B130" s="278" t="s">
        <v>7346</v>
      </c>
      <c r="C130" s="228" t="s">
        <v>18</v>
      </c>
      <c r="D130" s="23" t="s">
        <v>1648</v>
      </c>
      <c r="E130" s="228" t="s">
        <v>7347</v>
      </c>
      <c r="F130" s="231" t="s">
        <v>7348</v>
      </c>
      <c r="G130" s="34" t="s">
        <v>7163</v>
      </c>
      <c r="H130" s="231"/>
      <c r="I130" s="205" t="s">
        <v>80</v>
      </c>
      <c r="J130" s="24" t="s">
        <v>912</v>
      </c>
      <c r="K130" s="230"/>
      <c r="L130" s="228" t="s">
        <v>6889</v>
      </c>
      <c r="M130" s="229">
        <v>44470</v>
      </c>
      <c r="N130" s="283">
        <v>20</v>
      </c>
      <c r="O130" s="283">
        <v>5</v>
      </c>
      <c r="P130" s="278" t="s">
        <v>6890</v>
      </c>
      <c r="Q130" s="281"/>
      <c r="R130" s="230">
        <v>50314</v>
      </c>
      <c r="S130" s="230">
        <v>44935</v>
      </c>
    </row>
    <row r="131" spans="1:19" ht="42.75" customHeight="1" x14ac:dyDescent="0.25">
      <c r="A131" s="293" t="s">
        <v>7349</v>
      </c>
      <c r="B131" s="293"/>
      <c r="C131" s="294"/>
      <c r="D131" s="293"/>
      <c r="E131" s="228"/>
      <c r="F131" s="295"/>
      <c r="G131" s="89"/>
      <c r="H131" s="295"/>
      <c r="I131" s="283"/>
      <c r="J131" s="228"/>
      <c r="K131" s="230"/>
      <c r="L131" s="228"/>
      <c r="M131" s="230"/>
      <c r="N131" s="228"/>
      <c r="O131" s="228"/>
      <c r="P131" s="278"/>
      <c r="Q131" s="281"/>
      <c r="R131" s="230"/>
      <c r="S131" s="230"/>
    </row>
    <row r="132" spans="1:19" ht="42.75" customHeight="1" x14ac:dyDescent="0.25">
      <c r="A132" s="202">
        <v>1</v>
      </c>
      <c r="B132" s="23" t="s">
        <v>7350</v>
      </c>
      <c r="C132" s="200" t="s">
        <v>46</v>
      </c>
      <c r="D132" s="23" t="s">
        <v>7351</v>
      </c>
      <c r="E132" s="229">
        <v>30742</v>
      </c>
      <c r="F132" s="231" t="s">
        <v>7352</v>
      </c>
      <c r="G132" s="34" t="s">
        <v>7353</v>
      </c>
      <c r="H132" s="231"/>
      <c r="I132" s="205" t="s">
        <v>6935</v>
      </c>
      <c r="J132" s="303" t="s">
        <v>7354</v>
      </c>
      <c r="K132" s="315">
        <v>44287</v>
      </c>
      <c r="L132" s="228" t="s">
        <v>1738</v>
      </c>
      <c r="M132" s="230" t="s">
        <v>6805</v>
      </c>
      <c r="N132" s="228">
        <v>12</v>
      </c>
      <c r="O132" s="228">
        <v>3</v>
      </c>
      <c r="P132" s="278" t="s">
        <v>982</v>
      </c>
      <c r="Q132" s="281" t="s">
        <v>7355</v>
      </c>
      <c r="R132" s="230">
        <v>51957</v>
      </c>
      <c r="S132" s="230">
        <v>44562</v>
      </c>
    </row>
    <row r="133" spans="1:19" ht="42.75" customHeight="1" x14ac:dyDescent="0.25">
      <c r="A133" s="293" t="s">
        <v>7356</v>
      </c>
      <c r="B133" s="293"/>
      <c r="C133" s="294"/>
      <c r="D133" s="293"/>
      <c r="E133" s="228"/>
      <c r="F133" s="231" t="s">
        <v>1084</v>
      </c>
      <c r="G133" s="232"/>
      <c r="H133" s="231"/>
      <c r="I133" s="283"/>
      <c r="J133" s="228"/>
      <c r="K133" s="230"/>
      <c r="L133" s="228"/>
      <c r="M133" s="230"/>
      <c r="N133" s="228"/>
      <c r="O133" s="228"/>
      <c r="P133" s="278"/>
      <c r="Q133" s="281"/>
      <c r="R133" s="230"/>
      <c r="S133" s="230"/>
    </row>
    <row r="134" spans="1:19" ht="42.75" customHeight="1" x14ac:dyDescent="0.25">
      <c r="A134" s="202">
        <v>1</v>
      </c>
      <c r="B134" s="199" t="s">
        <v>7357</v>
      </c>
      <c r="C134" s="200" t="s">
        <v>46</v>
      </c>
      <c r="D134" s="199" t="s">
        <v>2659</v>
      </c>
      <c r="E134" s="203" t="s">
        <v>7358</v>
      </c>
      <c r="F134" s="201" t="s">
        <v>7359</v>
      </c>
      <c r="G134" s="169" t="s">
        <v>7360</v>
      </c>
      <c r="H134" s="201"/>
      <c r="I134" s="205" t="s">
        <v>7361</v>
      </c>
      <c r="J134" s="48" t="s">
        <v>7362</v>
      </c>
      <c r="K134" s="200" t="s">
        <v>7363</v>
      </c>
      <c r="L134" s="202" t="s">
        <v>1558</v>
      </c>
      <c r="M134" s="200" t="s">
        <v>3794</v>
      </c>
      <c r="N134" s="202">
        <v>20</v>
      </c>
      <c r="O134" s="202">
        <v>10</v>
      </c>
      <c r="P134" s="199" t="s">
        <v>376</v>
      </c>
      <c r="Q134" s="205" t="s">
        <v>7364</v>
      </c>
      <c r="R134" s="200">
        <v>47331</v>
      </c>
      <c r="S134" s="200">
        <v>39264</v>
      </c>
    </row>
    <row r="135" spans="1:19" ht="42.75" customHeight="1" x14ac:dyDescent="0.25">
      <c r="A135" s="228">
        <v>2</v>
      </c>
      <c r="B135" s="23" t="s">
        <v>7365</v>
      </c>
      <c r="C135" s="282" t="s">
        <v>18</v>
      </c>
      <c r="D135" s="23" t="s">
        <v>1489</v>
      </c>
      <c r="E135" s="229">
        <v>25297</v>
      </c>
      <c r="F135" s="231" t="s">
        <v>7366</v>
      </c>
      <c r="G135" s="34" t="s">
        <v>7367</v>
      </c>
      <c r="H135" s="231"/>
      <c r="I135" s="205" t="s">
        <v>23</v>
      </c>
      <c r="J135" s="48" t="s">
        <v>7362</v>
      </c>
      <c r="K135" s="229"/>
      <c r="L135" s="228" t="s">
        <v>1991</v>
      </c>
      <c r="M135" s="229">
        <v>41365</v>
      </c>
      <c r="N135" s="283">
        <v>15</v>
      </c>
      <c r="O135" s="283">
        <v>1</v>
      </c>
      <c r="P135" s="278" t="s">
        <v>449</v>
      </c>
      <c r="Q135" s="281" t="s">
        <v>1084</v>
      </c>
      <c r="R135" s="230">
        <v>46508</v>
      </c>
      <c r="S135" s="230">
        <v>41204</v>
      </c>
    </row>
    <row r="136" spans="1:19" ht="42.75" customHeight="1" x14ac:dyDescent="0.25">
      <c r="A136" s="202">
        <v>3</v>
      </c>
      <c r="B136" s="23" t="s">
        <v>7368</v>
      </c>
      <c r="C136" s="200" t="s">
        <v>46</v>
      </c>
      <c r="D136" s="23" t="s">
        <v>2004</v>
      </c>
      <c r="E136" s="230">
        <v>26119</v>
      </c>
      <c r="F136" s="231" t="s">
        <v>7369</v>
      </c>
      <c r="G136" s="34" t="s">
        <v>7370</v>
      </c>
      <c r="H136" s="231"/>
      <c r="I136" s="205" t="s">
        <v>7164</v>
      </c>
      <c r="J136" s="48" t="s">
        <v>7362</v>
      </c>
      <c r="K136" s="230">
        <v>39995</v>
      </c>
      <c r="L136" s="228" t="s">
        <v>1717</v>
      </c>
      <c r="M136" s="230">
        <v>43191</v>
      </c>
      <c r="N136" s="228">
        <v>16</v>
      </c>
      <c r="O136" s="228">
        <v>1</v>
      </c>
      <c r="P136" s="23" t="s">
        <v>389</v>
      </c>
      <c r="Q136" s="281" t="s">
        <v>7371</v>
      </c>
      <c r="R136" s="230">
        <v>47331</v>
      </c>
      <c r="S136" s="230">
        <v>41337</v>
      </c>
    </row>
    <row r="137" spans="1:19" ht="42.75" customHeight="1" x14ac:dyDescent="0.25">
      <c r="A137" s="228">
        <v>4</v>
      </c>
      <c r="B137" s="278" t="s">
        <v>7372</v>
      </c>
      <c r="C137" s="200" t="s">
        <v>46</v>
      </c>
      <c r="D137" s="23" t="s">
        <v>1648</v>
      </c>
      <c r="E137" s="230">
        <v>29905</v>
      </c>
      <c r="F137" s="231" t="s">
        <v>7373</v>
      </c>
      <c r="G137" s="34" t="s">
        <v>7374</v>
      </c>
      <c r="H137" s="231"/>
      <c r="I137" s="205" t="s">
        <v>7164</v>
      </c>
      <c r="J137" s="48" t="s">
        <v>7362</v>
      </c>
      <c r="K137" s="230"/>
      <c r="L137" s="228" t="s">
        <v>1717</v>
      </c>
      <c r="M137" s="230">
        <v>44835</v>
      </c>
      <c r="N137" s="228">
        <v>14</v>
      </c>
      <c r="O137" s="228">
        <v>9</v>
      </c>
      <c r="P137" s="199" t="s">
        <v>376</v>
      </c>
      <c r="Q137" s="281" t="s">
        <v>7375</v>
      </c>
      <c r="R137" s="230">
        <v>51105</v>
      </c>
      <c r="S137" s="230">
        <v>39449</v>
      </c>
    </row>
    <row r="138" spans="1:19" ht="42.75" customHeight="1" x14ac:dyDescent="0.25">
      <c r="A138" s="202">
        <v>5</v>
      </c>
      <c r="B138" s="278" t="s">
        <v>7376</v>
      </c>
      <c r="C138" s="200" t="s">
        <v>46</v>
      </c>
      <c r="D138" s="23" t="s">
        <v>2103</v>
      </c>
      <c r="E138" s="230">
        <v>34243</v>
      </c>
      <c r="F138" s="231" t="s">
        <v>7377</v>
      </c>
      <c r="G138" s="34" t="s">
        <v>7378</v>
      </c>
      <c r="H138" s="231"/>
      <c r="I138" s="205" t="s">
        <v>7379</v>
      </c>
      <c r="J138" s="48" t="s">
        <v>7362</v>
      </c>
      <c r="K138" s="230"/>
      <c r="L138" s="228" t="s">
        <v>1991</v>
      </c>
      <c r="M138" s="230">
        <v>44166</v>
      </c>
      <c r="N138" s="228">
        <v>0</v>
      </c>
      <c r="O138" s="228">
        <v>0</v>
      </c>
      <c r="P138" s="199" t="s">
        <v>376</v>
      </c>
      <c r="Q138" s="281" t="s">
        <v>7380</v>
      </c>
      <c r="R138" s="230">
        <v>55458</v>
      </c>
      <c r="S138" s="230">
        <v>44209</v>
      </c>
    </row>
    <row r="139" spans="1:19" ht="42.75" customHeight="1" x14ac:dyDescent="0.25">
      <c r="A139" s="228">
        <v>6</v>
      </c>
      <c r="B139" s="23" t="s">
        <v>7381</v>
      </c>
      <c r="C139" s="200" t="s">
        <v>46</v>
      </c>
      <c r="D139" s="23" t="s">
        <v>1489</v>
      </c>
      <c r="E139" s="230" t="s">
        <v>7382</v>
      </c>
      <c r="F139" s="231" t="s">
        <v>7383</v>
      </c>
      <c r="G139" s="34" t="s">
        <v>7384</v>
      </c>
      <c r="H139" s="231"/>
      <c r="I139" s="205" t="s">
        <v>7164</v>
      </c>
      <c r="J139" s="48" t="s">
        <v>7362</v>
      </c>
      <c r="K139" s="230"/>
      <c r="L139" s="228" t="s">
        <v>1717</v>
      </c>
      <c r="M139" s="230">
        <v>44835</v>
      </c>
      <c r="N139" s="228">
        <v>14</v>
      </c>
      <c r="O139" s="228">
        <v>9</v>
      </c>
      <c r="P139" s="199" t="s">
        <v>376</v>
      </c>
      <c r="Q139" s="281" t="s">
        <v>7385</v>
      </c>
      <c r="R139" s="230">
        <v>51136</v>
      </c>
      <c r="S139" s="230">
        <v>39449</v>
      </c>
    </row>
    <row r="140" spans="1:19" ht="42.75" customHeight="1" x14ac:dyDescent="0.25">
      <c r="A140" s="202">
        <v>7</v>
      </c>
      <c r="B140" s="199" t="s">
        <v>7386</v>
      </c>
      <c r="C140" s="200" t="s">
        <v>46</v>
      </c>
      <c r="D140" s="199" t="s">
        <v>2400</v>
      </c>
      <c r="E140" s="200">
        <v>25391</v>
      </c>
      <c r="F140" s="201" t="s">
        <v>7387</v>
      </c>
      <c r="G140" s="169" t="s">
        <v>7388</v>
      </c>
      <c r="H140" s="201"/>
      <c r="I140" s="205" t="s">
        <v>7389</v>
      </c>
      <c r="J140" s="48" t="s">
        <v>7362</v>
      </c>
      <c r="K140" s="200" t="s">
        <v>1084</v>
      </c>
      <c r="L140" s="202" t="s">
        <v>1717</v>
      </c>
      <c r="M140" s="200">
        <v>45200</v>
      </c>
      <c r="N140" s="202">
        <v>29</v>
      </c>
      <c r="O140" s="202">
        <v>9</v>
      </c>
      <c r="P140" s="199" t="s">
        <v>376</v>
      </c>
      <c r="Q140" s="205" t="s">
        <v>7390</v>
      </c>
      <c r="R140" s="200">
        <v>46600</v>
      </c>
      <c r="S140" s="200">
        <v>37803</v>
      </c>
    </row>
    <row r="141" spans="1:19" ht="42.75" customHeight="1" x14ac:dyDescent="0.25">
      <c r="A141" s="228">
        <v>8</v>
      </c>
      <c r="B141" s="23" t="s">
        <v>7391</v>
      </c>
      <c r="C141" s="230" t="s">
        <v>18</v>
      </c>
      <c r="D141" s="23" t="s">
        <v>2042</v>
      </c>
      <c r="E141" s="230">
        <v>28044</v>
      </c>
      <c r="F141" s="231" t="s">
        <v>7392</v>
      </c>
      <c r="G141" s="34" t="s">
        <v>7393</v>
      </c>
      <c r="H141" s="231"/>
      <c r="I141" s="205" t="s">
        <v>7164</v>
      </c>
      <c r="J141" s="48" t="s">
        <v>7362</v>
      </c>
      <c r="K141" s="230"/>
      <c r="L141" s="228" t="s">
        <v>1717</v>
      </c>
      <c r="M141" s="230">
        <v>44652</v>
      </c>
      <c r="N141" s="228">
        <v>17</v>
      </c>
      <c r="O141" s="228">
        <v>4</v>
      </c>
      <c r="P141" s="23" t="s">
        <v>389</v>
      </c>
      <c r="Q141" s="281" t="s">
        <v>7394</v>
      </c>
      <c r="R141" s="230">
        <v>49249</v>
      </c>
      <c r="S141" s="230">
        <v>37591</v>
      </c>
    </row>
    <row r="142" spans="1:19" ht="42.75" customHeight="1" x14ac:dyDescent="0.25">
      <c r="A142" s="202">
        <v>9</v>
      </c>
      <c r="B142" s="199" t="s">
        <v>7395</v>
      </c>
      <c r="C142" s="200" t="s">
        <v>46</v>
      </c>
      <c r="D142" s="199" t="s">
        <v>1934</v>
      </c>
      <c r="E142" s="200">
        <v>29125</v>
      </c>
      <c r="F142" s="201" t="s">
        <v>7396</v>
      </c>
      <c r="G142" s="169" t="s">
        <v>7397</v>
      </c>
      <c r="H142" s="201"/>
      <c r="I142" s="205" t="s">
        <v>7398</v>
      </c>
      <c r="J142" s="48" t="s">
        <v>7362</v>
      </c>
      <c r="K142" s="200">
        <v>39479</v>
      </c>
      <c r="L142" s="202" t="s">
        <v>1991</v>
      </c>
      <c r="M142" s="200">
        <v>45566</v>
      </c>
      <c r="N142" s="202">
        <v>13</v>
      </c>
      <c r="O142" s="202">
        <v>6</v>
      </c>
      <c r="P142" s="23" t="s">
        <v>389</v>
      </c>
      <c r="Q142" s="205" t="s">
        <v>7399</v>
      </c>
      <c r="R142" s="200">
        <v>50314</v>
      </c>
      <c r="S142" s="200">
        <v>41913</v>
      </c>
    </row>
    <row r="143" spans="1:19" ht="42.75" customHeight="1" x14ac:dyDescent="0.25">
      <c r="A143" s="228">
        <v>10</v>
      </c>
      <c r="B143" s="199" t="s">
        <v>7400</v>
      </c>
      <c r="C143" s="200" t="s">
        <v>46</v>
      </c>
      <c r="D143" s="199" t="s">
        <v>7401</v>
      </c>
      <c r="E143" s="200">
        <v>34188</v>
      </c>
      <c r="F143" s="316" t="s">
        <v>7402</v>
      </c>
      <c r="G143" s="169" t="s">
        <v>7403</v>
      </c>
      <c r="H143" s="316"/>
      <c r="I143" s="205" t="s">
        <v>7404</v>
      </c>
      <c r="J143" s="48" t="s">
        <v>7362</v>
      </c>
      <c r="K143" s="200">
        <v>45078</v>
      </c>
      <c r="L143" s="202" t="s">
        <v>1991</v>
      </c>
      <c r="M143" s="200">
        <v>43525</v>
      </c>
      <c r="N143" s="202">
        <v>0</v>
      </c>
      <c r="O143" s="202">
        <v>0</v>
      </c>
      <c r="P143" s="199" t="s">
        <v>376</v>
      </c>
      <c r="Q143" s="205" t="s">
        <v>7405</v>
      </c>
      <c r="R143" s="200">
        <v>56097</v>
      </c>
      <c r="S143" s="200">
        <v>43605</v>
      </c>
    </row>
    <row r="144" spans="1:19" ht="42.75" customHeight="1" x14ac:dyDescent="0.25">
      <c r="A144" s="202">
        <v>11</v>
      </c>
      <c r="B144" s="199" t="s">
        <v>7406</v>
      </c>
      <c r="C144" s="200" t="s">
        <v>18</v>
      </c>
      <c r="D144" s="199" t="s">
        <v>1950</v>
      </c>
      <c r="E144" s="200">
        <v>33531</v>
      </c>
      <c r="F144" s="316" t="s">
        <v>7407</v>
      </c>
      <c r="G144" s="34" t="s">
        <v>7408</v>
      </c>
      <c r="H144" s="316"/>
      <c r="I144" s="205" t="s">
        <v>7409</v>
      </c>
      <c r="J144" s="48" t="s">
        <v>7362</v>
      </c>
      <c r="K144" s="200"/>
      <c r="L144" s="202" t="s">
        <v>2698</v>
      </c>
      <c r="M144" s="200">
        <v>43525</v>
      </c>
      <c r="N144" s="202">
        <v>0</v>
      </c>
      <c r="O144" s="202">
        <v>0</v>
      </c>
      <c r="P144" s="199" t="s">
        <v>7410</v>
      </c>
      <c r="Q144" s="205" t="s">
        <v>7411</v>
      </c>
      <c r="R144" s="200">
        <v>55458</v>
      </c>
      <c r="S144" s="200">
        <v>43605</v>
      </c>
    </row>
    <row r="145" spans="1:26" ht="42.75" customHeight="1" x14ac:dyDescent="0.25">
      <c r="A145" s="293" t="s">
        <v>7412</v>
      </c>
      <c r="B145" s="293"/>
      <c r="C145" s="294"/>
      <c r="D145" s="293"/>
      <c r="E145" s="228"/>
      <c r="F145" s="295"/>
      <c r="G145" s="232"/>
      <c r="H145" s="295"/>
      <c r="I145" s="283"/>
      <c r="J145" s="228"/>
      <c r="K145" s="230"/>
      <c r="L145" s="228"/>
      <c r="M145" s="230"/>
      <c r="N145" s="228"/>
      <c r="O145" s="228"/>
      <c r="P145" s="278"/>
      <c r="Q145" s="281"/>
      <c r="R145" s="230"/>
      <c r="S145" s="230"/>
    </row>
    <row r="146" spans="1:26" ht="42.75" customHeight="1" x14ac:dyDescent="0.25">
      <c r="A146" s="202">
        <v>1</v>
      </c>
      <c r="B146" s="232" t="s">
        <v>7413</v>
      </c>
      <c r="C146" s="203" t="s">
        <v>18</v>
      </c>
      <c r="D146" s="199" t="s">
        <v>1519</v>
      </c>
      <c r="E146" s="203" t="s">
        <v>7414</v>
      </c>
      <c r="F146" s="231" t="s">
        <v>7415</v>
      </c>
      <c r="G146" s="169" t="s">
        <v>7416</v>
      </c>
      <c r="H146" s="231">
        <v>7700010240</v>
      </c>
      <c r="I146" s="205" t="s">
        <v>7417</v>
      </c>
      <c r="J146" s="24" t="s">
        <v>7418</v>
      </c>
      <c r="K146" s="200">
        <v>42856</v>
      </c>
      <c r="L146" s="206" t="s">
        <v>1738</v>
      </c>
      <c r="M146" s="203">
        <v>44470</v>
      </c>
      <c r="N146" s="206">
        <v>13</v>
      </c>
      <c r="O146" s="206">
        <v>9</v>
      </c>
      <c r="P146" s="199" t="s">
        <v>376</v>
      </c>
      <c r="Q146" s="205" t="s">
        <v>7419</v>
      </c>
      <c r="R146" s="203">
        <v>51683</v>
      </c>
      <c r="S146" s="200">
        <v>39448</v>
      </c>
    </row>
    <row r="147" spans="1:26" ht="42.75" customHeight="1" x14ac:dyDescent="0.25">
      <c r="A147" s="202">
        <v>2</v>
      </c>
      <c r="B147" s="232" t="s">
        <v>7420</v>
      </c>
      <c r="C147" s="202" t="s">
        <v>18</v>
      </c>
      <c r="D147" s="199" t="s">
        <v>1536</v>
      </c>
      <c r="E147" s="202" t="s">
        <v>7421</v>
      </c>
      <c r="F147" s="231" t="s">
        <v>7422</v>
      </c>
      <c r="G147" s="169" t="s">
        <v>7423</v>
      </c>
      <c r="H147" s="231"/>
      <c r="I147" s="205" t="s">
        <v>7417</v>
      </c>
      <c r="J147" s="24" t="s">
        <v>7418</v>
      </c>
      <c r="K147" s="200">
        <v>42856</v>
      </c>
      <c r="L147" s="202" t="s">
        <v>1717</v>
      </c>
      <c r="M147" s="203">
        <v>43009</v>
      </c>
      <c r="N147" s="206">
        <v>8</v>
      </c>
      <c r="O147" s="206">
        <v>9</v>
      </c>
      <c r="P147" s="199" t="s">
        <v>376</v>
      </c>
      <c r="Q147" s="205" t="s">
        <v>7424</v>
      </c>
      <c r="R147" s="200">
        <v>50649</v>
      </c>
      <c r="S147" s="200">
        <v>40238</v>
      </c>
    </row>
    <row r="148" spans="1:26" ht="42.75" customHeight="1" x14ac:dyDescent="0.25">
      <c r="A148" s="202">
        <v>3</v>
      </c>
      <c r="B148" s="232" t="s">
        <v>7425</v>
      </c>
      <c r="C148" s="200" t="s">
        <v>46</v>
      </c>
      <c r="D148" s="199" t="s">
        <v>1902</v>
      </c>
      <c r="E148" s="202" t="s">
        <v>7426</v>
      </c>
      <c r="F148" s="231" t="s">
        <v>7427</v>
      </c>
      <c r="G148" s="169" t="s">
        <v>7428</v>
      </c>
      <c r="H148" s="231">
        <v>7700010337</v>
      </c>
      <c r="I148" s="205" t="s">
        <v>7417</v>
      </c>
      <c r="J148" s="24" t="s">
        <v>7418</v>
      </c>
      <c r="K148" s="200">
        <v>42826</v>
      </c>
      <c r="L148" s="202" t="s">
        <v>1717</v>
      </c>
      <c r="M148" s="203">
        <v>43009</v>
      </c>
      <c r="N148" s="206">
        <v>7</v>
      </c>
      <c r="O148" s="206">
        <v>10</v>
      </c>
      <c r="P148" s="232" t="s">
        <v>982</v>
      </c>
      <c r="Q148" s="205" t="s">
        <v>7429</v>
      </c>
      <c r="R148" s="200">
        <v>51683</v>
      </c>
      <c r="S148" s="200">
        <v>40299</v>
      </c>
    </row>
    <row r="149" spans="1:26" ht="42.75" customHeight="1" x14ac:dyDescent="0.25">
      <c r="A149" s="202">
        <v>4</v>
      </c>
      <c r="B149" s="232" t="s">
        <v>7430</v>
      </c>
      <c r="C149" s="203" t="s">
        <v>18</v>
      </c>
      <c r="D149" s="199" t="s">
        <v>1638</v>
      </c>
      <c r="E149" s="203" t="s">
        <v>7431</v>
      </c>
      <c r="F149" s="231" t="s">
        <v>7432</v>
      </c>
      <c r="G149" s="169" t="s">
        <v>7433</v>
      </c>
      <c r="H149" s="231">
        <v>7700010277</v>
      </c>
      <c r="I149" s="205" t="s">
        <v>7417</v>
      </c>
      <c r="J149" s="24" t="s">
        <v>7418</v>
      </c>
      <c r="K149" s="200">
        <v>42826</v>
      </c>
      <c r="L149" s="206" t="s">
        <v>1717</v>
      </c>
      <c r="M149" s="203">
        <v>43009</v>
      </c>
      <c r="N149" s="206">
        <v>9</v>
      </c>
      <c r="O149" s="206">
        <v>9</v>
      </c>
      <c r="P149" s="199" t="s">
        <v>376</v>
      </c>
      <c r="Q149" s="205" t="s">
        <v>7434</v>
      </c>
      <c r="R149" s="203">
        <v>51410</v>
      </c>
      <c r="S149" s="200">
        <v>39448</v>
      </c>
    </row>
    <row r="150" spans="1:26" ht="42.75" customHeight="1" x14ac:dyDescent="0.25">
      <c r="A150" s="202">
        <v>5</v>
      </c>
      <c r="B150" s="232" t="s">
        <v>7435</v>
      </c>
      <c r="C150" s="200" t="s">
        <v>46</v>
      </c>
      <c r="D150" s="199" t="s">
        <v>1648</v>
      </c>
      <c r="E150" s="202" t="s">
        <v>7436</v>
      </c>
      <c r="F150" s="231" t="s">
        <v>7437</v>
      </c>
      <c r="G150" s="169" t="s">
        <v>7438</v>
      </c>
      <c r="H150" s="231">
        <v>7700010338</v>
      </c>
      <c r="I150" s="205" t="s">
        <v>7417</v>
      </c>
      <c r="J150" s="24" t="s">
        <v>7418</v>
      </c>
      <c r="K150" s="200">
        <v>42826</v>
      </c>
      <c r="L150" s="202" t="s">
        <v>1738</v>
      </c>
      <c r="M150" s="203">
        <v>45444</v>
      </c>
      <c r="N150" s="206">
        <v>15</v>
      </c>
      <c r="O150" s="206">
        <v>5</v>
      </c>
      <c r="P150" s="199" t="s">
        <v>376</v>
      </c>
      <c r="Q150" s="280" t="s">
        <v>7439</v>
      </c>
      <c r="R150" s="200">
        <v>50496</v>
      </c>
      <c r="S150" s="200">
        <v>40238</v>
      </c>
    </row>
    <row r="151" spans="1:26" ht="42.75" customHeight="1" x14ac:dyDescent="0.25">
      <c r="A151" s="202">
        <v>6</v>
      </c>
      <c r="B151" s="232" t="s">
        <v>7440</v>
      </c>
      <c r="C151" s="202" t="s">
        <v>18</v>
      </c>
      <c r="D151" s="199" t="s">
        <v>1934</v>
      </c>
      <c r="E151" s="202" t="s">
        <v>7441</v>
      </c>
      <c r="F151" s="231" t="s">
        <v>7442</v>
      </c>
      <c r="G151" s="169" t="s">
        <v>7443</v>
      </c>
      <c r="H151" s="231"/>
      <c r="I151" s="205" t="s">
        <v>7417</v>
      </c>
      <c r="J151" s="24" t="s">
        <v>7418</v>
      </c>
      <c r="K151" s="200">
        <v>42826</v>
      </c>
      <c r="L151" s="202" t="s">
        <v>1738</v>
      </c>
      <c r="M151" s="203">
        <v>45444</v>
      </c>
      <c r="N151" s="206">
        <v>15</v>
      </c>
      <c r="O151" s="206">
        <v>5</v>
      </c>
      <c r="P151" s="199" t="s">
        <v>376</v>
      </c>
      <c r="Q151" s="205" t="s">
        <v>7444</v>
      </c>
      <c r="R151" s="200">
        <v>50072</v>
      </c>
      <c r="S151" s="200">
        <v>40238</v>
      </c>
    </row>
    <row r="152" spans="1:26" ht="42.75" customHeight="1" x14ac:dyDescent="0.25">
      <c r="A152" s="202">
        <v>7</v>
      </c>
      <c r="B152" s="232" t="s">
        <v>7445</v>
      </c>
      <c r="C152" s="202" t="s">
        <v>18</v>
      </c>
      <c r="D152" s="199" t="s">
        <v>1811</v>
      </c>
      <c r="E152" s="202" t="s">
        <v>7446</v>
      </c>
      <c r="F152" s="231" t="s">
        <v>7447</v>
      </c>
      <c r="G152" s="169" t="s">
        <v>7448</v>
      </c>
      <c r="H152" s="231">
        <v>7700010382</v>
      </c>
      <c r="I152" s="205" t="s">
        <v>7417</v>
      </c>
      <c r="J152" s="24" t="s">
        <v>7418</v>
      </c>
      <c r="K152" s="200">
        <v>42826</v>
      </c>
      <c r="L152" s="202" t="s">
        <v>1738</v>
      </c>
      <c r="M152" s="203">
        <v>45444</v>
      </c>
      <c r="N152" s="206">
        <v>15</v>
      </c>
      <c r="O152" s="206">
        <v>5</v>
      </c>
      <c r="P152" s="199" t="s">
        <v>376</v>
      </c>
      <c r="Q152" s="280" t="s">
        <v>7449</v>
      </c>
      <c r="R152" s="200">
        <v>48549</v>
      </c>
      <c r="S152" s="200">
        <v>40238</v>
      </c>
    </row>
    <row r="153" spans="1:26" ht="42.75" customHeight="1" x14ac:dyDescent="0.25">
      <c r="A153" s="202">
        <v>8</v>
      </c>
      <c r="B153" s="232" t="s">
        <v>7450</v>
      </c>
      <c r="C153" s="202" t="s">
        <v>18</v>
      </c>
      <c r="D153" s="199" t="s">
        <v>3627</v>
      </c>
      <c r="E153" s="202" t="s">
        <v>7451</v>
      </c>
      <c r="F153" s="231" t="s">
        <v>7452</v>
      </c>
      <c r="G153" s="169" t="s">
        <v>7453</v>
      </c>
      <c r="H153" s="231">
        <v>7700010316</v>
      </c>
      <c r="I153" s="205" t="s">
        <v>7417</v>
      </c>
      <c r="J153" s="24" t="s">
        <v>7418</v>
      </c>
      <c r="K153" s="200">
        <v>43313</v>
      </c>
      <c r="L153" s="202" t="s">
        <v>1717</v>
      </c>
      <c r="M153" s="203">
        <v>43374</v>
      </c>
      <c r="N153" s="206">
        <v>9</v>
      </c>
      <c r="O153" s="206">
        <v>9</v>
      </c>
      <c r="P153" s="199" t="s">
        <v>376</v>
      </c>
      <c r="Q153" s="280" t="s">
        <v>7454</v>
      </c>
      <c r="R153" s="200">
        <v>51196</v>
      </c>
      <c r="S153" s="200">
        <v>40238</v>
      </c>
    </row>
    <row r="154" spans="1:26" ht="42.75" customHeight="1" x14ac:dyDescent="0.25">
      <c r="A154" s="202">
        <v>9</v>
      </c>
      <c r="B154" s="232" t="s">
        <v>7455</v>
      </c>
      <c r="C154" s="202" t="s">
        <v>18</v>
      </c>
      <c r="D154" s="199" t="s">
        <v>1648</v>
      </c>
      <c r="E154" s="202" t="s">
        <v>7456</v>
      </c>
      <c r="F154" s="231" t="s">
        <v>7457</v>
      </c>
      <c r="G154" s="169" t="s">
        <v>7458</v>
      </c>
      <c r="H154" s="231">
        <v>7700010315</v>
      </c>
      <c r="I154" s="205" t="s">
        <v>7417</v>
      </c>
      <c r="J154" s="24" t="s">
        <v>7418</v>
      </c>
      <c r="K154" s="200">
        <v>43313</v>
      </c>
      <c r="L154" s="202" t="s">
        <v>1717</v>
      </c>
      <c r="M154" s="203">
        <v>43374</v>
      </c>
      <c r="N154" s="206">
        <v>9</v>
      </c>
      <c r="O154" s="206">
        <v>9</v>
      </c>
      <c r="P154" s="199" t="s">
        <v>376</v>
      </c>
      <c r="Q154" s="280" t="s">
        <v>7459</v>
      </c>
      <c r="R154" s="200">
        <v>52018</v>
      </c>
      <c r="S154" s="200">
        <v>40238</v>
      </c>
    </row>
    <row r="155" spans="1:26" ht="42.75" customHeight="1" x14ac:dyDescent="0.25">
      <c r="A155" s="202">
        <v>10</v>
      </c>
      <c r="B155" s="232" t="s">
        <v>7460</v>
      </c>
      <c r="C155" s="203" t="s">
        <v>18</v>
      </c>
      <c r="D155" s="199" t="s">
        <v>2144</v>
      </c>
      <c r="E155" s="203" t="s">
        <v>7461</v>
      </c>
      <c r="F155" s="231" t="s">
        <v>7462</v>
      </c>
      <c r="G155" s="169" t="s">
        <v>7463</v>
      </c>
      <c r="H155" s="231">
        <v>7700010286</v>
      </c>
      <c r="I155" s="205" t="s">
        <v>7464</v>
      </c>
      <c r="J155" s="24" t="s">
        <v>7418</v>
      </c>
      <c r="K155" s="200">
        <v>40725</v>
      </c>
      <c r="L155" s="206" t="s">
        <v>1991</v>
      </c>
      <c r="M155" s="203" t="s">
        <v>7465</v>
      </c>
      <c r="N155" s="206">
        <v>7</v>
      </c>
      <c r="O155" s="206">
        <v>9</v>
      </c>
      <c r="P155" s="199" t="s">
        <v>376</v>
      </c>
      <c r="Q155" s="205" t="s">
        <v>7466</v>
      </c>
      <c r="R155" s="203">
        <v>49796</v>
      </c>
      <c r="S155" s="200">
        <v>39448</v>
      </c>
    </row>
    <row r="156" spans="1:26" ht="42.75" customHeight="1" x14ac:dyDescent="0.25">
      <c r="A156" s="202">
        <v>11</v>
      </c>
      <c r="B156" s="40" t="s">
        <v>7467</v>
      </c>
      <c r="C156" s="200" t="s">
        <v>46</v>
      </c>
      <c r="D156" s="199" t="s">
        <v>1934</v>
      </c>
      <c r="E156" s="200">
        <v>30907</v>
      </c>
      <c r="F156" s="231" t="s">
        <v>7468</v>
      </c>
      <c r="G156" s="169" t="s">
        <v>7469</v>
      </c>
      <c r="H156" s="231">
        <v>7700010332</v>
      </c>
      <c r="I156" s="205" t="s">
        <v>7464</v>
      </c>
      <c r="J156" s="24" t="s">
        <v>7418</v>
      </c>
      <c r="K156" s="200">
        <v>43313</v>
      </c>
      <c r="L156" s="202" t="s">
        <v>1991</v>
      </c>
      <c r="M156" s="203">
        <v>43374</v>
      </c>
      <c r="N156" s="206">
        <v>7</v>
      </c>
      <c r="O156" s="206">
        <v>9</v>
      </c>
      <c r="P156" s="199" t="s">
        <v>376</v>
      </c>
      <c r="Q156" s="205" t="s">
        <v>7470</v>
      </c>
      <c r="R156" s="200">
        <v>52110</v>
      </c>
      <c r="S156" s="200">
        <v>40634</v>
      </c>
    </row>
    <row r="157" spans="1:26" ht="42.75" customHeight="1" x14ac:dyDescent="0.25">
      <c r="A157" s="202">
        <v>12</v>
      </c>
      <c r="B157" s="232" t="s">
        <v>7471</v>
      </c>
      <c r="C157" s="203" t="s">
        <v>18</v>
      </c>
      <c r="D157" s="199" t="s">
        <v>4435</v>
      </c>
      <c r="E157" s="203" t="s">
        <v>7472</v>
      </c>
      <c r="F157" s="231" t="s">
        <v>7473</v>
      </c>
      <c r="G157" s="169" t="s">
        <v>7474</v>
      </c>
      <c r="H157" s="231">
        <v>7700010386</v>
      </c>
      <c r="I157" s="205" t="s">
        <v>7464</v>
      </c>
      <c r="J157" s="24" t="s">
        <v>7418</v>
      </c>
      <c r="K157" s="200">
        <v>40725</v>
      </c>
      <c r="L157" s="206" t="s">
        <v>1991</v>
      </c>
      <c r="M157" s="203">
        <v>43009</v>
      </c>
      <c r="N157" s="206">
        <v>9</v>
      </c>
      <c r="O157" s="206">
        <v>9</v>
      </c>
      <c r="P157" s="199" t="s">
        <v>376</v>
      </c>
      <c r="Q157" s="205" t="s">
        <v>7475</v>
      </c>
      <c r="R157" s="203">
        <v>50802</v>
      </c>
      <c r="S157" s="200">
        <v>39448</v>
      </c>
      <c r="T157" s="19"/>
      <c r="U157" s="19"/>
      <c r="V157" s="19"/>
      <c r="W157" s="19"/>
      <c r="X157" s="19"/>
      <c r="Y157" s="19"/>
      <c r="Z157" s="19"/>
    </row>
    <row r="158" spans="1:26" ht="42.75" customHeight="1" x14ac:dyDescent="0.25">
      <c r="A158" s="202">
        <v>13</v>
      </c>
      <c r="B158" s="23" t="s">
        <v>7476</v>
      </c>
      <c r="C158" s="282" t="s">
        <v>18</v>
      </c>
      <c r="D158" s="23" t="s">
        <v>3627</v>
      </c>
      <c r="E158" s="230">
        <v>30072</v>
      </c>
      <c r="F158" s="231" t="s">
        <v>7477</v>
      </c>
      <c r="G158" s="169" t="s">
        <v>7478</v>
      </c>
      <c r="H158" s="231">
        <v>7700010287</v>
      </c>
      <c r="I158" s="205" t="s">
        <v>7464</v>
      </c>
      <c r="J158" s="24" t="s">
        <v>7418</v>
      </c>
      <c r="K158" s="200">
        <v>43647</v>
      </c>
      <c r="L158" s="228" t="s">
        <v>2698</v>
      </c>
      <c r="M158" s="229">
        <v>42278</v>
      </c>
      <c r="N158" s="283">
        <v>5</v>
      </c>
      <c r="O158" s="283">
        <v>11</v>
      </c>
      <c r="P158" s="199" t="s">
        <v>376</v>
      </c>
      <c r="Q158" s="281" t="s">
        <v>7479</v>
      </c>
      <c r="R158" s="230">
        <v>51288</v>
      </c>
      <c r="S158" s="230">
        <v>40330</v>
      </c>
    </row>
    <row r="159" spans="1:26" ht="42.75" customHeight="1" x14ac:dyDescent="0.25">
      <c r="A159" s="202">
        <v>14</v>
      </c>
      <c r="B159" s="40" t="s">
        <v>7480</v>
      </c>
      <c r="C159" s="292" t="s">
        <v>18</v>
      </c>
      <c r="D159" s="199" t="s">
        <v>7481</v>
      </c>
      <c r="E159" s="200">
        <v>30429</v>
      </c>
      <c r="F159" s="231" t="s">
        <v>7482</v>
      </c>
      <c r="G159" s="169" t="s">
        <v>7483</v>
      </c>
      <c r="H159" s="231">
        <v>7700010239</v>
      </c>
      <c r="I159" s="205" t="s">
        <v>7464</v>
      </c>
      <c r="J159" s="24" t="s">
        <v>7418</v>
      </c>
      <c r="K159" s="200">
        <v>42826</v>
      </c>
      <c r="L159" s="202" t="s">
        <v>2698</v>
      </c>
      <c r="M159" s="203">
        <v>40544</v>
      </c>
      <c r="N159" s="206">
        <v>1</v>
      </c>
      <c r="O159" s="206">
        <v>2</v>
      </c>
      <c r="P159" s="199" t="s">
        <v>376</v>
      </c>
      <c r="Q159" s="205" t="s">
        <v>7484</v>
      </c>
      <c r="R159" s="200">
        <v>51622</v>
      </c>
      <c r="S159" s="200">
        <v>40634</v>
      </c>
    </row>
    <row r="160" spans="1:26" ht="42.75" customHeight="1" x14ac:dyDescent="0.25">
      <c r="A160" s="202">
        <v>15</v>
      </c>
      <c r="B160" s="40" t="s">
        <v>7485</v>
      </c>
      <c r="C160" s="292" t="s">
        <v>18</v>
      </c>
      <c r="D160" s="199" t="s">
        <v>7034</v>
      </c>
      <c r="E160" s="200" t="s">
        <v>7486</v>
      </c>
      <c r="F160" s="231" t="s">
        <v>7487</v>
      </c>
      <c r="G160" s="169" t="s">
        <v>7488</v>
      </c>
      <c r="H160" s="231">
        <v>7700010333</v>
      </c>
      <c r="I160" s="205" t="s">
        <v>7464</v>
      </c>
      <c r="J160" s="24" t="s">
        <v>7418</v>
      </c>
      <c r="K160" s="200">
        <v>42826</v>
      </c>
      <c r="L160" s="202" t="s">
        <v>2698</v>
      </c>
      <c r="M160" s="203">
        <v>40544</v>
      </c>
      <c r="N160" s="206">
        <v>1</v>
      </c>
      <c r="O160" s="206">
        <v>2</v>
      </c>
      <c r="P160" s="199" t="s">
        <v>376</v>
      </c>
      <c r="Q160" s="205" t="s">
        <v>7220</v>
      </c>
      <c r="R160" s="200">
        <v>51806</v>
      </c>
      <c r="S160" s="200">
        <v>40634</v>
      </c>
    </row>
    <row r="161" spans="1:19" ht="42.75" customHeight="1" x14ac:dyDescent="0.25">
      <c r="A161" s="202">
        <v>16</v>
      </c>
      <c r="B161" s="232" t="s">
        <v>7489</v>
      </c>
      <c r="C161" s="202" t="s">
        <v>18</v>
      </c>
      <c r="D161" s="199" t="s">
        <v>1479</v>
      </c>
      <c r="E161" s="202" t="s">
        <v>7490</v>
      </c>
      <c r="F161" s="231" t="s">
        <v>7491</v>
      </c>
      <c r="G161" s="169" t="s">
        <v>7492</v>
      </c>
      <c r="H161" s="231">
        <v>7700010285</v>
      </c>
      <c r="I161" s="205" t="s">
        <v>7493</v>
      </c>
      <c r="J161" s="24" t="s">
        <v>7418</v>
      </c>
      <c r="K161" s="200">
        <v>40725</v>
      </c>
      <c r="L161" s="202" t="s">
        <v>1991</v>
      </c>
      <c r="M161" s="203">
        <v>42278</v>
      </c>
      <c r="N161" s="206">
        <v>5</v>
      </c>
      <c r="O161" s="206">
        <v>10</v>
      </c>
      <c r="P161" s="199" t="s">
        <v>376</v>
      </c>
      <c r="Q161" s="205" t="s">
        <v>7494</v>
      </c>
      <c r="R161" s="200">
        <v>49004</v>
      </c>
      <c r="S161" s="200">
        <v>40299</v>
      </c>
    </row>
    <row r="162" spans="1:19" ht="42.75" customHeight="1" x14ac:dyDescent="0.25">
      <c r="A162" s="293" t="s">
        <v>7495</v>
      </c>
      <c r="B162" s="293"/>
      <c r="C162" s="294"/>
      <c r="D162" s="293"/>
      <c r="E162" s="228"/>
      <c r="F162" s="295"/>
      <c r="G162" s="232"/>
      <c r="H162" s="295"/>
      <c r="I162" s="283"/>
      <c r="J162" s="228"/>
      <c r="K162" s="230"/>
      <c r="L162" s="228"/>
      <c r="M162" s="230"/>
      <c r="N162" s="228"/>
      <c r="O162" s="228"/>
      <c r="P162" s="278"/>
      <c r="Q162" s="281"/>
      <c r="R162" s="230"/>
      <c r="S162" s="230"/>
    </row>
    <row r="163" spans="1:19" ht="42.75" customHeight="1" x14ac:dyDescent="0.25">
      <c r="A163" s="202">
        <v>1</v>
      </c>
      <c r="B163" s="317" t="s">
        <v>7496</v>
      </c>
      <c r="C163" s="200" t="s">
        <v>46</v>
      </c>
      <c r="D163" s="317" t="s">
        <v>7497</v>
      </c>
      <c r="E163" s="318">
        <v>26870</v>
      </c>
      <c r="F163" s="319" t="s">
        <v>7498</v>
      </c>
      <c r="G163" s="169" t="s">
        <v>7499</v>
      </c>
      <c r="H163" s="319"/>
      <c r="I163" s="320" t="s">
        <v>7500</v>
      </c>
      <c r="J163" s="205" t="s">
        <v>281</v>
      </c>
      <c r="K163" s="318">
        <v>45173</v>
      </c>
      <c r="L163" s="321" t="s">
        <v>1558</v>
      </c>
      <c r="M163" s="318">
        <v>45566</v>
      </c>
      <c r="N163" s="321">
        <v>20</v>
      </c>
      <c r="O163" s="321">
        <v>10</v>
      </c>
      <c r="P163" s="284" t="s">
        <v>982</v>
      </c>
      <c r="Q163" s="320" t="s">
        <v>7501</v>
      </c>
      <c r="R163" s="318">
        <v>48061</v>
      </c>
      <c r="S163" s="318">
        <v>41414</v>
      </c>
    </row>
    <row r="164" spans="1:19" ht="42.75" customHeight="1" x14ac:dyDescent="0.25">
      <c r="A164" s="228">
        <v>2</v>
      </c>
      <c r="B164" s="205" t="s">
        <v>7502</v>
      </c>
      <c r="C164" s="200" t="s">
        <v>46</v>
      </c>
      <c r="D164" s="48" t="s">
        <v>2004</v>
      </c>
      <c r="E164" s="203">
        <v>28332</v>
      </c>
      <c r="F164" s="201" t="s">
        <v>7503</v>
      </c>
      <c r="G164" s="169" t="s">
        <v>7504</v>
      </c>
      <c r="H164" s="201"/>
      <c r="I164" s="205" t="s">
        <v>6925</v>
      </c>
      <c r="J164" s="205" t="s">
        <v>281</v>
      </c>
      <c r="K164" s="200">
        <v>44183</v>
      </c>
      <c r="L164" s="206" t="s">
        <v>1738</v>
      </c>
      <c r="M164" s="203" t="s">
        <v>7505</v>
      </c>
      <c r="N164" s="206">
        <v>16</v>
      </c>
      <c r="O164" s="206">
        <v>3</v>
      </c>
      <c r="P164" s="205" t="s">
        <v>982</v>
      </c>
      <c r="Q164" s="205" t="s">
        <v>7506</v>
      </c>
      <c r="R164" s="203">
        <v>49522</v>
      </c>
      <c r="S164" s="200" t="s">
        <v>1084</v>
      </c>
    </row>
    <row r="165" spans="1:19" ht="42.75" customHeight="1" x14ac:dyDescent="0.25">
      <c r="A165" s="202">
        <v>3</v>
      </c>
      <c r="B165" s="281" t="s">
        <v>7507</v>
      </c>
      <c r="C165" s="200" t="s">
        <v>46</v>
      </c>
      <c r="D165" s="24" t="s">
        <v>3546</v>
      </c>
      <c r="E165" s="229">
        <v>25569</v>
      </c>
      <c r="F165" s="231" t="s">
        <v>7508</v>
      </c>
      <c r="G165" s="169" t="s">
        <v>7509</v>
      </c>
      <c r="H165" s="231"/>
      <c r="I165" s="205" t="s">
        <v>6810</v>
      </c>
      <c r="J165" s="205" t="s">
        <v>281</v>
      </c>
      <c r="K165" s="203">
        <v>44560</v>
      </c>
      <c r="L165" s="283" t="s">
        <v>1738</v>
      </c>
      <c r="M165" s="229">
        <v>43739</v>
      </c>
      <c r="N165" s="283">
        <v>23</v>
      </c>
      <c r="O165" s="283">
        <v>7</v>
      </c>
      <c r="P165" s="199" t="s">
        <v>376</v>
      </c>
      <c r="Q165" s="281" t="s">
        <v>7510</v>
      </c>
      <c r="R165" s="229">
        <v>46784</v>
      </c>
      <c r="S165" s="229" t="s">
        <v>1084</v>
      </c>
    </row>
    <row r="166" spans="1:19" ht="42.75" customHeight="1" x14ac:dyDescent="0.25">
      <c r="A166" s="228">
        <v>4</v>
      </c>
      <c r="B166" s="320" t="s">
        <v>7511</v>
      </c>
      <c r="C166" s="200" t="s">
        <v>46</v>
      </c>
      <c r="D166" s="317" t="s">
        <v>4451</v>
      </c>
      <c r="E166" s="318">
        <v>26413</v>
      </c>
      <c r="F166" s="319" t="s">
        <v>7512</v>
      </c>
      <c r="G166" s="169" t="s">
        <v>7264</v>
      </c>
      <c r="H166" s="319"/>
      <c r="I166" s="205" t="s">
        <v>7053</v>
      </c>
      <c r="J166" s="205" t="s">
        <v>281</v>
      </c>
      <c r="K166" s="318">
        <v>44560</v>
      </c>
      <c r="L166" s="321" t="s">
        <v>1699</v>
      </c>
      <c r="M166" s="318" t="s">
        <v>7513</v>
      </c>
      <c r="N166" s="321">
        <v>16</v>
      </c>
      <c r="O166" s="321">
        <v>7</v>
      </c>
      <c r="P166" s="320" t="s">
        <v>982</v>
      </c>
      <c r="Q166" s="322" t="s">
        <v>6180</v>
      </c>
      <c r="R166" s="323">
        <v>47604</v>
      </c>
      <c r="S166" s="323" t="s">
        <v>1084</v>
      </c>
    </row>
    <row r="167" spans="1:19" ht="42.75" customHeight="1" x14ac:dyDescent="0.25">
      <c r="A167" s="202">
        <v>5</v>
      </c>
      <c r="B167" s="23" t="s">
        <v>7514</v>
      </c>
      <c r="C167" s="230" t="s">
        <v>18</v>
      </c>
      <c r="D167" s="23" t="s">
        <v>1934</v>
      </c>
      <c r="E167" s="230">
        <v>25809</v>
      </c>
      <c r="F167" s="231" t="s">
        <v>7515</v>
      </c>
      <c r="G167" s="34" t="s">
        <v>7516</v>
      </c>
      <c r="H167" s="231"/>
      <c r="I167" s="205" t="s">
        <v>570</v>
      </c>
      <c r="J167" s="205" t="s">
        <v>281</v>
      </c>
      <c r="K167" s="230"/>
      <c r="L167" s="228" t="s">
        <v>1738</v>
      </c>
      <c r="M167" s="230">
        <v>40634</v>
      </c>
      <c r="N167" s="228">
        <v>12</v>
      </c>
      <c r="O167" s="228">
        <v>3</v>
      </c>
      <c r="P167" s="199" t="s">
        <v>376</v>
      </c>
      <c r="Q167" s="24" t="s">
        <v>7517</v>
      </c>
      <c r="R167" s="230">
        <v>46997</v>
      </c>
      <c r="S167" s="230">
        <v>41690</v>
      </c>
    </row>
    <row r="168" spans="1:19" ht="42.75" customHeight="1" x14ac:dyDescent="0.25">
      <c r="A168" s="228">
        <v>6</v>
      </c>
      <c r="B168" s="281" t="s">
        <v>7518</v>
      </c>
      <c r="C168" s="230" t="s">
        <v>18</v>
      </c>
      <c r="D168" s="24" t="s">
        <v>1536</v>
      </c>
      <c r="E168" s="230">
        <v>28492</v>
      </c>
      <c r="F168" s="231" t="s">
        <v>7519</v>
      </c>
      <c r="G168" s="34" t="s">
        <v>7520</v>
      </c>
      <c r="H168" s="231"/>
      <c r="I168" s="205" t="s">
        <v>570</v>
      </c>
      <c r="J168" s="205" t="s">
        <v>281</v>
      </c>
      <c r="K168" s="230"/>
      <c r="L168" s="228" t="s">
        <v>1699</v>
      </c>
      <c r="M168" s="230">
        <v>45383</v>
      </c>
      <c r="N168" s="228">
        <v>15</v>
      </c>
      <c r="O168" s="228">
        <v>3</v>
      </c>
      <c r="P168" s="281" t="s">
        <v>982</v>
      </c>
      <c r="Q168" s="281" t="s">
        <v>7521</v>
      </c>
      <c r="R168" s="229">
        <v>49706</v>
      </c>
      <c r="S168" s="229">
        <v>44013</v>
      </c>
    </row>
    <row r="169" spans="1:19" ht="42.75" customHeight="1" x14ac:dyDescent="0.25">
      <c r="A169" s="202">
        <v>7</v>
      </c>
      <c r="B169" s="281" t="s">
        <v>7522</v>
      </c>
      <c r="C169" s="230" t="s">
        <v>18</v>
      </c>
      <c r="D169" s="24" t="s">
        <v>1648</v>
      </c>
      <c r="E169" s="230">
        <v>24595</v>
      </c>
      <c r="F169" s="231" t="s">
        <v>7523</v>
      </c>
      <c r="G169" s="34" t="s">
        <v>7524</v>
      </c>
      <c r="H169" s="231"/>
      <c r="I169" s="205" t="s">
        <v>533</v>
      </c>
      <c r="J169" s="205" t="s">
        <v>281</v>
      </c>
      <c r="K169" s="230"/>
      <c r="L169" s="228" t="s">
        <v>1738</v>
      </c>
      <c r="M169" s="230">
        <v>44835</v>
      </c>
      <c r="N169" s="228">
        <v>23</v>
      </c>
      <c r="O169" s="228">
        <v>7</v>
      </c>
      <c r="P169" s="199" t="s">
        <v>376</v>
      </c>
      <c r="Q169" s="281" t="s">
        <v>7525</v>
      </c>
      <c r="R169" s="229">
        <v>45809</v>
      </c>
      <c r="S169" s="229">
        <v>43850</v>
      </c>
    </row>
    <row r="170" spans="1:19" ht="42.75" customHeight="1" x14ac:dyDescent="0.25">
      <c r="A170" s="228">
        <v>8</v>
      </c>
      <c r="B170" s="281" t="s">
        <v>7526</v>
      </c>
      <c r="C170" s="230" t="s">
        <v>18</v>
      </c>
      <c r="D170" s="24" t="s">
        <v>1489</v>
      </c>
      <c r="E170" s="230">
        <v>25997</v>
      </c>
      <c r="F170" s="231" t="s">
        <v>7527</v>
      </c>
      <c r="G170" s="169" t="s">
        <v>7528</v>
      </c>
      <c r="H170" s="231"/>
      <c r="I170" s="205" t="s">
        <v>7148</v>
      </c>
      <c r="J170" s="205" t="s">
        <v>281</v>
      </c>
      <c r="K170" s="200" t="s">
        <v>1084</v>
      </c>
      <c r="L170" s="228" t="s">
        <v>1738</v>
      </c>
      <c r="M170" s="230">
        <v>43556</v>
      </c>
      <c r="N170" s="228">
        <v>23</v>
      </c>
      <c r="O170" s="228">
        <v>1</v>
      </c>
      <c r="P170" s="199" t="s">
        <v>376</v>
      </c>
      <c r="Q170" s="281" t="s">
        <v>7529</v>
      </c>
      <c r="R170" s="229" t="s">
        <v>7530</v>
      </c>
      <c r="S170" s="229">
        <v>44562</v>
      </c>
    </row>
    <row r="171" spans="1:19" ht="42.75" customHeight="1" x14ac:dyDescent="0.25">
      <c r="A171" s="202">
        <v>9</v>
      </c>
      <c r="B171" s="23" t="s">
        <v>7531</v>
      </c>
      <c r="C171" s="230" t="s">
        <v>18</v>
      </c>
      <c r="D171" s="23" t="s">
        <v>1519</v>
      </c>
      <c r="E171" s="230">
        <v>26185</v>
      </c>
      <c r="F171" s="231" t="s">
        <v>7532</v>
      </c>
      <c r="G171" s="34" t="s">
        <v>7533</v>
      </c>
      <c r="H171" s="231"/>
      <c r="I171" s="205" t="s">
        <v>570</v>
      </c>
      <c r="J171" s="205" t="s">
        <v>281</v>
      </c>
      <c r="K171" s="230"/>
      <c r="L171" s="283" t="s">
        <v>1991</v>
      </c>
      <c r="M171" s="230">
        <v>41365</v>
      </c>
      <c r="N171" s="228">
        <v>15</v>
      </c>
      <c r="O171" s="228">
        <v>1</v>
      </c>
      <c r="P171" s="24" t="s">
        <v>460</v>
      </c>
      <c r="Q171" s="24">
        <v>1990</v>
      </c>
      <c r="R171" s="230">
        <v>47392</v>
      </c>
      <c r="S171" s="230">
        <v>40245</v>
      </c>
    </row>
    <row r="172" spans="1:19" ht="42.75" customHeight="1" x14ac:dyDescent="0.25">
      <c r="A172" s="228">
        <v>10</v>
      </c>
      <c r="B172" s="23" t="s">
        <v>7534</v>
      </c>
      <c r="C172" s="200" t="s">
        <v>46</v>
      </c>
      <c r="D172" s="23" t="s">
        <v>1725</v>
      </c>
      <c r="E172" s="230">
        <v>26060</v>
      </c>
      <c r="F172" s="231" t="s">
        <v>7535</v>
      </c>
      <c r="G172" s="34" t="s">
        <v>7536</v>
      </c>
      <c r="H172" s="231"/>
      <c r="I172" s="205" t="s">
        <v>6836</v>
      </c>
      <c r="J172" s="205" t="s">
        <v>281</v>
      </c>
      <c r="K172" s="230"/>
      <c r="L172" s="228" t="s">
        <v>1991</v>
      </c>
      <c r="M172" s="230">
        <v>40269</v>
      </c>
      <c r="N172" s="228">
        <v>14</v>
      </c>
      <c r="O172" s="228">
        <v>1</v>
      </c>
      <c r="P172" s="278" t="s">
        <v>750</v>
      </c>
      <c r="Q172" s="281" t="s">
        <v>7537</v>
      </c>
      <c r="R172" s="230">
        <v>47270</v>
      </c>
      <c r="S172" s="230">
        <v>44082</v>
      </c>
    </row>
    <row r="173" spans="1:19" ht="42.75" customHeight="1" x14ac:dyDescent="0.25">
      <c r="A173" s="202">
        <v>11</v>
      </c>
      <c r="B173" s="23" t="s">
        <v>7538</v>
      </c>
      <c r="C173" s="282" t="s">
        <v>18</v>
      </c>
      <c r="D173" s="23" t="s">
        <v>1555</v>
      </c>
      <c r="E173" s="229">
        <v>25976</v>
      </c>
      <c r="F173" s="231" t="s">
        <v>7539</v>
      </c>
      <c r="G173" s="34" t="s">
        <v>7540</v>
      </c>
      <c r="H173" s="231"/>
      <c r="I173" s="205" t="s">
        <v>80</v>
      </c>
      <c r="J173" s="205" t="s">
        <v>281</v>
      </c>
      <c r="K173" s="230"/>
      <c r="L173" s="228" t="s">
        <v>1991</v>
      </c>
      <c r="M173" s="230">
        <v>44287</v>
      </c>
      <c r="N173" s="228">
        <v>19</v>
      </c>
      <c r="O173" s="228">
        <v>5</v>
      </c>
      <c r="P173" s="278" t="s">
        <v>449</v>
      </c>
      <c r="Q173" s="281"/>
      <c r="R173" s="230">
        <v>47178</v>
      </c>
      <c r="S173" s="230">
        <v>45293</v>
      </c>
    </row>
    <row r="174" spans="1:19" ht="42.75" customHeight="1" x14ac:dyDescent="0.25">
      <c r="A174" s="228">
        <v>12</v>
      </c>
      <c r="B174" s="278" t="s">
        <v>7541</v>
      </c>
      <c r="C174" s="228" t="s">
        <v>18</v>
      </c>
      <c r="D174" s="23" t="s">
        <v>1934</v>
      </c>
      <c r="E174" s="228" t="s">
        <v>7542</v>
      </c>
      <c r="F174" s="231" t="s">
        <v>7543</v>
      </c>
      <c r="G174" s="34" t="s">
        <v>7544</v>
      </c>
      <c r="H174" s="231"/>
      <c r="I174" s="205" t="s">
        <v>7545</v>
      </c>
      <c r="J174" s="205" t="s">
        <v>281</v>
      </c>
      <c r="K174" s="230"/>
      <c r="L174" s="228" t="s">
        <v>2698</v>
      </c>
      <c r="M174" s="230">
        <v>45017</v>
      </c>
      <c r="N174" s="228">
        <v>26</v>
      </c>
      <c r="O174" s="228">
        <v>10</v>
      </c>
      <c r="P174" s="278" t="s">
        <v>430</v>
      </c>
      <c r="Q174" s="281" t="s">
        <v>7546</v>
      </c>
      <c r="R174" s="230">
        <v>46113</v>
      </c>
      <c r="S174" s="230">
        <v>39083</v>
      </c>
    </row>
    <row r="175" spans="1:19" ht="42.75" customHeight="1" x14ac:dyDescent="0.25">
      <c r="A175" s="202">
        <v>13</v>
      </c>
      <c r="B175" s="278" t="s">
        <v>7547</v>
      </c>
      <c r="C175" s="228" t="s">
        <v>18</v>
      </c>
      <c r="D175" s="23" t="s">
        <v>1934</v>
      </c>
      <c r="E175" s="228" t="s">
        <v>7548</v>
      </c>
      <c r="F175" s="231" t="s">
        <v>7549</v>
      </c>
      <c r="G175" s="34" t="s">
        <v>7550</v>
      </c>
      <c r="H175" s="231"/>
      <c r="I175" s="205" t="s">
        <v>80</v>
      </c>
      <c r="J175" s="205" t="s">
        <v>281</v>
      </c>
      <c r="K175" s="230"/>
      <c r="L175" s="228" t="s">
        <v>6889</v>
      </c>
      <c r="M175" s="229">
        <v>44287</v>
      </c>
      <c r="N175" s="283">
        <v>21</v>
      </c>
      <c r="O175" s="283">
        <v>10</v>
      </c>
      <c r="P175" s="278" t="s">
        <v>430</v>
      </c>
      <c r="Q175" s="281" t="s">
        <v>7551</v>
      </c>
      <c r="R175" s="230">
        <v>48030</v>
      </c>
      <c r="S175" s="230">
        <v>45170</v>
      </c>
    </row>
    <row r="176" spans="1:19" ht="42.75" customHeight="1" x14ac:dyDescent="0.25">
      <c r="A176" s="228">
        <v>14</v>
      </c>
      <c r="B176" s="278" t="s">
        <v>7552</v>
      </c>
      <c r="C176" s="228" t="s">
        <v>18</v>
      </c>
      <c r="D176" s="23" t="s">
        <v>1934</v>
      </c>
      <c r="E176" s="228" t="s">
        <v>7553</v>
      </c>
      <c r="F176" s="231" t="s">
        <v>7554</v>
      </c>
      <c r="G176" s="34" t="s">
        <v>7555</v>
      </c>
      <c r="H176" s="231"/>
      <c r="I176" s="205" t="s">
        <v>23</v>
      </c>
      <c r="J176" s="205" t="s">
        <v>281</v>
      </c>
      <c r="K176" s="230"/>
      <c r="L176" s="228" t="s">
        <v>7556</v>
      </c>
      <c r="M176" s="230">
        <v>44835</v>
      </c>
      <c r="N176" s="228">
        <v>31</v>
      </c>
      <c r="O176" s="228">
        <v>7</v>
      </c>
      <c r="P176" s="278" t="s">
        <v>7557</v>
      </c>
      <c r="Q176" s="281" t="s">
        <v>7558</v>
      </c>
      <c r="R176" s="230">
        <v>46327</v>
      </c>
      <c r="S176" s="230">
        <v>43049</v>
      </c>
    </row>
    <row r="177" spans="1:26" ht="42.75" customHeight="1" x14ac:dyDescent="0.25">
      <c r="A177" s="202">
        <v>15</v>
      </c>
      <c r="B177" s="12" t="s">
        <v>7559</v>
      </c>
      <c r="C177" s="5" t="s">
        <v>18</v>
      </c>
      <c r="D177" s="12" t="s">
        <v>2837</v>
      </c>
      <c r="E177" s="150">
        <v>33997</v>
      </c>
      <c r="F177" s="20" t="s">
        <v>7560</v>
      </c>
      <c r="G177" s="34" t="s">
        <v>7561</v>
      </c>
      <c r="H177" s="231"/>
      <c r="I177" s="205" t="s">
        <v>570</v>
      </c>
      <c r="J177" s="205" t="s">
        <v>281</v>
      </c>
      <c r="K177" s="230"/>
      <c r="L177" s="228" t="s">
        <v>1991</v>
      </c>
      <c r="M177" s="230">
        <v>45627</v>
      </c>
      <c r="N177" s="228">
        <v>4</v>
      </c>
      <c r="O177" s="228">
        <v>0</v>
      </c>
      <c r="P177" s="199" t="s">
        <v>376</v>
      </c>
      <c r="Q177" s="11" t="s">
        <v>7562</v>
      </c>
      <c r="R177" s="230">
        <v>55185</v>
      </c>
      <c r="S177" s="230">
        <v>44209</v>
      </c>
    </row>
    <row r="178" spans="1:26" ht="42.75" customHeight="1" x14ac:dyDescent="0.25">
      <c r="A178" s="228">
        <v>16</v>
      </c>
      <c r="B178" s="12" t="s">
        <v>7563</v>
      </c>
      <c r="C178" s="200" t="s">
        <v>46</v>
      </c>
      <c r="D178" s="12" t="s">
        <v>7564</v>
      </c>
      <c r="E178" s="150">
        <v>34961</v>
      </c>
      <c r="F178" s="20" t="s">
        <v>7565</v>
      </c>
      <c r="G178" s="34" t="s">
        <v>7566</v>
      </c>
      <c r="H178" s="231"/>
      <c r="I178" s="205" t="s">
        <v>7567</v>
      </c>
      <c r="J178" s="205" t="s">
        <v>281</v>
      </c>
      <c r="K178" s="230"/>
      <c r="L178" s="228" t="s">
        <v>6896</v>
      </c>
      <c r="M178" s="230">
        <v>43891</v>
      </c>
      <c r="N178" s="228">
        <v>0</v>
      </c>
      <c r="O178" s="228">
        <v>0</v>
      </c>
      <c r="P178" s="23" t="s">
        <v>389</v>
      </c>
      <c r="Q178" s="11" t="s">
        <v>7568</v>
      </c>
      <c r="R178" s="230">
        <v>56158</v>
      </c>
      <c r="S178" s="230">
        <v>44621</v>
      </c>
    </row>
    <row r="179" spans="1:26" ht="42.75" customHeight="1" x14ac:dyDescent="0.25">
      <c r="A179" s="293" t="s">
        <v>7569</v>
      </c>
      <c r="B179" s="278"/>
      <c r="C179" s="228"/>
      <c r="D179" s="23"/>
      <c r="E179" s="228"/>
      <c r="F179" s="295"/>
      <c r="G179" s="278"/>
      <c r="H179" s="295"/>
      <c r="I179" s="283"/>
      <c r="J179" s="228"/>
      <c r="K179" s="230"/>
      <c r="L179" s="228"/>
      <c r="M179" s="324"/>
      <c r="N179" s="228"/>
      <c r="O179" s="228"/>
      <c r="P179" s="278"/>
      <c r="Q179" s="281"/>
      <c r="R179" s="230"/>
      <c r="S179" s="230"/>
      <c r="T179" s="19"/>
      <c r="U179" s="19"/>
      <c r="V179" s="19"/>
      <c r="W179" s="19"/>
      <c r="X179" s="19"/>
      <c r="Y179" s="19"/>
      <c r="Z179" s="19"/>
    </row>
    <row r="180" spans="1:26" ht="42.75" customHeight="1" x14ac:dyDescent="0.25">
      <c r="A180" s="202">
        <v>1</v>
      </c>
      <c r="B180" s="23" t="s">
        <v>7570</v>
      </c>
      <c r="C180" s="230" t="s">
        <v>18</v>
      </c>
      <c r="D180" s="23" t="s">
        <v>3300</v>
      </c>
      <c r="E180" s="230">
        <v>27995</v>
      </c>
      <c r="F180" s="231" t="s">
        <v>7571</v>
      </c>
      <c r="G180" s="231"/>
      <c r="H180" s="231"/>
      <c r="I180" s="205" t="s">
        <v>7572</v>
      </c>
      <c r="J180" s="205" t="s">
        <v>58</v>
      </c>
      <c r="K180" s="200">
        <v>45583</v>
      </c>
      <c r="L180" s="228" t="s">
        <v>1558</v>
      </c>
      <c r="M180" s="324">
        <v>45017</v>
      </c>
      <c r="N180" s="228">
        <v>22</v>
      </c>
      <c r="O180" s="228">
        <v>4</v>
      </c>
      <c r="P180" s="278" t="s">
        <v>982</v>
      </c>
      <c r="Q180" s="281" t="s">
        <v>7573</v>
      </c>
      <c r="R180" s="230" t="s">
        <v>7574</v>
      </c>
      <c r="S180" s="230" t="s">
        <v>1084</v>
      </c>
    </row>
    <row r="181" spans="1:26" ht="42.75" customHeight="1" x14ac:dyDescent="0.25">
      <c r="A181" s="202">
        <v>2</v>
      </c>
      <c r="B181" s="23" t="s">
        <v>7575</v>
      </c>
      <c r="C181" s="200" t="s">
        <v>46</v>
      </c>
      <c r="D181" s="23" t="s">
        <v>1648</v>
      </c>
      <c r="E181" s="230">
        <v>30283</v>
      </c>
      <c r="F181" s="231" t="s">
        <v>7576</v>
      </c>
      <c r="G181" s="169" t="s">
        <v>7577</v>
      </c>
      <c r="H181" s="231"/>
      <c r="I181" s="205" t="s">
        <v>6810</v>
      </c>
      <c r="J181" s="205" t="s">
        <v>58</v>
      </c>
      <c r="K181" s="200">
        <v>44560</v>
      </c>
      <c r="L181" s="228" t="s">
        <v>1699</v>
      </c>
      <c r="M181" s="230">
        <v>44287</v>
      </c>
      <c r="N181" s="228">
        <v>16</v>
      </c>
      <c r="O181" s="228">
        <v>3</v>
      </c>
      <c r="P181" s="278" t="s">
        <v>982</v>
      </c>
      <c r="Q181" s="281" t="s">
        <v>7578</v>
      </c>
      <c r="R181" s="230">
        <v>51471</v>
      </c>
      <c r="S181" s="230" t="s">
        <v>1084</v>
      </c>
    </row>
    <row r="182" spans="1:26" ht="42.75" customHeight="1" x14ac:dyDescent="0.25">
      <c r="A182" s="202">
        <v>3</v>
      </c>
      <c r="B182" s="278" t="s">
        <v>7579</v>
      </c>
      <c r="C182" s="200" t="s">
        <v>46</v>
      </c>
      <c r="D182" s="23" t="s">
        <v>1934</v>
      </c>
      <c r="E182" s="229">
        <v>27150</v>
      </c>
      <c r="F182" s="231" t="s">
        <v>7580</v>
      </c>
      <c r="G182" s="34" t="s">
        <v>7581</v>
      </c>
      <c r="H182" s="231"/>
      <c r="I182" s="205" t="s">
        <v>80</v>
      </c>
      <c r="J182" s="205" t="s">
        <v>58</v>
      </c>
      <c r="K182" s="200"/>
      <c r="L182" s="228" t="s">
        <v>1699</v>
      </c>
      <c r="M182" s="325">
        <v>45017</v>
      </c>
      <c r="N182" s="228">
        <v>21</v>
      </c>
      <c r="O182" s="228">
        <v>4</v>
      </c>
      <c r="P182" s="228" t="s">
        <v>982</v>
      </c>
      <c r="Q182" s="326" t="s">
        <v>7582</v>
      </c>
      <c r="R182" s="229">
        <v>48366</v>
      </c>
      <c r="S182" s="230">
        <v>45453</v>
      </c>
    </row>
    <row r="183" spans="1:26" ht="42.75" customHeight="1" x14ac:dyDescent="0.25">
      <c r="A183" s="202">
        <v>4</v>
      </c>
      <c r="B183" s="23" t="s">
        <v>7583</v>
      </c>
      <c r="C183" s="200" t="s">
        <v>46</v>
      </c>
      <c r="D183" s="23" t="s">
        <v>1950</v>
      </c>
      <c r="E183" s="230">
        <v>24753</v>
      </c>
      <c r="F183" s="231" t="s">
        <v>7584</v>
      </c>
      <c r="G183" s="34" t="s">
        <v>7585</v>
      </c>
      <c r="H183" s="231"/>
      <c r="I183" s="205" t="s">
        <v>570</v>
      </c>
      <c r="J183" s="205" t="s">
        <v>58</v>
      </c>
      <c r="K183" s="230"/>
      <c r="L183" s="228" t="s">
        <v>1738</v>
      </c>
      <c r="M183" s="230">
        <v>41000</v>
      </c>
      <c r="N183" s="228">
        <v>12</v>
      </c>
      <c r="O183" s="228">
        <v>1</v>
      </c>
      <c r="P183" s="199" t="s">
        <v>376</v>
      </c>
      <c r="Q183" s="24" t="s">
        <v>7586</v>
      </c>
      <c r="R183" s="230" t="s">
        <v>7587</v>
      </c>
      <c r="S183" s="230">
        <v>43720</v>
      </c>
    </row>
    <row r="184" spans="1:26" ht="42.75" customHeight="1" x14ac:dyDescent="0.25">
      <c r="A184" s="202">
        <v>5</v>
      </c>
      <c r="B184" s="281" t="s">
        <v>7588</v>
      </c>
      <c r="C184" s="200" t="s">
        <v>46</v>
      </c>
      <c r="D184" s="24" t="s">
        <v>7589</v>
      </c>
      <c r="E184" s="230">
        <v>31005</v>
      </c>
      <c r="F184" s="231" t="s">
        <v>7590</v>
      </c>
      <c r="G184" s="34" t="s">
        <v>7591</v>
      </c>
      <c r="H184" s="231"/>
      <c r="I184" s="205" t="s">
        <v>570</v>
      </c>
      <c r="J184" s="205" t="s">
        <v>58</v>
      </c>
      <c r="K184" s="230"/>
      <c r="L184" s="228" t="s">
        <v>1738</v>
      </c>
      <c r="M184" s="230">
        <v>44105</v>
      </c>
      <c r="N184" s="228">
        <v>12</v>
      </c>
      <c r="O184" s="228">
        <v>9</v>
      </c>
      <c r="P184" s="199" t="s">
        <v>376</v>
      </c>
      <c r="Q184" s="281" t="s">
        <v>7592</v>
      </c>
      <c r="R184" s="229">
        <v>52201</v>
      </c>
      <c r="S184" s="229">
        <v>39692</v>
      </c>
    </row>
    <row r="185" spans="1:26" ht="42.75" customHeight="1" x14ac:dyDescent="0.25">
      <c r="A185" s="202">
        <v>6</v>
      </c>
      <c r="B185" s="281" t="s">
        <v>7593</v>
      </c>
      <c r="C185" s="230" t="s">
        <v>18</v>
      </c>
      <c r="D185" s="24" t="s">
        <v>1489</v>
      </c>
      <c r="E185" s="230">
        <v>24654</v>
      </c>
      <c r="F185" s="231" t="s">
        <v>7594</v>
      </c>
      <c r="G185" s="34" t="s">
        <v>7595</v>
      </c>
      <c r="H185" s="231"/>
      <c r="I185" s="205" t="s">
        <v>6836</v>
      </c>
      <c r="J185" s="205" t="s">
        <v>58</v>
      </c>
      <c r="K185" s="230"/>
      <c r="L185" s="228" t="s">
        <v>1738</v>
      </c>
      <c r="M185" s="230" t="s">
        <v>3978</v>
      </c>
      <c r="N185" s="228">
        <v>22</v>
      </c>
      <c r="O185" s="228">
        <v>11</v>
      </c>
      <c r="P185" s="199" t="s">
        <v>376</v>
      </c>
      <c r="Q185" s="281" t="s">
        <v>7596</v>
      </c>
      <c r="R185" s="229">
        <v>45870</v>
      </c>
      <c r="S185" s="229">
        <v>44562</v>
      </c>
    </row>
    <row r="186" spans="1:26" ht="42.75" customHeight="1" x14ac:dyDescent="0.25">
      <c r="A186" s="202">
        <v>7</v>
      </c>
      <c r="B186" s="278" t="s">
        <v>7597</v>
      </c>
      <c r="C186" s="228" t="s">
        <v>18</v>
      </c>
      <c r="D186" s="23" t="s">
        <v>1479</v>
      </c>
      <c r="E186" s="229">
        <v>26707</v>
      </c>
      <c r="F186" s="231" t="s">
        <v>7598</v>
      </c>
      <c r="G186" s="34" t="s">
        <v>7599</v>
      </c>
      <c r="H186" s="231"/>
      <c r="I186" s="205" t="s">
        <v>7600</v>
      </c>
      <c r="J186" s="205" t="s">
        <v>58</v>
      </c>
      <c r="K186" s="200"/>
      <c r="L186" s="228" t="s">
        <v>1738</v>
      </c>
      <c r="M186" s="230">
        <v>45566</v>
      </c>
      <c r="N186" s="228">
        <v>24</v>
      </c>
      <c r="O186" s="228">
        <v>7</v>
      </c>
      <c r="P186" s="199" t="s">
        <v>376</v>
      </c>
      <c r="Q186" s="326" t="s">
        <v>7601</v>
      </c>
      <c r="R186" s="229">
        <v>47908</v>
      </c>
      <c r="S186" s="230">
        <v>42430</v>
      </c>
      <c r="T186" s="19"/>
      <c r="U186" s="19"/>
      <c r="V186" s="19"/>
      <c r="W186" s="19"/>
      <c r="X186" s="19"/>
      <c r="Y186" s="19"/>
      <c r="Z186" s="19"/>
    </row>
    <row r="187" spans="1:26" ht="42.75" customHeight="1" x14ac:dyDescent="0.25">
      <c r="A187" s="202">
        <v>8</v>
      </c>
      <c r="B187" s="281" t="s">
        <v>7602</v>
      </c>
      <c r="C187" s="230" t="s">
        <v>18</v>
      </c>
      <c r="D187" s="24" t="s">
        <v>1934</v>
      </c>
      <c r="E187" s="230">
        <v>24599</v>
      </c>
      <c r="F187" s="231" t="s">
        <v>7603</v>
      </c>
      <c r="G187" s="34" t="s">
        <v>7604</v>
      </c>
      <c r="H187" s="231"/>
      <c r="I187" s="205" t="s">
        <v>7605</v>
      </c>
      <c r="J187" s="205" t="s">
        <v>58</v>
      </c>
      <c r="K187" s="230"/>
      <c r="L187" s="228" t="s">
        <v>1717</v>
      </c>
      <c r="M187" s="230">
        <v>44470</v>
      </c>
      <c r="N187" s="228">
        <v>26</v>
      </c>
      <c r="O187" s="228">
        <v>0</v>
      </c>
      <c r="P187" s="199" t="s">
        <v>376</v>
      </c>
      <c r="Q187" s="281" t="s">
        <v>7606</v>
      </c>
      <c r="R187" s="229">
        <v>45809</v>
      </c>
      <c r="S187" s="229">
        <v>38777</v>
      </c>
    </row>
    <row r="188" spans="1:26" ht="42.75" customHeight="1" x14ac:dyDescent="0.25">
      <c r="A188" s="202">
        <v>9</v>
      </c>
      <c r="B188" s="281" t="s">
        <v>7607</v>
      </c>
      <c r="C188" s="200" t="s">
        <v>46</v>
      </c>
      <c r="D188" s="24" t="s">
        <v>1575</v>
      </c>
      <c r="E188" s="230">
        <v>31475</v>
      </c>
      <c r="F188" s="231" t="s">
        <v>7608</v>
      </c>
      <c r="G188" s="231" t="s">
        <v>7609</v>
      </c>
      <c r="H188" s="231"/>
      <c r="I188" s="205" t="s">
        <v>7610</v>
      </c>
      <c r="J188" s="205" t="s">
        <v>58</v>
      </c>
      <c r="K188" s="230"/>
      <c r="L188" s="228" t="s">
        <v>1738</v>
      </c>
      <c r="M188" s="230">
        <v>45017</v>
      </c>
      <c r="N188" s="228" t="s">
        <v>1084</v>
      </c>
      <c r="O188" s="228" t="s">
        <v>1084</v>
      </c>
      <c r="P188" s="199" t="s">
        <v>376</v>
      </c>
      <c r="Q188" s="281" t="s">
        <v>7611</v>
      </c>
      <c r="R188" s="229">
        <v>52688</v>
      </c>
      <c r="S188" s="229">
        <v>45474</v>
      </c>
    </row>
    <row r="189" spans="1:26" ht="42.75" customHeight="1" x14ac:dyDescent="0.25">
      <c r="A189" s="228">
        <v>3</v>
      </c>
      <c r="B189" s="281" t="s">
        <v>7612</v>
      </c>
      <c r="C189" s="200" t="s">
        <v>46</v>
      </c>
      <c r="D189" s="24" t="s">
        <v>1860</v>
      </c>
      <c r="E189" s="230">
        <v>29460</v>
      </c>
      <c r="F189" s="231" t="s">
        <v>7613</v>
      </c>
      <c r="G189" s="34" t="s">
        <v>7614</v>
      </c>
      <c r="H189" s="231"/>
      <c r="I189" s="205" t="s">
        <v>1084</v>
      </c>
      <c r="J189" s="205" t="s">
        <v>58</v>
      </c>
      <c r="K189" s="230"/>
      <c r="L189" s="228" t="s">
        <v>1738</v>
      </c>
      <c r="M189" s="229">
        <v>44287</v>
      </c>
      <c r="N189" s="228">
        <v>12</v>
      </c>
      <c r="O189" s="228">
        <v>3</v>
      </c>
      <c r="P189" s="199" t="s">
        <v>376</v>
      </c>
      <c r="Q189" s="281" t="s">
        <v>7615</v>
      </c>
      <c r="R189" s="229">
        <v>50649</v>
      </c>
      <c r="S189" s="230">
        <v>45519</v>
      </c>
    </row>
    <row r="190" spans="1:26" ht="42.75" customHeight="1" x14ac:dyDescent="0.25">
      <c r="A190" s="202">
        <v>10</v>
      </c>
      <c r="B190" s="281" t="s">
        <v>7616</v>
      </c>
      <c r="C190" s="229" t="s">
        <v>18</v>
      </c>
      <c r="D190" s="24" t="s">
        <v>1934</v>
      </c>
      <c r="E190" s="229">
        <v>25121</v>
      </c>
      <c r="F190" s="231" t="s">
        <v>7617</v>
      </c>
      <c r="G190" s="34" t="s">
        <v>7618</v>
      </c>
      <c r="H190" s="231"/>
      <c r="I190" s="205" t="s">
        <v>7148</v>
      </c>
      <c r="J190" s="205" t="s">
        <v>58</v>
      </c>
      <c r="K190" s="229"/>
      <c r="L190" s="283" t="s">
        <v>1991</v>
      </c>
      <c r="M190" s="229">
        <v>41730</v>
      </c>
      <c r="N190" s="283">
        <v>17</v>
      </c>
      <c r="O190" s="283">
        <v>10</v>
      </c>
      <c r="P190" s="281" t="s">
        <v>460</v>
      </c>
      <c r="Q190" s="281"/>
      <c r="R190" s="229">
        <v>46327</v>
      </c>
      <c r="S190" s="229">
        <v>40819</v>
      </c>
    </row>
    <row r="191" spans="1:26" ht="42.75" customHeight="1" x14ac:dyDescent="0.25">
      <c r="A191" s="202">
        <v>11</v>
      </c>
      <c r="B191" s="278" t="s">
        <v>7619</v>
      </c>
      <c r="C191" s="200" t="s">
        <v>46</v>
      </c>
      <c r="D191" s="23" t="s">
        <v>1934</v>
      </c>
      <c r="E191" s="228" t="s">
        <v>7620</v>
      </c>
      <c r="F191" s="231" t="s">
        <v>7621</v>
      </c>
      <c r="G191" s="34" t="s">
        <v>7622</v>
      </c>
      <c r="H191" s="231"/>
      <c r="I191" s="205" t="s">
        <v>570</v>
      </c>
      <c r="J191" s="205" t="s">
        <v>58</v>
      </c>
      <c r="K191" s="230"/>
      <c r="L191" s="228" t="s">
        <v>2698</v>
      </c>
      <c r="M191" s="230">
        <v>45017</v>
      </c>
      <c r="N191" s="228">
        <v>19</v>
      </c>
      <c r="O191" s="228">
        <v>11</v>
      </c>
      <c r="P191" s="278" t="s">
        <v>460</v>
      </c>
      <c r="Q191" s="281" t="s">
        <v>7117</v>
      </c>
      <c r="R191" s="230">
        <v>46082</v>
      </c>
      <c r="S191" s="230">
        <v>42919</v>
      </c>
    </row>
    <row r="192" spans="1:26" ht="42.75" customHeight="1" x14ac:dyDescent="0.25">
      <c r="A192" s="202">
        <v>12</v>
      </c>
      <c r="B192" s="278" t="s">
        <v>7623</v>
      </c>
      <c r="C192" s="228" t="s">
        <v>18</v>
      </c>
      <c r="D192" s="23" t="s">
        <v>2103</v>
      </c>
      <c r="E192" s="228" t="s">
        <v>7624</v>
      </c>
      <c r="F192" s="231" t="s">
        <v>7625</v>
      </c>
      <c r="G192" s="34" t="s">
        <v>7626</v>
      </c>
      <c r="H192" s="231"/>
      <c r="I192" s="205" t="s">
        <v>7627</v>
      </c>
      <c r="J192" s="205" t="s">
        <v>58</v>
      </c>
      <c r="K192" s="230"/>
      <c r="L192" s="228" t="s">
        <v>2698</v>
      </c>
      <c r="M192" s="230">
        <v>44166</v>
      </c>
      <c r="N192" s="228">
        <v>0</v>
      </c>
      <c r="O192" s="228">
        <v>0</v>
      </c>
      <c r="P192" s="199" t="s">
        <v>376</v>
      </c>
      <c r="Q192" s="281" t="s">
        <v>7628</v>
      </c>
      <c r="R192" s="230">
        <v>52718</v>
      </c>
      <c r="S192" s="230">
        <v>44209</v>
      </c>
    </row>
    <row r="193" spans="1:19" ht="42.75" customHeight="1" x14ac:dyDescent="0.25">
      <c r="A193" s="202">
        <v>13</v>
      </c>
      <c r="B193" s="278" t="s">
        <v>7629</v>
      </c>
      <c r="C193" s="228" t="s">
        <v>18</v>
      </c>
      <c r="D193" s="23" t="s">
        <v>1934</v>
      </c>
      <c r="E193" s="228" t="s">
        <v>7630</v>
      </c>
      <c r="F193" s="231" t="s">
        <v>7631</v>
      </c>
      <c r="G193" s="34" t="s">
        <v>7632</v>
      </c>
      <c r="H193" s="231"/>
      <c r="I193" s="205" t="s">
        <v>943</v>
      </c>
      <c r="J193" s="205" t="s">
        <v>58</v>
      </c>
      <c r="K193" s="230"/>
      <c r="L193" s="228" t="s">
        <v>6889</v>
      </c>
      <c r="M193" s="230" t="s">
        <v>4909</v>
      </c>
      <c r="N193" s="228">
        <v>23</v>
      </c>
      <c r="O193" s="228">
        <v>11</v>
      </c>
      <c r="P193" s="278" t="s">
        <v>449</v>
      </c>
      <c r="Q193" s="24">
        <v>1994</v>
      </c>
      <c r="R193" s="230">
        <v>49035</v>
      </c>
      <c r="S193" s="230">
        <v>44593</v>
      </c>
    </row>
    <row r="194" spans="1:19" ht="42.75" customHeight="1" x14ac:dyDescent="0.25">
      <c r="A194" s="202">
        <v>14</v>
      </c>
      <c r="B194" s="278" t="s">
        <v>7633</v>
      </c>
      <c r="C194" s="228" t="s">
        <v>18</v>
      </c>
      <c r="D194" s="23" t="s">
        <v>1648</v>
      </c>
      <c r="E194" s="228" t="s">
        <v>7634</v>
      </c>
      <c r="F194" s="231" t="s">
        <v>7635</v>
      </c>
      <c r="G194" s="34" t="s">
        <v>7636</v>
      </c>
      <c r="H194" s="231"/>
      <c r="I194" s="205" t="s">
        <v>80</v>
      </c>
      <c r="J194" s="205" t="s">
        <v>58</v>
      </c>
      <c r="K194" s="230"/>
      <c r="L194" s="228" t="s">
        <v>6889</v>
      </c>
      <c r="M194" s="229">
        <v>44287</v>
      </c>
      <c r="N194" s="283">
        <v>21</v>
      </c>
      <c r="O194" s="283">
        <v>10</v>
      </c>
      <c r="P194" s="278" t="s">
        <v>7007</v>
      </c>
      <c r="Q194" s="281" t="s">
        <v>7159</v>
      </c>
      <c r="R194" s="230">
        <v>46539</v>
      </c>
      <c r="S194" s="230">
        <v>40179</v>
      </c>
    </row>
    <row r="195" spans="1:19" ht="42.75" customHeight="1" x14ac:dyDescent="0.25">
      <c r="A195" s="202">
        <v>15</v>
      </c>
      <c r="B195" s="278" t="s">
        <v>7637</v>
      </c>
      <c r="C195" s="228" t="s">
        <v>18</v>
      </c>
      <c r="D195" s="23" t="s">
        <v>1648</v>
      </c>
      <c r="E195" s="228" t="s">
        <v>7638</v>
      </c>
      <c r="F195" s="231" t="s">
        <v>7639</v>
      </c>
      <c r="G195" s="34" t="s">
        <v>7640</v>
      </c>
      <c r="H195" s="231"/>
      <c r="I195" s="205" t="s">
        <v>570</v>
      </c>
      <c r="J195" s="24" t="s">
        <v>58</v>
      </c>
      <c r="K195" s="230"/>
      <c r="L195" s="228" t="s">
        <v>6889</v>
      </c>
      <c r="M195" s="229">
        <v>44470</v>
      </c>
      <c r="N195" s="283">
        <v>17</v>
      </c>
      <c r="O195" s="283">
        <v>6</v>
      </c>
      <c r="P195" s="278" t="s">
        <v>460</v>
      </c>
      <c r="Q195" s="281" t="s">
        <v>7641</v>
      </c>
      <c r="R195" s="230">
        <v>48823</v>
      </c>
      <c r="S195" s="230">
        <v>45293</v>
      </c>
    </row>
    <row r="196" spans="1:19" ht="42.75" customHeight="1" x14ac:dyDescent="0.25">
      <c r="A196" s="202">
        <v>16</v>
      </c>
      <c r="B196" s="278" t="s">
        <v>7642</v>
      </c>
      <c r="C196" s="228" t="s">
        <v>18</v>
      </c>
      <c r="D196" s="23" t="s">
        <v>1934</v>
      </c>
      <c r="E196" s="228" t="s">
        <v>7643</v>
      </c>
      <c r="F196" s="231" t="s">
        <v>7644</v>
      </c>
      <c r="G196" s="34" t="s">
        <v>7645</v>
      </c>
      <c r="H196" s="231"/>
      <c r="I196" s="327" t="s">
        <v>6980</v>
      </c>
      <c r="J196" s="24" t="s">
        <v>58</v>
      </c>
      <c r="K196" s="230"/>
      <c r="L196" s="228" t="s">
        <v>6889</v>
      </c>
      <c r="M196" s="229">
        <v>44470</v>
      </c>
      <c r="N196" s="283">
        <v>20</v>
      </c>
      <c r="O196" s="283">
        <v>5</v>
      </c>
      <c r="P196" s="278" t="s">
        <v>430</v>
      </c>
      <c r="Q196" s="281"/>
      <c r="R196" s="230">
        <v>47939</v>
      </c>
      <c r="S196" s="230">
        <v>45446</v>
      </c>
    </row>
    <row r="197" spans="1:19" ht="42.75" customHeight="1" x14ac:dyDescent="0.25">
      <c r="A197" s="202">
        <v>17</v>
      </c>
      <c r="B197" s="278" t="s">
        <v>7646</v>
      </c>
      <c r="C197" s="228" t="s">
        <v>18</v>
      </c>
      <c r="D197" s="23" t="s">
        <v>1942</v>
      </c>
      <c r="E197" s="228" t="s">
        <v>7647</v>
      </c>
      <c r="F197" s="231" t="s">
        <v>7648</v>
      </c>
      <c r="G197" s="34" t="s">
        <v>7649</v>
      </c>
      <c r="H197" s="231"/>
      <c r="I197" s="205" t="s">
        <v>274</v>
      </c>
      <c r="J197" s="205" t="s">
        <v>58</v>
      </c>
      <c r="K197" s="230"/>
      <c r="L197" s="228" t="s">
        <v>6896</v>
      </c>
      <c r="M197" s="230" t="s">
        <v>7650</v>
      </c>
      <c r="N197" s="228">
        <v>18</v>
      </c>
      <c r="O197" s="228">
        <v>9</v>
      </c>
      <c r="P197" s="278" t="s">
        <v>460</v>
      </c>
      <c r="Q197" s="281" t="s">
        <v>418</v>
      </c>
      <c r="R197" s="230">
        <v>49827</v>
      </c>
      <c r="S197" s="230">
        <v>44593</v>
      </c>
    </row>
    <row r="198" spans="1:19" ht="42.75" customHeight="1" x14ac:dyDescent="0.25">
      <c r="A198" s="293" t="s">
        <v>7651</v>
      </c>
      <c r="B198" s="293"/>
      <c r="C198" s="294"/>
      <c r="D198" s="293"/>
      <c r="E198" s="228"/>
      <c r="F198" s="295"/>
      <c r="G198" s="89"/>
      <c r="H198" s="295"/>
      <c r="I198" s="283"/>
      <c r="J198" s="228"/>
      <c r="K198" s="230"/>
      <c r="L198" s="228"/>
      <c r="M198" s="230"/>
      <c r="N198" s="228"/>
      <c r="O198" s="228"/>
      <c r="P198" s="278"/>
      <c r="Q198" s="281"/>
      <c r="R198" s="230"/>
      <c r="S198" s="230"/>
    </row>
    <row r="199" spans="1:19" ht="42.75" customHeight="1" x14ac:dyDescent="0.25">
      <c r="A199" s="202">
        <v>1</v>
      </c>
      <c r="B199" s="199" t="s">
        <v>7652</v>
      </c>
      <c r="C199" s="200" t="s">
        <v>18</v>
      </c>
      <c r="D199" s="199" t="s">
        <v>7653</v>
      </c>
      <c r="E199" s="200">
        <v>27679</v>
      </c>
      <c r="F199" s="201" t="s">
        <v>7654</v>
      </c>
      <c r="G199" s="169" t="s">
        <v>7655</v>
      </c>
      <c r="H199" s="201"/>
      <c r="I199" s="205" t="s">
        <v>7656</v>
      </c>
      <c r="J199" s="205" t="s">
        <v>66</v>
      </c>
      <c r="K199" s="200">
        <v>44974</v>
      </c>
      <c r="L199" s="202" t="s">
        <v>1558</v>
      </c>
      <c r="M199" s="200" t="s">
        <v>3190</v>
      </c>
      <c r="N199" s="202">
        <v>21</v>
      </c>
      <c r="O199" s="202">
        <v>1</v>
      </c>
      <c r="P199" s="199" t="s">
        <v>982</v>
      </c>
      <c r="Q199" s="205" t="s">
        <v>7657</v>
      </c>
      <c r="R199" s="200">
        <v>48884</v>
      </c>
      <c r="S199" s="200" t="s">
        <v>1084</v>
      </c>
    </row>
    <row r="200" spans="1:19" ht="42.75" customHeight="1" x14ac:dyDescent="0.25">
      <c r="A200" s="202">
        <v>2</v>
      </c>
      <c r="B200" s="199" t="s">
        <v>7658</v>
      </c>
      <c r="C200" s="200" t="s">
        <v>46</v>
      </c>
      <c r="D200" s="199" t="s">
        <v>1536</v>
      </c>
      <c r="E200" s="200">
        <v>23785</v>
      </c>
      <c r="F200" s="201" t="s">
        <v>7659</v>
      </c>
      <c r="G200" s="169" t="s">
        <v>7660</v>
      </c>
      <c r="H200" s="201"/>
      <c r="I200" s="205" t="s">
        <v>6799</v>
      </c>
      <c r="J200" s="199" t="s">
        <v>7661</v>
      </c>
      <c r="K200" s="200">
        <v>44183</v>
      </c>
      <c r="L200" s="202" t="s">
        <v>1558</v>
      </c>
      <c r="M200" s="200">
        <v>40634</v>
      </c>
      <c r="N200" s="202">
        <v>20</v>
      </c>
      <c r="O200" s="202">
        <v>2</v>
      </c>
      <c r="P200" s="232" t="s">
        <v>982</v>
      </c>
      <c r="Q200" s="205" t="s">
        <v>7662</v>
      </c>
      <c r="R200" s="200">
        <v>45717</v>
      </c>
      <c r="S200" s="200"/>
    </row>
    <row r="201" spans="1:19" ht="42.75" customHeight="1" x14ac:dyDescent="0.25">
      <c r="A201" s="202">
        <v>3</v>
      </c>
      <c r="B201" s="199" t="s">
        <v>7663</v>
      </c>
      <c r="C201" s="200" t="s">
        <v>46</v>
      </c>
      <c r="D201" s="199" t="s">
        <v>2428</v>
      </c>
      <c r="E201" s="200">
        <v>24640</v>
      </c>
      <c r="F201" s="201" t="s">
        <v>7664</v>
      </c>
      <c r="G201" s="169" t="s">
        <v>7665</v>
      </c>
      <c r="H201" s="201"/>
      <c r="I201" s="205" t="s">
        <v>7053</v>
      </c>
      <c r="J201" s="205" t="s">
        <v>66</v>
      </c>
      <c r="K201" s="200">
        <v>44560</v>
      </c>
      <c r="L201" s="202" t="s">
        <v>1738</v>
      </c>
      <c r="M201" s="200">
        <v>39539</v>
      </c>
      <c r="N201" s="202">
        <v>12</v>
      </c>
      <c r="O201" s="202">
        <v>1</v>
      </c>
      <c r="P201" s="199" t="s">
        <v>376</v>
      </c>
      <c r="Q201" s="48" t="s">
        <v>7666</v>
      </c>
      <c r="R201" s="200">
        <v>45839</v>
      </c>
      <c r="S201" s="200" t="s">
        <v>1084</v>
      </c>
    </row>
    <row r="202" spans="1:19" ht="42.75" customHeight="1" x14ac:dyDescent="0.25">
      <c r="A202" s="202">
        <v>4</v>
      </c>
      <c r="B202" s="23" t="s">
        <v>7667</v>
      </c>
      <c r="C202" s="200" t="s">
        <v>46</v>
      </c>
      <c r="D202" s="23" t="s">
        <v>1648</v>
      </c>
      <c r="E202" s="230">
        <v>24521</v>
      </c>
      <c r="F202" s="231" t="s">
        <v>7668</v>
      </c>
      <c r="G202" s="34" t="s">
        <v>7669</v>
      </c>
      <c r="H202" s="231"/>
      <c r="I202" s="205" t="s">
        <v>7148</v>
      </c>
      <c r="J202" s="205" t="s">
        <v>66</v>
      </c>
      <c r="K202" s="230"/>
      <c r="L202" s="283" t="s">
        <v>1738</v>
      </c>
      <c r="M202" s="230" t="s">
        <v>2877</v>
      </c>
      <c r="N202" s="228">
        <v>20</v>
      </c>
      <c r="O202" s="228">
        <v>4</v>
      </c>
      <c r="P202" s="199" t="s">
        <v>376</v>
      </c>
      <c r="Q202" s="24" t="s">
        <v>7670</v>
      </c>
      <c r="R202" s="230">
        <v>45717</v>
      </c>
      <c r="S202" s="230">
        <v>37288</v>
      </c>
    </row>
    <row r="203" spans="1:19" ht="42.75" customHeight="1" x14ac:dyDescent="0.25">
      <c r="A203" s="202">
        <v>5</v>
      </c>
      <c r="B203" s="281" t="s">
        <v>7671</v>
      </c>
      <c r="C203" s="200" t="s">
        <v>46</v>
      </c>
      <c r="D203" s="24" t="s">
        <v>1648</v>
      </c>
      <c r="E203" s="229">
        <v>24574</v>
      </c>
      <c r="F203" s="231" t="s">
        <v>7672</v>
      </c>
      <c r="G203" s="34" t="s">
        <v>7673</v>
      </c>
      <c r="H203" s="231"/>
      <c r="I203" s="205" t="s">
        <v>570</v>
      </c>
      <c r="J203" s="205" t="s">
        <v>66</v>
      </c>
      <c r="K203" s="229"/>
      <c r="L203" s="228" t="s">
        <v>1738</v>
      </c>
      <c r="M203" s="229">
        <v>42461</v>
      </c>
      <c r="N203" s="283">
        <v>23</v>
      </c>
      <c r="O203" s="283">
        <v>1</v>
      </c>
      <c r="P203" s="199" t="s">
        <v>376</v>
      </c>
      <c r="Q203" s="281" t="s">
        <v>7674</v>
      </c>
      <c r="R203" s="229">
        <v>45778</v>
      </c>
      <c r="S203" s="229">
        <v>42380</v>
      </c>
    </row>
    <row r="204" spans="1:19" ht="42.75" customHeight="1" x14ac:dyDescent="0.25">
      <c r="A204" s="202">
        <v>6</v>
      </c>
      <c r="B204" s="23" t="s">
        <v>7675</v>
      </c>
      <c r="C204" s="230" t="s">
        <v>18</v>
      </c>
      <c r="D204" s="23" t="s">
        <v>1489</v>
      </c>
      <c r="E204" s="230">
        <v>26528</v>
      </c>
      <c r="F204" s="231" t="s">
        <v>7676</v>
      </c>
      <c r="G204" s="34" t="s">
        <v>7677</v>
      </c>
      <c r="H204" s="231"/>
      <c r="I204" s="205" t="s">
        <v>6849</v>
      </c>
      <c r="J204" s="205" t="s">
        <v>66</v>
      </c>
      <c r="K204" s="230"/>
      <c r="L204" s="283" t="s">
        <v>1738</v>
      </c>
      <c r="M204" s="230">
        <v>43922</v>
      </c>
      <c r="N204" s="228">
        <v>12</v>
      </c>
      <c r="O204" s="228">
        <v>4</v>
      </c>
      <c r="P204" s="199" t="s">
        <v>376</v>
      </c>
      <c r="Q204" s="24" t="s">
        <v>7678</v>
      </c>
      <c r="R204" s="230">
        <v>47727</v>
      </c>
      <c r="S204" s="230">
        <v>37834</v>
      </c>
    </row>
    <row r="205" spans="1:19" ht="42.75" customHeight="1" x14ac:dyDescent="0.25">
      <c r="A205" s="202">
        <v>7</v>
      </c>
      <c r="B205" s="23" t="s">
        <v>7679</v>
      </c>
      <c r="C205" s="200" t="s">
        <v>46</v>
      </c>
      <c r="D205" s="23" t="s">
        <v>1638</v>
      </c>
      <c r="E205" s="230">
        <v>24767</v>
      </c>
      <c r="F205" s="231" t="s">
        <v>7680</v>
      </c>
      <c r="G205" s="34" t="s">
        <v>7681</v>
      </c>
      <c r="H205" s="284"/>
      <c r="I205" s="205" t="s">
        <v>740</v>
      </c>
      <c r="J205" s="205" t="s">
        <v>66</v>
      </c>
      <c r="K205" s="230"/>
      <c r="L205" s="228" t="s">
        <v>1738</v>
      </c>
      <c r="M205" s="229">
        <v>43191</v>
      </c>
      <c r="N205" s="228">
        <v>22</v>
      </c>
      <c r="O205" s="228">
        <v>5</v>
      </c>
      <c r="P205" s="199" t="s">
        <v>376</v>
      </c>
      <c r="Q205" s="24" t="s">
        <v>7682</v>
      </c>
      <c r="R205" s="230">
        <v>45717</v>
      </c>
      <c r="S205" s="230">
        <v>42919</v>
      </c>
    </row>
    <row r="206" spans="1:19" ht="42.75" customHeight="1" x14ac:dyDescent="0.25">
      <c r="A206" s="202">
        <v>8</v>
      </c>
      <c r="B206" s="281" t="s">
        <v>7683</v>
      </c>
      <c r="C206" s="200" t="s">
        <v>46</v>
      </c>
      <c r="D206" s="24" t="s">
        <v>1934</v>
      </c>
      <c r="E206" s="229">
        <v>25454</v>
      </c>
      <c r="F206" s="231" t="s">
        <v>7684</v>
      </c>
      <c r="G206" s="34" t="s">
        <v>7685</v>
      </c>
      <c r="H206" s="231"/>
      <c r="I206" s="205" t="s">
        <v>6836</v>
      </c>
      <c r="J206" s="205" t="s">
        <v>66</v>
      </c>
      <c r="K206" s="229"/>
      <c r="L206" s="283" t="s">
        <v>1738</v>
      </c>
      <c r="M206" s="229">
        <v>44287</v>
      </c>
      <c r="N206" s="283">
        <v>23</v>
      </c>
      <c r="O206" s="283">
        <v>1</v>
      </c>
      <c r="P206" s="199" t="s">
        <v>376</v>
      </c>
      <c r="Q206" s="281" t="s">
        <v>7686</v>
      </c>
      <c r="R206" s="229">
        <v>46661</v>
      </c>
      <c r="S206" s="229">
        <v>44562</v>
      </c>
    </row>
    <row r="207" spans="1:19" ht="42.75" customHeight="1" x14ac:dyDescent="0.25">
      <c r="A207" s="202">
        <v>9</v>
      </c>
      <c r="B207" s="23" t="s">
        <v>7687</v>
      </c>
      <c r="C207" s="282" t="s">
        <v>18</v>
      </c>
      <c r="D207" s="23" t="s">
        <v>1648</v>
      </c>
      <c r="E207" s="229" t="s">
        <v>7688</v>
      </c>
      <c r="F207" s="231" t="s">
        <v>7689</v>
      </c>
      <c r="G207" s="34" t="s">
        <v>7690</v>
      </c>
      <c r="H207" s="231"/>
      <c r="I207" s="205" t="s">
        <v>7691</v>
      </c>
      <c r="J207" s="205" t="s">
        <v>66</v>
      </c>
      <c r="K207" s="230"/>
      <c r="L207" s="228" t="s">
        <v>1738</v>
      </c>
      <c r="M207" s="230">
        <v>43191</v>
      </c>
      <c r="N207" s="228">
        <v>12</v>
      </c>
      <c r="O207" s="228">
        <v>0</v>
      </c>
      <c r="P207" s="199" t="s">
        <v>376</v>
      </c>
      <c r="Q207" s="281" t="s">
        <v>7692</v>
      </c>
      <c r="R207" s="230">
        <v>48823</v>
      </c>
      <c r="S207" s="230">
        <v>45446</v>
      </c>
    </row>
    <row r="208" spans="1:19" ht="42.75" customHeight="1" x14ac:dyDescent="0.25">
      <c r="A208" s="202">
        <v>10</v>
      </c>
      <c r="B208" s="23" t="s">
        <v>7693</v>
      </c>
      <c r="C208" s="230" t="s">
        <v>18</v>
      </c>
      <c r="D208" s="23" t="s">
        <v>1489</v>
      </c>
      <c r="E208" s="230">
        <v>25525</v>
      </c>
      <c r="F208" s="231" t="s">
        <v>7694</v>
      </c>
      <c r="G208" s="34" t="s">
        <v>7695</v>
      </c>
      <c r="H208" s="231"/>
      <c r="I208" s="205" t="s">
        <v>943</v>
      </c>
      <c r="J208" s="205" t="s">
        <v>66</v>
      </c>
      <c r="K208" s="230"/>
      <c r="L208" s="283" t="s">
        <v>1991</v>
      </c>
      <c r="M208" s="230">
        <v>40634</v>
      </c>
      <c r="N208" s="228">
        <v>15</v>
      </c>
      <c r="O208" s="228">
        <v>1</v>
      </c>
      <c r="P208" s="24" t="s">
        <v>449</v>
      </c>
      <c r="Q208" s="24"/>
      <c r="R208" s="230">
        <v>46722</v>
      </c>
      <c r="S208" s="230">
        <v>33635</v>
      </c>
    </row>
    <row r="209" spans="1:26" ht="42.75" customHeight="1" x14ac:dyDescent="0.25">
      <c r="A209" s="202">
        <v>11</v>
      </c>
      <c r="B209" s="23" t="s">
        <v>7696</v>
      </c>
      <c r="C209" s="282" t="s">
        <v>18</v>
      </c>
      <c r="D209" s="23" t="s">
        <v>1648</v>
      </c>
      <c r="E209" s="229">
        <v>25055</v>
      </c>
      <c r="F209" s="231" t="s">
        <v>7697</v>
      </c>
      <c r="G209" s="34" t="s">
        <v>7698</v>
      </c>
      <c r="H209" s="231"/>
      <c r="I209" s="205" t="s">
        <v>570</v>
      </c>
      <c r="J209" s="205" t="s">
        <v>66</v>
      </c>
      <c r="K209" s="230"/>
      <c r="L209" s="228" t="s">
        <v>1991</v>
      </c>
      <c r="M209" s="230">
        <v>41913</v>
      </c>
      <c r="N209" s="228">
        <v>15</v>
      </c>
      <c r="O209" s="228">
        <v>7</v>
      </c>
      <c r="P209" s="278" t="s">
        <v>449</v>
      </c>
      <c r="Q209" s="281" t="s">
        <v>1648</v>
      </c>
      <c r="R209" s="230">
        <v>46266</v>
      </c>
      <c r="S209" s="230">
        <v>40725</v>
      </c>
    </row>
    <row r="210" spans="1:26" ht="42.75" customHeight="1" x14ac:dyDescent="0.25">
      <c r="A210" s="202">
        <v>12</v>
      </c>
      <c r="B210" s="278" t="s">
        <v>7699</v>
      </c>
      <c r="C210" s="228" t="s">
        <v>18</v>
      </c>
      <c r="D210" s="23" t="s">
        <v>2428</v>
      </c>
      <c r="E210" s="228" t="s">
        <v>7700</v>
      </c>
      <c r="F210" s="231" t="s">
        <v>7701</v>
      </c>
      <c r="G210" s="34" t="s">
        <v>7702</v>
      </c>
      <c r="H210" s="231"/>
      <c r="I210" s="205" t="s">
        <v>570</v>
      </c>
      <c r="J210" s="205" t="s">
        <v>66</v>
      </c>
      <c r="K210" s="230"/>
      <c r="L210" s="228" t="s">
        <v>2698</v>
      </c>
      <c r="M210" s="230">
        <v>45017</v>
      </c>
      <c r="N210" s="228">
        <v>23</v>
      </c>
      <c r="O210" s="228">
        <v>4</v>
      </c>
      <c r="P210" s="278" t="s">
        <v>430</v>
      </c>
      <c r="Q210" s="281" t="s">
        <v>7703</v>
      </c>
      <c r="R210" s="230">
        <v>46447</v>
      </c>
      <c r="S210" s="230">
        <v>39083</v>
      </c>
    </row>
    <row r="211" spans="1:26" ht="42.75" customHeight="1" x14ac:dyDescent="0.25">
      <c r="A211" s="202">
        <v>13</v>
      </c>
      <c r="B211" s="278" t="s">
        <v>7704</v>
      </c>
      <c r="C211" s="228" t="s">
        <v>18</v>
      </c>
      <c r="D211" s="23" t="s">
        <v>1648</v>
      </c>
      <c r="E211" s="228" t="s">
        <v>7705</v>
      </c>
      <c r="F211" s="231" t="s">
        <v>7706</v>
      </c>
      <c r="G211" s="34" t="s">
        <v>7707</v>
      </c>
      <c r="H211" s="231"/>
      <c r="I211" s="205" t="s">
        <v>570</v>
      </c>
      <c r="J211" s="205" t="s">
        <v>66</v>
      </c>
      <c r="K211" s="230"/>
      <c r="L211" s="228" t="s">
        <v>2698</v>
      </c>
      <c r="M211" s="230">
        <v>45017</v>
      </c>
      <c r="N211" s="228">
        <v>19</v>
      </c>
      <c r="O211" s="228">
        <v>11</v>
      </c>
      <c r="P211" s="278" t="s">
        <v>449</v>
      </c>
      <c r="Q211" s="281"/>
      <c r="R211" s="230">
        <v>47543</v>
      </c>
      <c r="S211" s="230">
        <v>39934</v>
      </c>
    </row>
    <row r="212" spans="1:26" ht="42.75" customHeight="1" x14ac:dyDescent="0.25">
      <c r="A212" s="202">
        <v>14</v>
      </c>
      <c r="B212" s="278" t="s">
        <v>7708</v>
      </c>
      <c r="C212" s="200" t="s">
        <v>46</v>
      </c>
      <c r="D212" s="23" t="s">
        <v>1648</v>
      </c>
      <c r="E212" s="228" t="s">
        <v>7709</v>
      </c>
      <c r="F212" s="231" t="s">
        <v>7710</v>
      </c>
      <c r="G212" s="34" t="s">
        <v>7711</v>
      </c>
      <c r="H212" s="232"/>
      <c r="I212" s="205" t="s">
        <v>80</v>
      </c>
      <c r="J212" s="205" t="s">
        <v>66</v>
      </c>
      <c r="K212" s="230"/>
      <c r="L212" s="228" t="s">
        <v>6889</v>
      </c>
      <c r="M212" s="230">
        <v>44287</v>
      </c>
      <c r="N212" s="228">
        <v>22</v>
      </c>
      <c r="O212" s="228">
        <v>11</v>
      </c>
      <c r="P212" s="278" t="s">
        <v>460</v>
      </c>
      <c r="Q212" s="281" t="s">
        <v>7712</v>
      </c>
      <c r="R212" s="230">
        <v>48366</v>
      </c>
      <c r="S212" s="230">
        <v>43102</v>
      </c>
    </row>
    <row r="213" spans="1:26" ht="42.75" customHeight="1" x14ac:dyDescent="0.25">
      <c r="A213" s="293" t="s">
        <v>7713</v>
      </c>
      <c r="B213" s="278"/>
      <c r="C213" s="228"/>
      <c r="D213" s="23"/>
      <c r="E213" s="228"/>
      <c r="F213" s="295"/>
      <c r="G213" s="296"/>
      <c r="H213" s="295"/>
      <c r="I213" s="281"/>
      <c r="J213" s="232"/>
      <c r="K213" s="230"/>
      <c r="L213" s="228"/>
      <c r="M213" s="230"/>
      <c r="N213" s="228"/>
      <c r="O213" s="228"/>
      <c r="P213" s="278"/>
      <c r="Q213" s="281"/>
      <c r="R213" s="230"/>
      <c r="S213" s="230"/>
    </row>
    <row r="214" spans="1:26" ht="42.75" customHeight="1" x14ac:dyDescent="0.25">
      <c r="A214" s="202">
        <v>1</v>
      </c>
      <c r="B214" s="199" t="s">
        <v>7714</v>
      </c>
      <c r="C214" s="200" t="s">
        <v>46</v>
      </c>
      <c r="D214" s="199" t="s">
        <v>1519</v>
      </c>
      <c r="E214" s="200">
        <v>26353</v>
      </c>
      <c r="F214" s="201" t="s">
        <v>7715</v>
      </c>
      <c r="G214" s="169" t="s">
        <v>7716</v>
      </c>
      <c r="H214" s="201"/>
      <c r="I214" s="205" t="s">
        <v>7717</v>
      </c>
      <c r="J214" s="205" t="s">
        <v>150</v>
      </c>
      <c r="K214" s="200">
        <v>44071</v>
      </c>
      <c r="L214" s="202" t="s">
        <v>1558</v>
      </c>
      <c r="M214" s="200">
        <v>43556</v>
      </c>
      <c r="N214" s="202">
        <v>22</v>
      </c>
      <c r="O214" s="202">
        <v>1</v>
      </c>
      <c r="P214" s="199" t="s">
        <v>376</v>
      </c>
      <c r="Q214" s="205" t="s">
        <v>7718</v>
      </c>
      <c r="R214" s="200">
        <v>47543</v>
      </c>
      <c r="S214" s="200" t="s">
        <v>1084</v>
      </c>
    </row>
    <row r="215" spans="1:26" ht="42.75" customHeight="1" x14ac:dyDescent="0.25">
      <c r="A215" s="202">
        <v>2</v>
      </c>
      <c r="B215" s="23" t="s">
        <v>7719</v>
      </c>
      <c r="C215" s="230" t="s">
        <v>18</v>
      </c>
      <c r="D215" s="23" t="s">
        <v>2042</v>
      </c>
      <c r="E215" s="230">
        <v>26345</v>
      </c>
      <c r="F215" s="231" t="s">
        <v>7720</v>
      </c>
      <c r="G215" s="169" t="s">
        <v>7721</v>
      </c>
      <c r="H215" s="231"/>
      <c r="I215" s="205" t="s">
        <v>6925</v>
      </c>
      <c r="J215" s="205" t="s">
        <v>150</v>
      </c>
      <c r="K215" s="200">
        <v>44560</v>
      </c>
      <c r="L215" s="228" t="s">
        <v>1738</v>
      </c>
      <c r="M215" s="230">
        <v>42095</v>
      </c>
      <c r="N215" s="228">
        <v>12</v>
      </c>
      <c r="O215" s="228">
        <v>4</v>
      </c>
      <c r="P215" s="199" t="s">
        <v>376</v>
      </c>
      <c r="Q215" s="281" t="s">
        <v>7722</v>
      </c>
      <c r="R215" s="230">
        <v>47543</v>
      </c>
      <c r="S215" s="230" t="s">
        <v>1084</v>
      </c>
    </row>
    <row r="216" spans="1:26" ht="42.75" customHeight="1" x14ac:dyDescent="0.25">
      <c r="A216" s="202">
        <v>3</v>
      </c>
      <c r="B216" s="232" t="s">
        <v>7723</v>
      </c>
      <c r="C216" s="202" t="s">
        <v>18</v>
      </c>
      <c r="D216" s="199" t="s">
        <v>7724</v>
      </c>
      <c r="E216" s="200">
        <v>25687</v>
      </c>
      <c r="F216" s="201" t="s">
        <v>7725</v>
      </c>
      <c r="G216" s="169" t="s">
        <v>7726</v>
      </c>
      <c r="H216" s="89"/>
      <c r="I216" s="205" t="s">
        <v>7053</v>
      </c>
      <c r="J216" s="205" t="s">
        <v>150</v>
      </c>
      <c r="K216" s="200">
        <v>44560</v>
      </c>
      <c r="L216" s="202" t="s">
        <v>1738</v>
      </c>
      <c r="M216" s="200">
        <v>40634</v>
      </c>
      <c r="N216" s="202">
        <v>12</v>
      </c>
      <c r="O216" s="202">
        <v>3</v>
      </c>
      <c r="P216" s="199" t="s">
        <v>376</v>
      </c>
      <c r="Q216" s="205" t="s">
        <v>7727</v>
      </c>
      <c r="R216" s="200" t="s">
        <v>7728</v>
      </c>
      <c r="S216" s="200" t="s">
        <v>1084</v>
      </c>
    </row>
    <row r="217" spans="1:26" ht="42.75" customHeight="1" x14ac:dyDescent="0.25">
      <c r="A217" s="202">
        <v>4</v>
      </c>
      <c r="B217" s="232" t="s">
        <v>7729</v>
      </c>
      <c r="C217" s="200" t="s">
        <v>46</v>
      </c>
      <c r="D217" s="199" t="s">
        <v>2004</v>
      </c>
      <c r="E217" s="200">
        <v>28026</v>
      </c>
      <c r="F217" s="201" t="s">
        <v>7730</v>
      </c>
      <c r="G217" s="169" t="s">
        <v>7731</v>
      </c>
      <c r="H217" s="89"/>
      <c r="I217" s="205" t="s">
        <v>7732</v>
      </c>
      <c r="J217" s="205" t="s">
        <v>7733</v>
      </c>
      <c r="K217" s="200">
        <v>43586</v>
      </c>
      <c r="L217" s="202" t="s">
        <v>1558</v>
      </c>
      <c r="M217" s="200">
        <v>45505</v>
      </c>
      <c r="N217" s="202">
        <v>18</v>
      </c>
      <c r="O217" s="202">
        <v>4</v>
      </c>
      <c r="P217" s="232" t="s">
        <v>1028</v>
      </c>
      <c r="Q217" s="205" t="s">
        <v>7734</v>
      </c>
      <c r="R217" s="200">
        <v>49949</v>
      </c>
      <c r="S217" s="200"/>
    </row>
    <row r="218" spans="1:26" ht="42.75" customHeight="1" x14ac:dyDescent="0.25">
      <c r="A218" s="202">
        <v>5</v>
      </c>
      <c r="B218" s="23" t="s">
        <v>7735</v>
      </c>
      <c r="C218" s="230" t="s">
        <v>18</v>
      </c>
      <c r="D218" s="23" t="s">
        <v>1638</v>
      </c>
      <c r="E218" s="230" t="s">
        <v>7736</v>
      </c>
      <c r="F218" s="231" t="s">
        <v>7737</v>
      </c>
      <c r="G218" s="169" t="s">
        <v>7738</v>
      </c>
      <c r="H218" s="231">
        <v>7700010393</v>
      </c>
      <c r="I218" s="205" t="s">
        <v>7417</v>
      </c>
      <c r="J218" s="205" t="s">
        <v>150</v>
      </c>
      <c r="K218" s="230">
        <v>43313</v>
      </c>
      <c r="L218" s="228" t="s">
        <v>1738</v>
      </c>
      <c r="M218" s="230" t="s">
        <v>7650</v>
      </c>
      <c r="N218" s="228">
        <v>15</v>
      </c>
      <c r="O218" s="228">
        <v>9</v>
      </c>
      <c r="P218" s="23" t="s">
        <v>982</v>
      </c>
      <c r="Q218" s="24" t="s">
        <v>7739</v>
      </c>
      <c r="R218" s="230">
        <v>51926</v>
      </c>
      <c r="S218" s="230">
        <v>39448</v>
      </c>
    </row>
    <row r="219" spans="1:26" ht="42.75" customHeight="1" x14ac:dyDescent="0.25">
      <c r="A219" s="202">
        <v>6</v>
      </c>
      <c r="B219" s="23" t="s">
        <v>7740</v>
      </c>
      <c r="C219" s="228" t="s">
        <v>18</v>
      </c>
      <c r="D219" s="23" t="s">
        <v>1942</v>
      </c>
      <c r="E219" s="230">
        <v>26353</v>
      </c>
      <c r="F219" s="231" t="s">
        <v>7741</v>
      </c>
      <c r="G219" s="34" t="s">
        <v>7742</v>
      </c>
      <c r="H219" s="231"/>
      <c r="I219" s="205" t="s">
        <v>80</v>
      </c>
      <c r="J219" s="24" t="s">
        <v>150</v>
      </c>
      <c r="K219" s="230"/>
      <c r="L219" s="228" t="s">
        <v>1738</v>
      </c>
      <c r="M219" s="230">
        <v>42095</v>
      </c>
      <c r="N219" s="228">
        <v>17</v>
      </c>
      <c r="O219" s="228">
        <v>1</v>
      </c>
      <c r="P219" s="199" t="s">
        <v>376</v>
      </c>
      <c r="Q219" s="24" t="s">
        <v>7743</v>
      </c>
      <c r="R219" s="230">
        <v>47543</v>
      </c>
      <c r="S219" s="230">
        <v>44593</v>
      </c>
    </row>
    <row r="220" spans="1:26" ht="42.75" customHeight="1" x14ac:dyDescent="0.25">
      <c r="A220" s="202">
        <v>7</v>
      </c>
      <c r="B220" s="23" t="s">
        <v>7744</v>
      </c>
      <c r="C220" s="200" t="s">
        <v>46</v>
      </c>
      <c r="D220" s="23" t="s">
        <v>1648</v>
      </c>
      <c r="E220" s="230">
        <v>25012</v>
      </c>
      <c r="F220" s="231" t="s">
        <v>7745</v>
      </c>
      <c r="G220" s="34" t="s">
        <v>7746</v>
      </c>
      <c r="H220" s="231"/>
      <c r="I220" s="205" t="s">
        <v>7148</v>
      </c>
      <c r="J220" s="24" t="s">
        <v>150</v>
      </c>
      <c r="K220" s="230"/>
      <c r="L220" s="228" t="s">
        <v>1738</v>
      </c>
      <c r="M220" s="230">
        <v>43556</v>
      </c>
      <c r="N220" s="228">
        <v>23</v>
      </c>
      <c r="O220" s="228">
        <v>1</v>
      </c>
      <c r="P220" s="199" t="s">
        <v>376</v>
      </c>
      <c r="Q220" s="24" t="s">
        <v>7747</v>
      </c>
      <c r="R220" s="230">
        <v>46204</v>
      </c>
      <c r="S220" s="230">
        <v>42380</v>
      </c>
    </row>
    <row r="221" spans="1:26" ht="42.75" customHeight="1" x14ac:dyDescent="0.25">
      <c r="A221" s="202">
        <v>8</v>
      </c>
      <c r="B221" s="281" t="s">
        <v>7748</v>
      </c>
      <c r="C221" s="228" t="s">
        <v>18</v>
      </c>
      <c r="D221" s="23" t="s">
        <v>1934</v>
      </c>
      <c r="E221" s="228" t="s">
        <v>7749</v>
      </c>
      <c r="F221" s="231" t="s">
        <v>7750</v>
      </c>
      <c r="G221" s="34" t="s">
        <v>7751</v>
      </c>
      <c r="H221" s="231"/>
      <c r="I221" s="205" t="s">
        <v>6872</v>
      </c>
      <c r="J221" s="24" t="s">
        <v>150</v>
      </c>
      <c r="K221" s="230">
        <v>45413</v>
      </c>
      <c r="L221" s="228" t="s">
        <v>1738</v>
      </c>
      <c r="M221" s="229">
        <v>45017</v>
      </c>
      <c r="N221" s="283">
        <v>12</v>
      </c>
      <c r="O221" s="283">
        <v>3</v>
      </c>
      <c r="P221" s="199" t="s">
        <v>376</v>
      </c>
      <c r="Q221" s="281" t="s">
        <v>7752</v>
      </c>
      <c r="R221" s="230">
        <v>52779</v>
      </c>
      <c r="S221" s="230">
        <v>45048</v>
      </c>
    </row>
    <row r="222" spans="1:26" ht="42.75" customHeight="1" x14ac:dyDescent="0.25">
      <c r="A222" s="202">
        <v>9</v>
      </c>
      <c r="B222" s="23" t="s">
        <v>7753</v>
      </c>
      <c r="C222" s="228" t="s">
        <v>18</v>
      </c>
      <c r="D222" s="23" t="s">
        <v>1648</v>
      </c>
      <c r="E222" s="230">
        <v>27666</v>
      </c>
      <c r="F222" s="231" t="s">
        <v>7754</v>
      </c>
      <c r="G222" s="34" t="s">
        <v>7755</v>
      </c>
      <c r="H222" s="231"/>
      <c r="I222" s="205" t="s">
        <v>7605</v>
      </c>
      <c r="J222" s="24" t="s">
        <v>150</v>
      </c>
      <c r="K222" s="230"/>
      <c r="L222" s="228" t="s">
        <v>1738</v>
      </c>
      <c r="M222" s="230" t="s">
        <v>3504</v>
      </c>
      <c r="N222" s="228">
        <v>21</v>
      </c>
      <c r="O222" s="228">
        <v>8</v>
      </c>
      <c r="P222" s="278" t="s">
        <v>982</v>
      </c>
      <c r="Q222" s="280" t="s">
        <v>7756</v>
      </c>
      <c r="R222" s="230">
        <v>48853</v>
      </c>
      <c r="S222" s="230">
        <v>40245</v>
      </c>
      <c r="T222" s="19"/>
      <c r="U222" s="19"/>
      <c r="V222" s="19"/>
      <c r="W222" s="19"/>
      <c r="X222" s="19"/>
      <c r="Y222" s="19"/>
      <c r="Z222" s="19"/>
    </row>
    <row r="223" spans="1:26" ht="42.75" customHeight="1" x14ac:dyDescent="0.25">
      <c r="A223" s="202">
        <v>10</v>
      </c>
      <c r="B223" s="23" t="s">
        <v>7757</v>
      </c>
      <c r="C223" s="230" t="s">
        <v>18</v>
      </c>
      <c r="D223" s="23" t="s">
        <v>2088</v>
      </c>
      <c r="E223" s="230">
        <v>25914</v>
      </c>
      <c r="F223" s="231" t="s">
        <v>7758</v>
      </c>
      <c r="G223" s="34" t="s">
        <v>7759</v>
      </c>
      <c r="H223" s="231"/>
      <c r="I223" s="205" t="s">
        <v>570</v>
      </c>
      <c r="J223" s="24" t="s">
        <v>150</v>
      </c>
      <c r="K223" s="230"/>
      <c r="L223" s="283" t="s">
        <v>1991</v>
      </c>
      <c r="M223" s="230">
        <v>41365</v>
      </c>
      <c r="N223" s="228">
        <v>15</v>
      </c>
      <c r="O223" s="228">
        <v>1</v>
      </c>
      <c r="P223" s="24" t="s">
        <v>460</v>
      </c>
      <c r="Q223" s="24">
        <v>1992</v>
      </c>
      <c r="R223" s="230">
        <v>47119</v>
      </c>
      <c r="S223" s="229">
        <v>39454</v>
      </c>
    </row>
    <row r="224" spans="1:26" ht="42.75" customHeight="1" x14ac:dyDescent="0.25">
      <c r="A224" s="202">
        <v>11</v>
      </c>
      <c r="B224" s="23" t="s">
        <v>7760</v>
      </c>
      <c r="C224" s="228" t="s">
        <v>18</v>
      </c>
      <c r="D224" s="23" t="s">
        <v>1555</v>
      </c>
      <c r="E224" s="230">
        <v>25631</v>
      </c>
      <c r="F224" s="231" t="s">
        <v>7761</v>
      </c>
      <c r="G224" s="34" t="s">
        <v>7762</v>
      </c>
      <c r="H224" s="231"/>
      <c r="I224" s="205" t="s">
        <v>570</v>
      </c>
      <c r="J224" s="24" t="s">
        <v>150</v>
      </c>
      <c r="K224" s="230"/>
      <c r="L224" s="228" t="s">
        <v>1717</v>
      </c>
      <c r="M224" s="230">
        <v>44652</v>
      </c>
      <c r="N224" s="228">
        <v>23</v>
      </c>
      <c r="O224" s="228">
        <v>1</v>
      </c>
      <c r="P224" s="199" t="s">
        <v>376</v>
      </c>
      <c r="Q224" s="24" t="s">
        <v>7763</v>
      </c>
      <c r="R224" s="230">
        <v>46844</v>
      </c>
      <c r="S224" s="230">
        <v>36831</v>
      </c>
    </row>
    <row r="225" spans="1:26" ht="42.75" customHeight="1" x14ac:dyDescent="0.25">
      <c r="A225" s="202">
        <v>12</v>
      </c>
      <c r="B225" s="23" t="s">
        <v>7764</v>
      </c>
      <c r="C225" s="282" t="s">
        <v>18</v>
      </c>
      <c r="D225" s="23" t="s">
        <v>3546</v>
      </c>
      <c r="E225" s="229">
        <v>25055</v>
      </c>
      <c r="F225" s="231" t="s">
        <v>7765</v>
      </c>
      <c r="G225" s="34" t="s">
        <v>7766</v>
      </c>
      <c r="H225" s="231"/>
      <c r="I225" s="205" t="s">
        <v>391</v>
      </c>
      <c r="J225" s="24" t="s">
        <v>150</v>
      </c>
      <c r="K225" s="230"/>
      <c r="L225" s="228" t="s">
        <v>1991</v>
      </c>
      <c r="M225" s="230">
        <v>44835</v>
      </c>
      <c r="N225" s="228">
        <v>26</v>
      </c>
      <c r="O225" s="228">
        <v>11</v>
      </c>
      <c r="P225" s="278" t="s">
        <v>460</v>
      </c>
      <c r="Q225" s="281" t="s">
        <v>7767</v>
      </c>
      <c r="R225" s="230">
        <v>46266</v>
      </c>
      <c r="S225" s="229">
        <v>39454</v>
      </c>
    </row>
    <row r="226" spans="1:26" ht="42.75" customHeight="1" x14ac:dyDescent="0.25">
      <c r="A226" s="202">
        <v>13</v>
      </c>
      <c r="B226" s="23" t="s">
        <v>7768</v>
      </c>
      <c r="C226" s="282" t="s">
        <v>18</v>
      </c>
      <c r="D226" s="23" t="s">
        <v>1934</v>
      </c>
      <c r="E226" s="230">
        <v>25867</v>
      </c>
      <c r="F226" s="231" t="s">
        <v>7769</v>
      </c>
      <c r="G226" s="34" t="s">
        <v>7770</v>
      </c>
      <c r="H226" s="231"/>
      <c r="I226" s="205" t="s">
        <v>570</v>
      </c>
      <c r="J226" s="24" t="s">
        <v>150</v>
      </c>
      <c r="K226" s="230"/>
      <c r="L226" s="228" t="s">
        <v>1991</v>
      </c>
      <c r="M226" s="230">
        <v>45017</v>
      </c>
      <c r="N226" s="228">
        <v>15</v>
      </c>
      <c r="O226" s="228">
        <v>4</v>
      </c>
      <c r="P226" s="23" t="s">
        <v>449</v>
      </c>
      <c r="Q226" s="24" t="s">
        <v>7771</v>
      </c>
      <c r="R226" s="230">
        <v>47058</v>
      </c>
      <c r="S226" s="230">
        <v>37834</v>
      </c>
    </row>
    <row r="227" spans="1:26" ht="42.75" customHeight="1" x14ac:dyDescent="0.25">
      <c r="A227" s="202">
        <v>14</v>
      </c>
      <c r="B227" s="23" t="s">
        <v>7772</v>
      </c>
      <c r="C227" s="200" t="s">
        <v>46</v>
      </c>
      <c r="D227" s="23" t="s">
        <v>1638</v>
      </c>
      <c r="E227" s="230">
        <v>27422</v>
      </c>
      <c r="F227" s="231" t="s">
        <v>7773</v>
      </c>
      <c r="G227" s="34" t="s">
        <v>7774</v>
      </c>
      <c r="H227" s="231"/>
      <c r="I227" s="205" t="s">
        <v>570</v>
      </c>
      <c r="J227" s="24" t="s">
        <v>150</v>
      </c>
      <c r="K227" s="230"/>
      <c r="L227" s="228" t="s">
        <v>1991</v>
      </c>
      <c r="M227" s="230">
        <v>45017</v>
      </c>
      <c r="N227" s="228">
        <v>30</v>
      </c>
      <c r="O227" s="228">
        <v>3</v>
      </c>
      <c r="P227" s="199" t="s">
        <v>376</v>
      </c>
      <c r="Q227" s="24" t="s">
        <v>7775</v>
      </c>
      <c r="R227" s="230">
        <v>48611</v>
      </c>
      <c r="S227" s="230">
        <v>40632</v>
      </c>
    </row>
    <row r="228" spans="1:26" ht="42.75" customHeight="1" x14ac:dyDescent="0.25">
      <c r="A228" s="202">
        <v>15</v>
      </c>
      <c r="B228" s="278" t="s">
        <v>7776</v>
      </c>
      <c r="C228" s="228" t="s">
        <v>18</v>
      </c>
      <c r="D228" s="23" t="s">
        <v>1648</v>
      </c>
      <c r="E228" s="228" t="s">
        <v>7777</v>
      </c>
      <c r="F228" s="231" t="s">
        <v>7778</v>
      </c>
      <c r="G228" s="34" t="s">
        <v>7779</v>
      </c>
      <c r="H228" s="231"/>
      <c r="I228" s="205" t="s">
        <v>943</v>
      </c>
      <c r="J228" s="24" t="s">
        <v>150</v>
      </c>
      <c r="K228" s="230"/>
      <c r="L228" s="228" t="s">
        <v>2698</v>
      </c>
      <c r="M228" s="230">
        <v>45017</v>
      </c>
      <c r="N228" s="228">
        <v>24</v>
      </c>
      <c r="O228" s="228">
        <v>4</v>
      </c>
      <c r="P228" s="278" t="s">
        <v>750</v>
      </c>
      <c r="Q228" s="281" t="s">
        <v>7780</v>
      </c>
      <c r="R228" s="230">
        <v>46082</v>
      </c>
      <c r="S228" s="230">
        <v>39083</v>
      </c>
    </row>
    <row r="229" spans="1:26" ht="42.75" customHeight="1" x14ac:dyDescent="0.25">
      <c r="A229" s="202">
        <v>16</v>
      </c>
      <c r="B229" s="278" t="s">
        <v>7781</v>
      </c>
      <c r="C229" s="228" t="s">
        <v>18</v>
      </c>
      <c r="D229" s="23" t="s">
        <v>1934</v>
      </c>
      <c r="E229" s="230">
        <v>26213</v>
      </c>
      <c r="F229" s="231" t="s">
        <v>7782</v>
      </c>
      <c r="G229" s="34" t="s">
        <v>7783</v>
      </c>
      <c r="H229" s="231"/>
      <c r="I229" s="205" t="s">
        <v>570</v>
      </c>
      <c r="J229" s="24" t="s">
        <v>150</v>
      </c>
      <c r="K229" s="230"/>
      <c r="L229" s="228" t="s">
        <v>2698</v>
      </c>
      <c r="M229" s="230">
        <v>45017</v>
      </c>
      <c r="N229" s="228">
        <v>20</v>
      </c>
      <c r="O229" s="228">
        <v>0</v>
      </c>
      <c r="P229" s="278" t="s">
        <v>449</v>
      </c>
      <c r="Q229" s="281"/>
      <c r="R229" s="230">
        <v>47423</v>
      </c>
      <c r="S229" s="230">
        <v>40245</v>
      </c>
    </row>
    <row r="230" spans="1:26" ht="42.75" customHeight="1" x14ac:dyDescent="0.25">
      <c r="A230" s="202">
        <v>17</v>
      </c>
      <c r="B230" s="278" t="s">
        <v>7784</v>
      </c>
      <c r="C230" s="200" t="s">
        <v>46</v>
      </c>
      <c r="D230" s="23" t="s">
        <v>1934</v>
      </c>
      <c r="E230" s="228" t="s">
        <v>7785</v>
      </c>
      <c r="F230" s="231" t="s">
        <v>7786</v>
      </c>
      <c r="G230" s="34" t="s">
        <v>7787</v>
      </c>
      <c r="H230" s="232"/>
      <c r="I230" s="205" t="s">
        <v>391</v>
      </c>
      <c r="J230" s="24" t="s">
        <v>150</v>
      </c>
      <c r="K230" s="230"/>
      <c r="L230" s="228" t="s">
        <v>2698</v>
      </c>
      <c r="M230" s="230">
        <v>45017</v>
      </c>
      <c r="N230" s="228">
        <v>23</v>
      </c>
      <c r="O230" s="228">
        <v>8</v>
      </c>
      <c r="P230" s="278" t="s">
        <v>750</v>
      </c>
      <c r="Q230" s="281" t="s">
        <v>7788</v>
      </c>
      <c r="R230" s="230">
        <v>46174</v>
      </c>
      <c r="S230" s="230">
        <v>40632</v>
      </c>
    </row>
    <row r="231" spans="1:26" ht="42.75" customHeight="1" x14ac:dyDescent="0.25">
      <c r="A231" s="202">
        <v>18</v>
      </c>
      <c r="B231" s="278" t="s">
        <v>7789</v>
      </c>
      <c r="C231" s="228" t="s">
        <v>18</v>
      </c>
      <c r="D231" s="23" t="s">
        <v>3388</v>
      </c>
      <c r="E231" s="230">
        <v>28212</v>
      </c>
      <c r="F231" s="231" t="s">
        <v>7790</v>
      </c>
      <c r="G231" s="34" t="s">
        <v>7791</v>
      </c>
      <c r="H231" s="232"/>
      <c r="I231" s="205" t="s">
        <v>570</v>
      </c>
      <c r="J231" s="24" t="s">
        <v>150</v>
      </c>
      <c r="K231" s="230"/>
      <c r="L231" s="228" t="s">
        <v>6889</v>
      </c>
      <c r="M231" s="229">
        <v>44470</v>
      </c>
      <c r="N231" s="283">
        <v>21</v>
      </c>
      <c r="O231" s="283">
        <v>6</v>
      </c>
      <c r="P231" s="278" t="s">
        <v>449</v>
      </c>
      <c r="Q231" s="281" t="s">
        <v>1084</v>
      </c>
      <c r="R231" s="230">
        <v>49400</v>
      </c>
      <c r="S231" s="230">
        <v>40299</v>
      </c>
      <c r="T231" s="13"/>
      <c r="U231" s="13"/>
      <c r="V231" s="13"/>
      <c r="W231" s="13"/>
      <c r="X231" s="13"/>
      <c r="Y231" s="13"/>
      <c r="Z231" s="13"/>
    </row>
    <row r="232" spans="1:26" ht="42.75" customHeight="1" x14ac:dyDescent="0.25">
      <c r="A232" s="202">
        <v>19</v>
      </c>
      <c r="B232" s="278" t="s">
        <v>7792</v>
      </c>
      <c r="C232" s="200" t="s">
        <v>46</v>
      </c>
      <c r="D232" s="23" t="s">
        <v>1934</v>
      </c>
      <c r="E232" s="228" t="s">
        <v>7793</v>
      </c>
      <c r="F232" s="231" t="s">
        <v>7794</v>
      </c>
      <c r="G232" s="34" t="s">
        <v>7795</v>
      </c>
      <c r="H232" s="231"/>
      <c r="I232" s="205" t="s">
        <v>6836</v>
      </c>
      <c r="J232" s="24" t="s">
        <v>150</v>
      </c>
      <c r="K232" s="230"/>
      <c r="L232" s="228" t="s">
        <v>6889</v>
      </c>
      <c r="M232" s="229">
        <v>44287</v>
      </c>
      <c r="N232" s="283">
        <v>22</v>
      </c>
      <c r="O232" s="283">
        <v>0</v>
      </c>
      <c r="P232" s="278" t="s">
        <v>750</v>
      </c>
      <c r="Q232" s="281" t="s">
        <v>7796</v>
      </c>
      <c r="R232" s="230">
        <v>48061</v>
      </c>
      <c r="S232" s="230">
        <v>44562</v>
      </c>
    </row>
    <row r="233" spans="1:26" ht="42.75" customHeight="1" x14ac:dyDescent="0.25">
      <c r="A233" s="202">
        <v>20</v>
      </c>
      <c r="B233" s="278" t="s">
        <v>7797</v>
      </c>
      <c r="C233" s="228" t="s">
        <v>18</v>
      </c>
      <c r="D233" s="23" t="s">
        <v>1648</v>
      </c>
      <c r="E233" s="228" t="s">
        <v>7798</v>
      </c>
      <c r="F233" s="231" t="s">
        <v>7799</v>
      </c>
      <c r="G233" s="34" t="s">
        <v>7800</v>
      </c>
      <c r="H233" s="231"/>
      <c r="I233" s="205" t="s">
        <v>80</v>
      </c>
      <c r="J233" s="24" t="s">
        <v>150</v>
      </c>
      <c r="K233" s="230"/>
      <c r="L233" s="228" t="s">
        <v>6889</v>
      </c>
      <c r="M233" s="229">
        <v>44470</v>
      </c>
      <c r="N233" s="283">
        <v>17</v>
      </c>
      <c r="O233" s="283">
        <v>6</v>
      </c>
      <c r="P233" s="278" t="s">
        <v>449</v>
      </c>
      <c r="Q233" s="281"/>
      <c r="R233" s="230">
        <v>51683</v>
      </c>
      <c r="S233" s="230">
        <v>44935</v>
      </c>
    </row>
    <row r="234" spans="1:26" ht="42.75" customHeight="1" x14ac:dyDescent="0.25">
      <c r="A234" s="202">
        <v>21</v>
      </c>
      <c r="B234" s="40" t="s">
        <v>7801</v>
      </c>
      <c r="C234" s="200" t="s">
        <v>46</v>
      </c>
      <c r="D234" s="12" t="s">
        <v>3049</v>
      </c>
      <c r="E234" s="163">
        <v>33060</v>
      </c>
      <c r="F234" s="39" t="s">
        <v>7802</v>
      </c>
      <c r="G234" s="40" t="s">
        <v>7803</v>
      </c>
      <c r="H234" s="231"/>
      <c r="I234" s="205" t="s">
        <v>7464</v>
      </c>
      <c r="J234" s="24" t="s">
        <v>150</v>
      </c>
      <c r="K234" s="230"/>
      <c r="L234" s="228" t="s">
        <v>2698</v>
      </c>
      <c r="M234" s="229">
        <v>44621</v>
      </c>
      <c r="N234" s="283"/>
      <c r="O234" s="283"/>
      <c r="P234" s="199" t="s">
        <v>376</v>
      </c>
      <c r="Q234" s="281" t="s">
        <v>7804</v>
      </c>
      <c r="R234" s="230">
        <v>54271</v>
      </c>
      <c r="S234" s="230">
        <v>44621</v>
      </c>
    </row>
    <row r="235" spans="1:26" ht="42.75" customHeight="1" x14ac:dyDescent="0.25">
      <c r="A235" s="202">
        <v>22</v>
      </c>
      <c r="B235" s="278" t="s">
        <v>7805</v>
      </c>
      <c r="C235" s="228" t="s">
        <v>18</v>
      </c>
      <c r="D235" s="23" t="s">
        <v>1934</v>
      </c>
      <c r="E235" s="228" t="s">
        <v>7806</v>
      </c>
      <c r="F235" s="231" t="s">
        <v>7807</v>
      </c>
      <c r="G235" s="34" t="s">
        <v>7808</v>
      </c>
      <c r="H235" s="231"/>
      <c r="I235" s="205" t="s">
        <v>80</v>
      </c>
      <c r="J235" s="24" t="s">
        <v>150</v>
      </c>
      <c r="K235" s="230"/>
      <c r="L235" s="228" t="s">
        <v>6889</v>
      </c>
      <c r="M235" s="229">
        <v>44470</v>
      </c>
      <c r="N235" s="283">
        <v>17</v>
      </c>
      <c r="O235" s="283">
        <v>2</v>
      </c>
      <c r="P235" s="278" t="s">
        <v>437</v>
      </c>
      <c r="Q235" s="281" t="s">
        <v>7809</v>
      </c>
      <c r="R235" s="230">
        <v>51167</v>
      </c>
      <c r="S235" s="230">
        <v>45293</v>
      </c>
    </row>
    <row r="236" spans="1:26" ht="42.75" customHeight="1" x14ac:dyDescent="0.25">
      <c r="A236" s="202">
        <v>23</v>
      </c>
      <c r="B236" s="278" t="s">
        <v>7810</v>
      </c>
      <c r="C236" s="228" t="s">
        <v>18</v>
      </c>
      <c r="D236" s="23" t="s">
        <v>1648</v>
      </c>
      <c r="E236" s="228" t="s">
        <v>7811</v>
      </c>
      <c r="F236" s="231" t="s">
        <v>7812</v>
      </c>
      <c r="G236" s="34" t="s">
        <v>7813</v>
      </c>
      <c r="H236" s="231"/>
      <c r="I236" s="205" t="s">
        <v>80</v>
      </c>
      <c r="J236" s="24" t="s">
        <v>150</v>
      </c>
      <c r="K236" s="230"/>
      <c r="L236" s="228" t="s">
        <v>6889</v>
      </c>
      <c r="M236" s="229">
        <v>44470</v>
      </c>
      <c r="N236" s="283">
        <v>17</v>
      </c>
      <c r="O236" s="283">
        <v>5</v>
      </c>
      <c r="P236" s="278" t="s">
        <v>449</v>
      </c>
      <c r="Q236" s="281" t="s">
        <v>1648</v>
      </c>
      <c r="R236" s="230">
        <v>48853</v>
      </c>
      <c r="S236" s="230">
        <v>45446</v>
      </c>
    </row>
    <row r="237" spans="1:26" ht="42.75" customHeight="1" x14ac:dyDescent="0.25">
      <c r="A237" s="202">
        <v>24</v>
      </c>
      <c r="B237" s="278" t="s">
        <v>7814</v>
      </c>
      <c r="C237" s="228" t="s">
        <v>18</v>
      </c>
      <c r="D237" s="23" t="s">
        <v>1648</v>
      </c>
      <c r="E237" s="228" t="s">
        <v>7815</v>
      </c>
      <c r="F237" s="231" t="s">
        <v>7816</v>
      </c>
      <c r="G237" s="34" t="s">
        <v>7817</v>
      </c>
      <c r="H237" s="231"/>
      <c r="I237" s="205" t="s">
        <v>80</v>
      </c>
      <c r="J237" s="24" t="s">
        <v>150</v>
      </c>
      <c r="K237" s="230"/>
      <c r="L237" s="228" t="s">
        <v>6889</v>
      </c>
      <c r="M237" s="229">
        <v>44470</v>
      </c>
      <c r="N237" s="283">
        <v>17</v>
      </c>
      <c r="O237" s="283">
        <v>6</v>
      </c>
      <c r="P237" s="278" t="s">
        <v>460</v>
      </c>
      <c r="Q237" s="281" t="s">
        <v>7818</v>
      </c>
      <c r="R237" s="230">
        <v>49218</v>
      </c>
      <c r="S237" s="230">
        <v>45519</v>
      </c>
    </row>
    <row r="238" spans="1:26" ht="42.75" customHeight="1" x14ac:dyDescent="0.25">
      <c r="A238" s="293" t="s">
        <v>7819</v>
      </c>
      <c r="B238" s="278"/>
      <c r="C238" s="228"/>
      <c r="D238" s="23"/>
      <c r="E238" s="228"/>
      <c r="F238" s="295"/>
      <c r="G238" s="89"/>
      <c r="H238" s="295"/>
      <c r="I238" s="283"/>
      <c r="J238" s="228"/>
      <c r="K238" s="230"/>
      <c r="L238" s="228"/>
      <c r="M238" s="230"/>
      <c r="N238" s="228"/>
      <c r="O238" s="228"/>
      <c r="P238" s="278"/>
      <c r="Q238" s="281"/>
      <c r="R238" s="230"/>
      <c r="S238" s="230"/>
    </row>
    <row r="239" spans="1:26" ht="42.75" customHeight="1" x14ac:dyDescent="0.25">
      <c r="A239" s="202">
        <v>1</v>
      </c>
      <c r="B239" s="199" t="s">
        <v>7820</v>
      </c>
      <c r="C239" s="200" t="s">
        <v>46</v>
      </c>
      <c r="D239" s="199" t="s">
        <v>1934</v>
      </c>
      <c r="E239" s="200">
        <v>25825</v>
      </c>
      <c r="F239" s="201" t="s">
        <v>7821</v>
      </c>
      <c r="G239" s="169" t="s">
        <v>7822</v>
      </c>
      <c r="H239" s="201"/>
      <c r="I239" s="205" t="s">
        <v>7823</v>
      </c>
      <c r="J239" s="205" t="s">
        <v>81</v>
      </c>
      <c r="K239" s="200">
        <v>44253</v>
      </c>
      <c r="L239" s="202" t="s">
        <v>1699</v>
      </c>
      <c r="M239" s="200" t="s">
        <v>3504</v>
      </c>
      <c r="N239" s="202">
        <v>24</v>
      </c>
      <c r="O239" s="202">
        <v>7</v>
      </c>
      <c r="P239" s="199" t="s">
        <v>376</v>
      </c>
      <c r="Q239" s="48" t="s">
        <v>7824</v>
      </c>
      <c r="R239" s="200">
        <v>47027</v>
      </c>
      <c r="S239" s="200" t="s">
        <v>1084</v>
      </c>
    </row>
    <row r="240" spans="1:26" ht="42.75" customHeight="1" x14ac:dyDescent="0.25">
      <c r="A240" s="202">
        <v>2</v>
      </c>
      <c r="B240" s="281" t="s">
        <v>7825</v>
      </c>
      <c r="C240" s="200" t="s">
        <v>46</v>
      </c>
      <c r="D240" s="24" t="s">
        <v>1648</v>
      </c>
      <c r="E240" s="229">
        <v>26150</v>
      </c>
      <c r="F240" s="231" t="s">
        <v>7826</v>
      </c>
      <c r="G240" s="169" t="s">
        <v>7827</v>
      </c>
      <c r="H240" s="231"/>
      <c r="I240" s="205" t="s">
        <v>6810</v>
      </c>
      <c r="J240" s="205" t="s">
        <v>81</v>
      </c>
      <c r="K240" s="200">
        <v>44183</v>
      </c>
      <c r="L240" s="228" t="s">
        <v>1738</v>
      </c>
      <c r="M240" s="230">
        <v>43191</v>
      </c>
      <c r="N240" s="283">
        <v>22</v>
      </c>
      <c r="O240" s="283">
        <v>1</v>
      </c>
      <c r="P240" s="199" t="s">
        <v>376</v>
      </c>
      <c r="Q240" s="280" t="s">
        <v>7828</v>
      </c>
      <c r="R240" s="229">
        <v>47362</v>
      </c>
      <c r="S240" s="229">
        <v>40245</v>
      </c>
    </row>
    <row r="241" spans="1:19" ht="42.75" customHeight="1" x14ac:dyDescent="0.25">
      <c r="A241" s="202">
        <v>3</v>
      </c>
      <c r="B241" s="199" t="s">
        <v>7829</v>
      </c>
      <c r="C241" s="200" t="s">
        <v>46</v>
      </c>
      <c r="D241" s="199" t="s">
        <v>1489</v>
      </c>
      <c r="E241" s="200">
        <v>24597</v>
      </c>
      <c r="F241" s="201" t="s">
        <v>7830</v>
      </c>
      <c r="G241" s="169" t="s">
        <v>7831</v>
      </c>
      <c r="H241" s="201"/>
      <c r="I241" s="205" t="s">
        <v>7832</v>
      </c>
      <c r="J241" s="205" t="s">
        <v>81</v>
      </c>
      <c r="K241" s="200">
        <v>44560</v>
      </c>
      <c r="L241" s="206" t="s">
        <v>1699</v>
      </c>
      <c r="M241" s="200">
        <v>44835</v>
      </c>
      <c r="N241" s="202">
        <v>28</v>
      </c>
      <c r="O241" s="202">
        <v>7</v>
      </c>
      <c r="P241" s="199" t="s">
        <v>376</v>
      </c>
      <c r="Q241" s="48" t="s">
        <v>7833</v>
      </c>
      <c r="R241" s="200">
        <v>45809</v>
      </c>
      <c r="S241" s="200" t="s">
        <v>1084</v>
      </c>
    </row>
    <row r="242" spans="1:19" ht="42.75" customHeight="1" x14ac:dyDescent="0.25">
      <c r="A242" s="202">
        <v>4</v>
      </c>
      <c r="B242" s="278" t="s">
        <v>7834</v>
      </c>
      <c r="C242" s="200" t="s">
        <v>46</v>
      </c>
      <c r="D242" s="23" t="s">
        <v>1489</v>
      </c>
      <c r="E242" s="228" t="s">
        <v>7835</v>
      </c>
      <c r="F242" s="231" t="s">
        <v>7836</v>
      </c>
      <c r="G242" s="34" t="s">
        <v>7837</v>
      </c>
      <c r="H242" s="231"/>
      <c r="I242" s="205" t="s">
        <v>274</v>
      </c>
      <c r="J242" s="205" t="s">
        <v>81</v>
      </c>
      <c r="K242" s="230"/>
      <c r="L242" s="228" t="s">
        <v>1738</v>
      </c>
      <c r="M242" s="229">
        <v>44652</v>
      </c>
      <c r="N242" s="283">
        <v>21</v>
      </c>
      <c r="O242" s="283">
        <v>0</v>
      </c>
      <c r="P242" s="199" t="s">
        <v>376</v>
      </c>
      <c r="Q242" s="281" t="s">
        <v>7838</v>
      </c>
      <c r="R242" s="230">
        <v>46905</v>
      </c>
      <c r="S242" s="230">
        <v>40452</v>
      </c>
    </row>
    <row r="243" spans="1:19" ht="42.75" customHeight="1" x14ac:dyDescent="0.25">
      <c r="A243" s="202">
        <v>5</v>
      </c>
      <c r="B243" s="23" t="s">
        <v>7839</v>
      </c>
      <c r="C243" s="228" t="s">
        <v>18</v>
      </c>
      <c r="D243" s="23" t="s">
        <v>1648</v>
      </c>
      <c r="E243" s="230">
        <v>25360</v>
      </c>
      <c r="F243" s="231" t="s">
        <v>7840</v>
      </c>
      <c r="G243" s="34" t="s">
        <v>7841</v>
      </c>
      <c r="H243" s="231"/>
      <c r="I243" s="205" t="s">
        <v>570</v>
      </c>
      <c r="J243" s="205" t="s">
        <v>81</v>
      </c>
      <c r="K243" s="230"/>
      <c r="L243" s="328" t="s">
        <v>1991</v>
      </c>
      <c r="M243" s="324">
        <v>41365</v>
      </c>
      <c r="N243" s="328">
        <v>15</v>
      </c>
      <c r="O243" s="328">
        <v>1</v>
      </c>
      <c r="P243" s="329" t="s">
        <v>460</v>
      </c>
      <c r="Q243" s="330">
        <v>1988</v>
      </c>
      <c r="R243" s="324">
        <v>46569</v>
      </c>
      <c r="S243" s="324">
        <v>39454</v>
      </c>
    </row>
    <row r="244" spans="1:19" ht="42.75" customHeight="1" x14ac:dyDescent="0.25">
      <c r="A244" s="202">
        <v>6</v>
      </c>
      <c r="B244" s="232" t="s">
        <v>7842</v>
      </c>
      <c r="C244" s="202" t="s">
        <v>18</v>
      </c>
      <c r="D244" s="199" t="s">
        <v>1489</v>
      </c>
      <c r="E244" s="202" t="s">
        <v>7843</v>
      </c>
      <c r="F244" s="201" t="s">
        <v>7844</v>
      </c>
      <c r="G244" s="169" t="s">
        <v>7845</v>
      </c>
      <c r="H244" s="201"/>
      <c r="I244" s="205" t="s">
        <v>7846</v>
      </c>
      <c r="J244" s="205" t="s">
        <v>7847</v>
      </c>
      <c r="K244" s="203">
        <v>43525</v>
      </c>
      <c r="L244" s="202" t="s">
        <v>1738</v>
      </c>
      <c r="M244" s="203">
        <v>44652</v>
      </c>
      <c r="N244" s="206">
        <v>12</v>
      </c>
      <c r="O244" s="206">
        <v>4</v>
      </c>
      <c r="P244" s="199" t="s">
        <v>376</v>
      </c>
      <c r="Q244" s="205" t="s">
        <v>7848</v>
      </c>
      <c r="R244" s="200">
        <v>50161</v>
      </c>
      <c r="S244" s="200">
        <v>44805</v>
      </c>
    </row>
    <row r="245" spans="1:19" ht="42.75" customHeight="1" x14ac:dyDescent="0.25">
      <c r="A245" s="202">
        <v>7</v>
      </c>
      <c r="B245" s="23" t="s">
        <v>7849</v>
      </c>
      <c r="C245" s="228" t="s">
        <v>18</v>
      </c>
      <c r="D245" s="23" t="s">
        <v>1934</v>
      </c>
      <c r="E245" s="230">
        <v>24675</v>
      </c>
      <c r="F245" s="231" t="s">
        <v>7850</v>
      </c>
      <c r="G245" s="34" t="s">
        <v>7851</v>
      </c>
      <c r="H245" s="231"/>
      <c r="I245" s="205" t="s">
        <v>570</v>
      </c>
      <c r="J245" s="205" t="s">
        <v>81</v>
      </c>
      <c r="K245" s="230"/>
      <c r="L245" s="228" t="s">
        <v>1991</v>
      </c>
      <c r="M245" s="230" t="s">
        <v>7852</v>
      </c>
      <c r="N245" s="228">
        <v>17</v>
      </c>
      <c r="O245" s="228">
        <v>4</v>
      </c>
      <c r="P245" s="23" t="s">
        <v>449</v>
      </c>
      <c r="Q245" s="24"/>
      <c r="R245" s="230">
        <v>45870</v>
      </c>
      <c r="S245" s="230">
        <v>40632</v>
      </c>
    </row>
    <row r="246" spans="1:19" ht="42.75" customHeight="1" x14ac:dyDescent="0.25">
      <c r="A246" s="202">
        <v>8</v>
      </c>
      <c r="B246" s="23" t="s">
        <v>7853</v>
      </c>
      <c r="C246" s="230" t="s">
        <v>18</v>
      </c>
      <c r="D246" s="23" t="s">
        <v>1934</v>
      </c>
      <c r="E246" s="230">
        <v>24531</v>
      </c>
      <c r="F246" s="231" t="s">
        <v>7854</v>
      </c>
      <c r="G246" s="34" t="s">
        <v>7855</v>
      </c>
      <c r="H246" s="231"/>
      <c r="I246" s="205" t="s">
        <v>391</v>
      </c>
      <c r="J246" s="205" t="s">
        <v>81</v>
      </c>
      <c r="K246" s="230"/>
      <c r="L246" s="228" t="s">
        <v>1991</v>
      </c>
      <c r="M246" s="230" t="s">
        <v>7852</v>
      </c>
      <c r="N246" s="228">
        <v>16</v>
      </c>
      <c r="O246" s="228">
        <v>9</v>
      </c>
      <c r="P246" s="23" t="s">
        <v>430</v>
      </c>
      <c r="Q246" s="24"/>
      <c r="R246" s="230">
        <v>45717</v>
      </c>
      <c r="S246" s="230">
        <v>43678</v>
      </c>
    </row>
    <row r="247" spans="1:19" ht="42.75" customHeight="1" x14ac:dyDescent="0.25">
      <c r="A247" s="202">
        <v>9</v>
      </c>
      <c r="B247" s="23" t="s">
        <v>7856</v>
      </c>
      <c r="C247" s="200" t="s">
        <v>46</v>
      </c>
      <c r="D247" s="23" t="s">
        <v>1489</v>
      </c>
      <c r="E247" s="230">
        <v>26776</v>
      </c>
      <c r="F247" s="231" t="s">
        <v>7857</v>
      </c>
      <c r="G247" s="34" t="s">
        <v>7858</v>
      </c>
      <c r="H247" s="231"/>
      <c r="I247" s="205" t="s">
        <v>7859</v>
      </c>
      <c r="J247" s="205" t="s">
        <v>81</v>
      </c>
      <c r="K247" s="229"/>
      <c r="L247" s="228" t="s">
        <v>2698</v>
      </c>
      <c r="M247" s="229">
        <v>44652</v>
      </c>
      <c r="N247" s="283">
        <v>23</v>
      </c>
      <c r="O247" s="283">
        <v>5</v>
      </c>
      <c r="P247" s="278" t="s">
        <v>430</v>
      </c>
      <c r="Q247" s="281" t="s">
        <v>7860</v>
      </c>
      <c r="R247" s="230">
        <v>47969</v>
      </c>
      <c r="S247" s="230">
        <v>45159</v>
      </c>
    </row>
    <row r="248" spans="1:19" ht="42.75" customHeight="1" x14ac:dyDescent="0.25">
      <c r="A248" s="202">
        <v>10</v>
      </c>
      <c r="B248" s="278" t="s">
        <v>7861</v>
      </c>
      <c r="C248" s="200" t="s">
        <v>46</v>
      </c>
      <c r="D248" s="23" t="s">
        <v>1648</v>
      </c>
      <c r="E248" s="229">
        <v>26369</v>
      </c>
      <c r="F248" s="231" t="s">
        <v>7862</v>
      </c>
      <c r="G248" s="34" t="s">
        <v>7863</v>
      </c>
      <c r="H248" s="231"/>
      <c r="I248" s="205" t="s">
        <v>6849</v>
      </c>
      <c r="J248" s="331" t="s">
        <v>81</v>
      </c>
      <c r="K248" s="230"/>
      <c r="L248" s="228" t="s">
        <v>2698</v>
      </c>
      <c r="M248" s="230">
        <v>45017</v>
      </c>
      <c r="N248" s="228">
        <v>24</v>
      </c>
      <c r="O248" s="228">
        <v>0</v>
      </c>
      <c r="P248" s="278" t="s">
        <v>460</v>
      </c>
      <c r="Q248" s="281" t="s">
        <v>7864</v>
      </c>
      <c r="R248" s="230">
        <v>47574</v>
      </c>
      <c r="S248" s="230">
        <v>45170</v>
      </c>
    </row>
    <row r="249" spans="1:19" ht="42.75" customHeight="1" x14ac:dyDescent="0.25">
      <c r="A249" s="202">
        <v>11</v>
      </c>
      <c r="B249" s="278" t="s">
        <v>7865</v>
      </c>
      <c r="C249" s="228" t="s">
        <v>18</v>
      </c>
      <c r="D249" s="23" t="s">
        <v>1934</v>
      </c>
      <c r="E249" s="282" t="s">
        <v>7866</v>
      </c>
      <c r="F249" s="231" t="s">
        <v>7867</v>
      </c>
      <c r="G249" s="34" t="s">
        <v>7868</v>
      </c>
      <c r="H249" s="231"/>
      <c r="I249" s="205" t="s">
        <v>570</v>
      </c>
      <c r="J249" s="205" t="s">
        <v>81</v>
      </c>
      <c r="K249" s="230"/>
      <c r="L249" s="228" t="s">
        <v>6889</v>
      </c>
      <c r="M249" s="229">
        <v>44470</v>
      </c>
      <c r="N249" s="228">
        <v>16</v>
      </c>
      <c r="O249" s="228">
        <v>9</v>
      </c>
      <c r="P249" s="278" t="s">
        <v>460</v>
      </c>
      <c r="Q249" s="281" t="s">
        <v>7869</v>
      </c>
      <c r="R249" s="230">
        <v>47484</v>
      </c>
      <c r="S249" s="230">
        <v>40238</v>
      </c>
    </row>
    <row r="250" spans="1:19" ht="42.75" customHeight="1" x14ac:dyDescent="0.25">
      <c r="A250" s="202">
        <v>12</v>
      </c>
      <c r="B250" s="278" t="s">
        <v>7870</v>
      </c>
      <c r="C250" s="228" t="s">
        <v>18</v>
      </c>
      <c r="D250" s="23" t="s">
        <v>1934</v>
      </c>
      <c r="E250" s="282" t="s">
        <v>7871</v>
      </c>
      <c r="F250" s="231" t="s">
        <v>7872</v>
      </c>
      <c r="G250" s="34" t="s">
        <v>7873</v>
      </c>
      <c r="H250" s="231"/>
      <c r="I250" s="205" t="s">
        <v>570</v>
      </c>
      <c r="J250" s="205" t="s">
        <v>81</v>
      </c>
      <c r="K250" s="230"/>
      <c r="L250" s="228" t="s">
        <v>6889</v>
      </c>
      <c r="M250" s="229">
        <v>44470</v>
      </c>
      <c r="N250" s="228">
        <v>16</v>
      </c>
      <c r="O250" s="228">
        <v>9</v>
      </c>
      <c r="P250" s="278" t="s">
        <v>437</v>
      </c>
      <c r="Q250" s="281" t="s">
        <v>7874</v>
      </c>
      <c r="R250" s="230">
        <v>50649</v>
      </c>
      <c r="S250" s="230">
        <v>40238</v>
      </c>
    </row>
    <row r="251" spans="1:19" ht="42.75" customHeight="1" x14ac:dyDescent="0.25">
      <c r="A251" s="202">
        <v>13</v>
      </c>
      <c r="B251" s="278" t="s">
        <v>7875</v>
      </c>
      <c r="C251" s="228" t="s">
        <v>18</v>
      </c>
      <c r="D251" s="23" t="s">
        <v>1934</v>
      </c>
      <c r="E251" s="282" t="s">
        <v>7876</v>
      </c>
      <c r="F251" s="231" t="s">
        <v>7877</v>
      </c>
      <c r="G251" s="34" t="s">
        <v>7878</v>
      </c>
      <c r="H251" s="231"/>
      <c r="I251" s="205" t="s">
        <v>274</v>
      </c>
      <c r="J251" s="205" t="s">
        <v>81</v>
      </c>
      <c r="K251" s="230"/>
      <c r="L251" s="228" t="s">
        <v>6896</v>
      </c>
      <c r="M251" s="230" t="s">
        <v>7650</v>
      </c>
      <c r="N251" s="228">
        <v>15</v>
      </c>
      <c r="O251" s="228">
        <v>9</v>
      </c>
      <c r="P251" s="278" t="s">
        <v>460</v>
      </c>
      <c r="Q251" s="281" t="s">
        <v>418</v>
      </c>
      <c r="R251" s="230">
        <v>48731</v>
      </c>
      <c r="S251" s="230">
        <v>40238</v>
      </c>
    </row>
    <row r="252" spans="1:19" ht="42.75" customHeight="1" x14ac:dyDescent="0.25">
      <c r="A252" s="202">
        <v>14</v>
      </c>
      <c r="B252" s="278" t="s">
        <v>7879</v>
      </c>
      <c r="C252" s="200" t="s">
        <v>46</v>
      </c>
      <c r="D252" s="23" t="s">
        <v>1934</v>
      </c>
      <c r="E252" s="228" t="s">
        <v>7880</v>
      </c>
      <c r="F252" s="231" t="s">
        <v>7881</v>
      </c>
      <c r="G252" s="34" t="s">
        <v>7882</v>
      </c>
      <c r="H252" s="231"/>
      <c r="I252" s="205" t="s">
        <v>6836</v>
      </c>
      <c r="J252" s="205" t="s">
        <v>81</v>
      </c>
      <c r="K252" s="230"/>
      <c r="L252" s="228" t="s">
        <v>6889</v>
      </c>
      <c r="M252" s="229">
        <v>44470</v>
      </c>
      <c r="N252" s="283">
        <v>16</v>
      </c>
      <c r="O252" s="283">
        <v>9</v>
      </c>
      <c r="P252" s="278" t="s">
        <v>449</v>
      </c>
      <c r="Q252" s="281" t="s">
        <v>7173</v>
      </c>
      <c r="R252" s="230">
        <v>52232</v>
      </c>
      <c r="S252" s="230">
        <v>44562</v>
      </c>
    </row>
    <row r="253" spans="1:19" ht="42.75" customHeight="1" x14ac:dyDescent="0.25">
      <c r="A253" s="202">
        <v>15</v>
      </c>
      <c r="B253" s="278" t="s">
        <v>7883</v>
      </c>
      <c r="C253" s="228" t="s">
        <v>18</v>
      </c>
      <c r="D253" s="23" t="s">
        <v>1934</v>
      </c>
      <c r="E253" s="282" t="s">
        <v>7884</v>
      </c>
      <c r="F253" s="231" t="s">
        <v>7885</v>
      </c>
      <c r="G253" s="34" t="s">
        <v>7886</v>
      </c>
      <c r="H253" s="231"/>
      <c r="I253" s="205" t="s">
        <v>391</v>
      </c>
      <c r="J253" s="205" t="s">
        <v>81</v>
      </c>
      <c r="K253" s="230"/>
      <c r="L253" s="228" t="s">
        <v>7887</v>
      </c>
      <c r="M253" s="230" t="s">
        <v>3978</v>
      </c>
      <c r="N253" s="228">
        <v>13</v>
      </c>
      <c r="O253" s="228">
        <v>9</v>
      </c>
      <c r="P253" s="278" t="s">
        <v>552</v>
      </c>
      <c r="Q253" s="281" t="s">
        <v>7888</v>
      </c>
      <c r="R253" s="230">
        <v>51867</v>
      </c>
      <c r="S253" s="230">
        <v>40238</v>
      </c>
    </row>
    <row r="254" spans="1:19" ht="42.75" customHeight="1" x14ac:dyDescent="0.25">
      <c r="A254" s="202">
        <v>16</v>
      </c>
      <c r="B254" s="278" t="s">
        <v>7889</v>
      </c>
      <c r="C254" s="228" t="s">
        <v>18</v>
      </c>
      <c r="D254" s="23" t="s">
        <v>1648</v>
      </c>
      <c r="E254" s="228" t="s">
        <v>7890</v>
      </c>
      <c r="F254" s="231" t="s">
        <v>7891</v>
      </c>
      <c r="G254" s="34" t="s">
        <v>7892</v>
      </c>
      <c r="H254" s="231"/>
      <c r="I254" s="205" t="s">
        <v>7893</v>
      </c>
      <c r="J254" s="205" t="s">
        <v>81</v>
      </c>
      <c r="K254" s="230"/>
      <c r="L254" s="228" t="s">
        <v>2698</v>
      </c>
      <c r="M254" s="229">
        <v>45017</v>
      </c>
      <c r="N254" s="283">
        <v>15</v>
      </c>
      <c r="O254" s="283">
        <v>0</v>
      </c>
      <c r="P254" s="199" t="s">
        <v>376</v>
      </c>
      <c r="Q254" s="281" t="s">
        <v>1084</v>
      </c>
      <c r="R254" s="230">
        <v>47392</v>
      </c>
      <c r="S254" s="230">
        <v>44634</v>
      </c>
    </row>
    <row r="255" spans="1:19" ht="42.75" customHeight="1" x14ac:dyDescent="0.25">
      <c r="A255" s="293" t="s">
        <v>7894</v>
      </c>
      <c r="B255" s="278"/>
      <c r="C255" s="228"/>
      <c r="D255" s="23"/>
      <c r="E255" s="228"/>
      <c r="F255" s="295"/>
      <c r="G255" s="232"/>
      <c r="H255" s="295"/>
      <c r="I255" s="283"/>
      <c r="J255" s="228"/>
      <c r="K255" s="230"/>
      <c r="L255" s="228"/>
      <c r="M255" s="230"/>
      <c r="N255" s="228"/>
      <c r="O255" s="228"/>
      <c r="P255" s="278"/>
      <c r="Q255" s="281"/>
      <c r="R255" s="230"/>
      <c r="S255" s="230"/>
    </row>
    <row r="256" spans="1:19" ht="42.75" customHeight="1" x14ac:dyDescent="0.25">
      <c r="A256" s="202">
        <v>1</v>
      </c>
      <c r="B256" s="199" t="s">
        <v>7895</v>
      </c>
      <c r="C256" s="202" t="s">
        <v>18</v>
      </c>
      <c r="D256" s="199" t="s">
        <v>7896</v>
      </c>
      <c r="E256" s="200">
        <v>26432</v>
      </c>
      <c r="F256" s="201" t="s">
        <v>7897</v>
      </c>
      <c r="G256" s="169" t="s">
        <v>7898</v>
      </c>
      <c r="H256" s="201"/>
      <c r="I256" s="48" t="s">
        <v>7899</v>
      </c>
      <c r="J256" s="205" t="s">
        <v>725</v>
      </c>
      <c r="K256" s="200">
        <v>44105</v>
      </c>
      <c r="L256" s="202" t="s">
        <v>1558</v>
      </c>
      <c r="M256" s="200">
        <v>44835</v>
      </c>
      <c r="N256" s="202">
        <v>22</v>
      </c>
      <c r="O256" s="202">
        <v>7</v>
      </c>
      <c r="P256" s="199" t="s">
        <v>982</v>
      </c>
      <c r="Q256" s="48" t="s">
        <v>7900</v>
      </c>
      <c r="R256" s="200">
        <v>47635</v>
      </c>
      <c r="S256" s="200" t="s">
        <v>1084</v>
      </c>
    </row>
    <row r="257" spans="1:19" ht="42.75" customHeight="1" x14ac:dyDescent="0.25">
      <c r="A257" s="202">
        <v>2</v>
      </c>
      <c r="B257" s="199" t="s">
        <v>7901</v>
      </c>
      <c r="C257" s="200" t="s">
        <v>46</v>
      </c>
      <c r="D257" s="199" t="s">
        <v>7902</v>
      </c>
      <c r="E257" s="203">
        <v>25542</v>
      </c>
      <c r="F257" s="201" t="s">
        <v>7903</v>
      </c>
      <c r="G257" s="169" t="s">
        <v>7904</v>
      </c>
      <c r="H257" s="201"/>
      <c r="I257" s="205" t="s">
        <v>7905</v>
      </c>
      <c r="J257" s="205" t="s">
        <v>725</v>
      </c>
      <c r="K257" s="200">
        <v>44560</v>
      </c>
      <c r="L257" s="202" t="s">
        <v>1699</v>
      </c>
      <c r="M257" s="200">
        <v>44287</v>
      </c>
      <c r="N257" s="202">
        <v>25</v>
      </c>
      <c r="O257" s="202">
        <v>1</v>
      </c>
      <c r="P257" s="232" t="s">
        <v>982</v>
      </c>
      <c r="Q257" s="205" t="s">
        <v>7906</v>
      </c>
      <c r="R257" s="200">
        <v>46753</v>
      </c>
      <c r="S257" s="200">
        <v>40632</v>
      </c>
    </row>
    <row r="258" spans="1:19" ht="42.75" customHeight="1" x14ac:dyDescent="0.25">
      <c r="A258" s="202">
        <v>3</v>
      </c>
      <c r="B258" s="199" t="s">
        <v>7907</v>
      </c>
      <c r="C258" s="292" t="s">
        <v>18</v>
      </c>
      <c r="D258" s="199" t="s">
        <v>2184</v>
      </c>
      <c r="E258" s="200">
        <v>27672</v>
      </c>
      <c r="F258" s="201" t="s">
        <v>7908</v>
      </c>
      <c r="G258" s="78" t="s">
        <v>7909</v>
      </c>
      <c r="H258" s="201"/>
      <c r="I258" s="205" t="s">
        <v>6810</v>
      </c>
      <c r="J258" s="205" t="s">
        <v>393</v>
      </c>
      <c r="K258" s="203" t="s">
        <v>7910</v>
      </c>
      <c r="L258" s="202" t="s">
        <v>1699</v>
      </c>
      <c r="M258" s="203">
        <v>44470</v>
      </c>
      <c r="N258" s="206">
        <v>17</v>
      </c>
      <c r="O258" s="206">
        <v>10</v>
      </c>
      <c r="P258" s="199" t="s">
        <v>982</v>
      </c>
      <c r="Q258" s="205" t="s">
        <v>7911</v>
      </c>
      <c r="R258" s="200">
        <v>48884</v>
      </c>
      <c r="S258" s="200">
        <v>45231</v>
      </c>
    </row>
    <row r="259" spans="1:19" ht="42.75" customHeight="1" x14ac:dyDescent="0.25">
      <c r="A259" s="202">
        <v>4</v>
      </c>
      <c r="B259" s="23" t="s">
        <v>7912</v>
      </c>
      <c r="C259" s="200" t="s">
        <v>46</v>
      </c>
      <c r="D259" s="23" t="s">
        <v>1648</v>
      </c>
      <c r="E259" s="230">
        <v>26323</v>
      </c>
      <c r="F259" s="231" t="s">
        <v>7913</v>
      </c>
      <c r="G259" s="34" t="s">
        <v>7914</v>
      </c>
      <c r="H259" s="231"/>
      <c r="I259" s="205" t="s">
        <v>570</v>
      </c>
      <c r="J259" s="205" t="s">
        <v>725</v>
      </c>
      <c r="K259" s="230"/>
      <c r="L259" s="228" t="s">
        <v>1738</v>
      </c>
      <c r="M259" s="230">
        <v>42461</v>
      </c>
      <c r="N259" s="228">
        <v>12</v>
      </c>
      <c r="O259" s="228">
        <v>4</v>
      </c>
      <c r="P259" s="199" t="s">
        <v>376</v>
      </c>
      <c r="Q259" s="24" t="s">
        <v>7915</v>
      </c>
      <c r="R259" s="230" t="s">
        <v>7916</v>
      </c>
      <c r="S259" s="230">
        <v>44082</v>
      </c>
    </row>
    <row r="260" spans="1:19" ht="42.75" customHeight="1" x14ac:dyDescent="0.25">
      <c r="A260" s="202">
        <v>5</v>
      </c>
      <c r="B260" s="23" t="s">
        <v>7917</v>
      </c>
      <c r="C260" s="200" t="s">
        <v>46</v>
      </c>
      <c r="D260" s="23" t="s">
        <v>1934</v>
      </c>
      <c r="E260" s="230">
        <v>25025</v>
      </c>
      <c r="F260" s="231" t="s">
        <v>7918</v>
      </c>
      <c r="G260" s="34" t="s">
        <v>7919</v>
      </c>
      <c r="H260" s="231"/>
      <c r="I260" s="205" t="s">
        <v>570</v>
      </c>
      <c r="J260" s="205" t="s">
        <v>725</v>
      </c>
      <c r="K260" s="230"/>
      <c r="L260" s="228" t="s">
        <v>1738</v>
      </c>
      <c r="M260" s="230">
        <v>44652</v>
      </c>
      <c r="N260" s="228">
        <v>23</v>
      </c>
      <c r="O260" s="228">
        <v>1</v>
      </c>
      <c r="P260" s="199" t="s">
        <v>376</v>
      </c>
      <c r="Q260" s="281" t="s">
        <v>7920</v>
      </c>
      <c r="R260" s="230">
        <v>46235</v>
      </c>
      <c r="S260" s="230">
        <v>45108</v>
      </c>
    </row>
    <row r="261" spans="1:19" ht="42.75" customHeight="1" x14ac:dyDescent="0.25">
      <c r="A261" s="202">
        <v>6</v>
      </c>
      <c r="B261" s="23" t="s">
        <v>7921</v>
      </c>
      <c r="C261" s="200" t="s">
        <v>46</v>
      </c>
      <c r="D261" s="23" t="s">
        <v>1638</v>
      </c>
      <c r="E261" s="229">
        <v>27217</v>
      </c>
      <c r="F261" s="231" t="s">
        <v>7922</v>
      </c>
      <c r="G261" s="34" t="s">
        <v>7923</v>
      </c>
      <c r="H261" s="231"/>
      <c r="I261" s="205" t="s">
        <v>570</v>
      </c>
      <c r="J261" s="205" t="s">
        <v>725</v>
      </c>
      <c r="K261" s="230">
        <v>45047</v>
      </c>
      <c r="L261" s="228" t="s">
        <v>1717</v>
      </c>
      <c r="M261" s="230" t="s">
        <v>3978</v>
      </c>
      <c r="N261" s="228">
        <v>15</v>
      </c>
      <c r="O261" s="228">
        <v>10</v>
      </c>
      <c r="P261" s="199" t="s">
        <v>376</v>
      </c>
      <c r="Q261" s="281" t="s">
        <v>7924</v>
      </c>
      <c r="R261" s="230">
        <v>48427</v>
      </c>
      <c r="S261" s="230">
        <v>44562</v>
      </c>
    </row>
    <row r="262" spans="1:19" ht="42.75" customHeight="1" x14ac:dyDescent="0.25">
      <c r="A262" s="202">
        <v>7</v>
      </c>
      <c r="B262" s="23" t="s">
        <v>7925</v>
      </c>
      <c r="C262" s="230" t="s">
        <v>18</v>
      </c>
      <c r="D262" s="23" t="s">
        <v>1456</v>
      </c>
      <c r="E262" s="230">
        <v>25423</v>
      </c>
      <c r="F262" s="231" t="s">
        <v>7926</v>
      </c>
      <c r="G262" s="34" t="s">
        <v>7927</v>
      </c>
      <c r="H262" s="231"/>
      <c r="I262" s="205" t="s">
        <v>7148</v>
      </c>
      <c r="J262" s="205" t="s">
        <v>725</v>
      </c>
      <c r="K262" s="230"/>
      <c r="L262" s="228" t="s">
        <v>1991</v>
      </c>
      <c r="M262" s="230">
        <v>41730</v>
      </c>
      <c r="N262" s="228">
        <v>16</v>
      </c>
      <c r="O262" s="228">
        <v>1</v>
      </c>
      <c r="P262" s="278" t="s">
        <v>460</v>
      </c>
      <c r="Q262" s="281"/>
      <c r="R262" s="230">
        <v>46631</v>
      </c>
      <c r="S262" s="230">
        <v>44116</v>
      </c>
    </row>
    <row r="263" spans="1:19" ht="42.75" customHeight="1" x14ac:dyDescent="0.25">
      <c r="A263" s="202">
        <v>8</v>
      </c>
      <c r="B263" s="23" t="s">
        <v>7928</v>
      </c>
      <c r="C263" s="282" t="s">
        <v>18</v>
      </c>
      <c r="D263" s="23" t="s">
        <v>1648</v>
      </c>
      <c r="E263" s="230">
        <v>25702</v>
      </c>
      <c r="F263" s="231" t="s">
        <v>7929</v>
      </c>
      <c r="G263" s="34" t="s">
        <v>7930</v>
      </c>
      <c r="H263" s="231"/>
      <c r="I263" s="205" t="s">
        <v>6849</v>
      </c>
      <c r="J263" s="205" t="s">
        <v>725</v>
      </c>
      <c r="K263" s="230"/>
      <c r="L263" s="228" t="s">
        <v>1717</v>
      </c>
      <c r="M263" s="229">
        <v>45200</v>
      </c>
      <c r="N263" s="283">
        <v>21</v>
      </c>
      <c r="O263" s="283">
        <v>6</v>
      </c>
      <c r="P263" s="199" t="s">
        <v>376</v>
      </c>
      <c r="Q263" s="281" t="s">
        <v>2825</v>
      </c>
      <c r="R263" s="230">
        <v>46905</v>
      </c>
      <c r="S263" s="230">
        <v>40330</v>
      </c>
    </row>
    <row r="264" spans="1:19" ht="42.75" customHeight="1" x14ac:dyDescent="0.25">
      <c r="A264" s="202">
        <v>9</v>
      </c>
      <c r="B264" s="23" t="s">
        <v>7931</v>
      </c>
      <c r="C264" s="282" t="s">
        <v>18</v>
      </c>
      <c r="D264" s="23" t="s">
        <v>1934</v>
      </c>
      <c r="E264" s="229">
        <v>25311</v>
      </c>
      <c r="F264" s="231" t="s">
        <v>7932</v>
      </c>
      <c r="G264" s="34" t="s">
        <v>7933</v>
      </c>
      <c r="H264" s="231"/>
      <c r="I264" s="205" t="s">
        <v>391</v>
      </c>
      <c r="J264" s="205" t="s">
        <v>725</v>
      </c>
      <c r="K264" s="229"/>
      <c r="L264" s="228" t="s">
        <v>1991</v>
      </c>
      <c r="M264" s="229">
        <v>40269</v>
      </c>
      <c r="N264" s="283">
        <v>14</v>
      </c>
      <c r="O264" s="283">
        <v>1</v>
      </c>
      <c r="P264" s="278" t="s">
        <v>430</v>
      </c>
      <c r="Q264" s="280" t="s">
        <v>7934</v>
      </c>
      <c r="R264" s="230">
        <v>46661</v>
      </c>
      <c r="S264" s="230">
        <v>45231</v>
      </c>
    </row>
    <row r="265" spans="1:19" ht="42.75" customHeight="1" x14ac:dyDescent="0.25">
      <c r="A265" s="202">
        <v>10</v>
      </c>
      <c r="B265" s="278" t="s">
        <v>7935</v>
      </c>
      <c r="C265" s="228" t="s">
        <v>18</v>
      </c>
      <c r="D265" s="23" t="s">
        <v>1648</v>
      </c>
      <c r="E265" s="228" t="s">
        <v>7936</v>
      </c>
      <c r="F265" s="231" t="s">
        <v>7937</v>
      </c>
      <c r="G265" s="34" t="s">
        <v>7938</v>
      </c>
      <c r="H265" s="231"/>
      <c r="I265" s="205" t="s">
        <v>6836</v>
      </c>
      <c r="J265" s="205" t="s">
        <v>725</v>
      </c>
      <c r="K265" s="230"/>
      <c r="L265" s="228" t="s">
        <v>6889</v>
      </c>
      <c r="M265" s="229">
        <v>44470</v>
      </c>
      <c r="N265" s="228">
        <v>23</v>
      </c>
      <c r="O265" s="228">
        <v>1</v>
      </c>
      <c r="P265" s="278" t="s">
        <v>460</v>
      </c>
      <c r="Q265" s="281" t="s">
        <v>7939</v>
      </c>
      <c r="R265" s="230">
        <v>47027</v>
      </c>
      <c r="S265" s="230">
        <v>44562</v>
      </c>
    </row>
    <row r="266" spans="1:19" ht="42.75" customHeight="1" x14ac:dyDescent="0.25">
      <c r="A266" s="202">
        <v>11</v>
      </c>
      <c r="B266" s="278" t="s">
        <v>7940</v>
      </c>
      <c r="C266" s="228" t="s">
        <v>18</v>
      </c>
      <c r="D266" s="23" t="s">
        <v>1934</v>
      </c>
      <c r="E266" s="228" t="s">
        <v>7941</v>
      </c>
      <c r="F266" s="231" t="s">
        <v>7942</v>
      </c>
      <c r="G266" s="34" t="s">
        <v>7943</v>
      </c>
      <c r="H266" s="231"/>
      <c r="I266" s="205" t="s">
        <v>80</v>
      </c>
      <c r="J266" s="205" t="s">
        <v>725</v>
      </c>
      <c r="K266" s="230"/>
      <c r="L266" s="228" t="s">
        <v>6889</v>
      </c>
      <c r="M266" s="229">
        <v>44287</v>
      </c>
      <c r="N266" s="283">
        <v>20</v>
      </c>
      <c r="O266" s="283">
        <v>10</v>
      </c>
      <c r="P266" s="278" t="s">
        <v>6890</v>
      </c>
      <c r="Q266" s="281" t="s">
        <v>7944</v>
      </c>
      <c r="R266" s="230">
        <v>49461</v>
      </c>
      <c r="S266" s="230">
        <v>44935</v>
      </c>
    </row>
    <row r="267" spans="1:19" ht="42.75" customHeight="1" x14ac:dyDescent="0.25">
      <c r="A267" s="202">
        <v>12</v>
      </c>
      <c r="B267" s="23" t="s">
        <v>7945</v>
      </c>
      <c r="C267" s="282" t="s">
        <v>18</v>
      </c>
      <c r="D267" s="23" t="s">
        <v>1934</v>
      </c>
      <c r="E267" s="230">
        <v>26272</v>
      </c>
      <c r="F267" s="231" t="s">
        <v>7946</v>
      </c>
      <c r="G267" s="34" t="s">
        <v>7947</v>
      </c>
      <c r="H267" s="231"/>
      <c r="I267" s="205" t="s">
        <v>65</v>
      </c>
      <c r="J267" s="205" t="s">
        <v>725</v>
      </c>
      <c r="K267" s="230"/>
      <c r="L267" s="228" t="s">
        <v>6889</v>
      </c>
      <c r="M267" s="229">
        <v>44470</v>
      </c>
      <c r="N267" s="283">
        <v>16</v>
      </c>
      <c r="O267" s="283">
        <v>9</v>
      </c>
      <c r="P267" s="278" t="s">
        <v>460</v>
      </c>
      <c r="Q267" s="281" t="s">
        <v>7948</v>
      </c>
      <c r="R267" s="230">
        <v>47484</v>
      </c>
      <c r="S267" s="230">
        <v>40299</v>
      </c>
    </row>
    <row r="268" spans="1:19" ht="42.75" customHeight="1" x14ac:dyDescent="0.25">
      <c r="A268" s="202">
        <v>13</v>
      </c>
      <c r="B268" s="278" t="s">
        <v>7949</v>
      </c>
      <c r="C268" s="228" t="s">
        <v>18</v>
      </c>
      <c r="D268" s="23" t="s">
        <v>1648</v>
      </c>
      <c r="E268" s="230">
        <v>26535</v>
      </c>
      <c r="F268" s="231" t="s">
        <v>7950</v>
      </c>
      <c r="G268" s="34" t="s">
        <v>7951</v>
      </c>
      <c r="H268" s="231"/>
      <c r="I268" s="205" t="s">
        <v>65</v>
      </c>
      <c r="J268" s="24" t="s">
        <v>725</v>
      </c>
      <c r="K268" s="230"/>
      <c r="L268" s="228" t="s">
        <v>2698</v>
      </c>
      <c r="M268" s="230">
        <v>45444</v>
      </c>
      <c r="N268" s="228">
        <v>21</v>
      </c>
      <c r="O268" s="228">
        <v>1</v>
      </c>
      <c r="P268" s="278" t="s">
        <v>430</v>
      </c>
      <c r="Q268" s="281" t="s">
        <v>7952</v>
      </c>
      <c r="R268" s="230">
        <v>47727</v>
      </c>
      <c r="S268" s="230">
        <v>45293</v>
      </c>
    </row>
    <row r="269" spans="1:19" ht="42.75" customHeight="1" x14ac:dyDescent="0.25">
      <c r="A269" s="202">
        <v>14</v>
      </c>
      <c r="B269" s="278" t="s">
        <v>7953</v>
      </c>
      <c r="C269" s="228" t="s">
        <v>18</v>
      </c>
      <c r="D269" s="23" t="s">
        <v>1934</v>
      </c>
      <c r="E269" s="228" t="s">
        <v>7954</v>
      </c>
      <c r="F269" s="231" t="s">
        <v>7955</v>
      </c>
      <c r="G269" s="34" t="s">
        <v>7956</v>
      </c>
      <c r="H269" s="231"/>
      <c r="I269" s="205" t="s">
        <v>80</v>
      </c>
      <c r="J269" s="24" t="s">
        <v>725</v>
      </c>
      <c r="K269" s="230"/>
      <c r="L269" s="228" t="s">
        <v>6889</v>
      </c>
      <c r="M269" s="229">
        <v>44287</v>
      </c>
      <c r="N269" s="283">
        <v>21</v>
      </c>
      <c r="O269" s="283">
        <v>10</v>
      </c>
      <c r="P269" s="278" t="s">
        <v>460</v>
      </c>
      <c r="Q269" s="281" t="s">
        <v>7957</v>
      </c>
      <c r="R269" s="230">
        <v>48000</v>
      </c>
      <c r="S269" s="230">
        <v>45293</v>
      </c>
    </row>
    <row r="270" spans="1:19" ht="42.75" customHeight="1" x14ac:dyDescent="0.25">
      <c r="A270" s="293" t="s">
        <v>7958</v>
      </c>
      <c r="B270" s="278"/>
      <c r="C270" s="228"/>
      <c r="D270" s="23"/>
      <c r="E270" s="228"/>
      <c r="F270" s="295"/>
      <c r="G270" s="89"/>
      <c r="H270" s="295"/>
      <c r="I270" s="283"/>
      <c r="J270" s="228"/>
      <c r="K270" s="230"/>
      <c r="L270" s="228"/>
      <c r="M270" s="230"/>
      <c r="N270" s="228"/>
      <c r="O270" s="228"/>
      <c r="P270" s="278"/>
      <c r="Q270" s="281"/>
      <c r="R270" s="230"/>
      <c r="S270" s="230"/>
    </row>
    <row r="271" spans="1:19" ht="42.75" customHeight="1" x14ac:dyDescent="0.25">
      <c r="A271" s="206">
        <v>1</v>
      </c>
      <c r="B271" s="317" t="s">
        <v>7959</v>
      </c>
      <c r="C271" s="200" t="s">
        <v>46</v>
      </c>
      <c r="D271" s="317" t="s">
        <v>1638</v>
      </c>
      <c r="E271" s="323" t="s">
        <v>7960</v>
      </c>
      <c r="F271" s="319" t="s">
        <v>7961</v>
      </c>
      <c r="G271" s="169" t="s">
        <v>7962</v>
      </c>
      <c r="H271" s="319"/>
      <c r="I271" s="320" t="s">
        <v>7963</v>
      </c>
      <c r="J271" s="24" t="s">
        <v>176</v>
      </c>
      <c r="K271" s="318">
        <v>44974</v>
      </c>
      <c r="L271" s="321" t="s">
        <v>1558</v>
      </c>
      <c r="M271" s="318">
        <v>45200</v>
      </c>
      <c r="N271" s="321">
        <v>23</v>
      </c>
      <c r="O271" s="321">
        <v>7</v>
      </c>
      <c r="P271" s="317" t="s">
        <v>982</v>
      </c>
      <c r="Q271" s="332" t="s">
        <v>7964</v>
      </c>
      <c r="R271" s="318">
        <v>48853</v>
      </c>
      <c r="S271" s="318"/>
    </row>
    <row r="272" spans="1:19" ht="42.75" customHeight="1" x14ac:dyDescent="0.25">
      <c r="A272" s="206">
        <v>2</v>
      </c>
      <c r="B272" s="278" t="s">
        <v>7965</v>
      </c>
      <c r="C272" s="228" t="s">
        <v>18</v>
      </c>
      <c r="D272" s="23" t="s">
        <v>1934</v>
      </c>
      <c r="E272" s="229">
        <v>30662</v>
      </c>
      <c r="F272" s="231" t="s">
        <v>7966</v>
      </c>
      <c r="G272" s="34" t="s">
        <v>7967</v>
      </c>
      <c r="H272" s="231"/>
      <c r="I272" s="205" t="s">
        <v>654</v>
      </c>
      <c r="J272" s="24" t="s">
        <v>176</v>
      </c>
      <c r="K272" s="230"/>
      <c r="L272" s="228" t="s">
        <v>1738</v>
      </c>
      <c r="M272" s="230">
        <v>44287</v>
      </c>
      <c r="N272" s="228">
        <v>13</v>
      </c>
      <c r="O272" s="228">
        <v>3</v>
      </c>
      <c r="P272" s="199" t="s">
        <v>376</v>
      </c>
      <c r="Q272" s="24" t="s">
        <v>7968</v>
      </c>
      <c r="R272" s="230">
        <v>51867</v>
      </c>
      <c r="S272" s="230">
        <v>39448</v>
      </c>
    </row>
    <row r="273" spans="1:26" ht="42.75" customHeight="1" x14ac:dyDescent="0.25">
      <c r="A273" s="206">
        <v>3</v>
      </c>
      <c r="B273" s="23" t="s">
        <v>7969</v>
      </c>
      <c r="C273" s="200" t="s">
        <v>46</v>
      </c>
      <c r="D273" s="23" t="s">
        <v>2088</v>
      </c>
      <c r="E273" s="229">
        <v>25218</v>
      </c>
      <c r="F273" s="231" t="s">
        <v>7970</v>
      </c>
      <c r="G273" s="34" t="s">
        <v>7971</v>
      </c>
      <c r="H273" s="231"/>
      <c r="I273" s="205" t="s">
        <v>391</v>
      </c>
      <c r="J273" s="24" t="s">
        <v>176</v>
      </c>
      <c r="K273" s="230"/>
      <c r="L273" s="228" t="s">
        <v>1738</v>
      </c>
      <c r="M273" s="230">
        <v>40817</v>
      </c>
      <c r="N273" s="228">
        <v>14</v>
      </c>
      <c r="O273" s="228">
        <v>7</v>
      </c>
      <c r="P273" s="199" t="s">
        <v>376</v>
      </c>
      <c r="Q273" s="281" t="s">
        <v>7972</v>
      </c>
      <c r="R273" s="230">
        <v>46419</v>
      </c>
      <c r="S273" s="230">
        <v>45108</v>
      </c>
    </row>
    <row r="274" spans="1:26" ht="42.75" customHeight="1" x14ac:dyDescent="0.25">
      <c r="A274" s="206">
        <v>4</v>
      </c>
      <c r="B274" s="278" t="s">
        <v>7973</v>
      </c>
      <c r="C274" s="200" t="s">
        <v>46</v>
      </c>
      <c r="D274" s="23" t="s">
        <v>1489</v>
      </c>
      <c r="E274" s="230">
        <v>26059</v>
      </c>
      <c r="F274" s="231" t="s">
        <v>7974</v>
      </c>
      <c r="G274" s="34" t="s">
        <v>7975</v>
      </c>
      <c r="H274" s="231"/>
      <c r="I274" s="205" t="s">
        <v>6836</v>
      </c>
      <c r="J274" s="24" t="s">
        <v>176</v>
      </c>
      <c r="K274" s="229"/>
      <c r="L274" s="228" t="s">
        <v>1738</v>
      </c>
      <c r="M274" s="229">
        <v>42644</v>
      </c>
      <c r="N274" s="283">
        <v>12</v>
      </c>
      <c r="O274" s="283">
        <v>10</v>
      </c>
      <c r="P274" s="199" t="s">
        <v>376</v>
      </c>
      <c r="Q274" s="281" t="s">
        <v>7976</v>
      </c>
      <c r="R274" s="230">
        <v>47270</v>
      </c>
      <c r="S274" s="230">
        <v>44937</v>
      </c>
    </row>
    <row r="275" spans="1:26" ht="42.75" customHeight="1" x14ac:dyDescent="0.25">
      <c r="A275" s="206">
        <v>5</v>
      </c>
      <c r="B275" s="23" t="s">
        <v>7977</v>
      </c>
      <c r="C275" s="230" t="s">
        <v>18</v>
      </c>
      <c r="D275" s="23" t="s">
        <v>3342</v>
      </c>
      <c r="E275" s="230">
        <v>25654</v>
      </c>
      <c r="F275" s="231" t="s">
        <v>7978</v>
      </c>
      <c r="G275" s="34" t="s">
        <v>7979</v>
      </c>
      <c r="H275" s="231"/>
      <c r="I275" s="205" t="s">
        <v>7148</v>
      </c>
      <c r="J275" s="24" t="s">
        <v>176</v>
      </c>
      <c r="K275" s="230"/>
      <c r="L275" s="228" t="s">
        <v>1738</v>
      </c>
      <c r="M275" s="230">
        <v>43191</v>
      </c>
      <c r="N275" s="228">
        <v>19</v>
      </c>
      <c r="O275" s="228">
        <v>6</v>
      </c>
      <c r="P275" s="199" t="s">
        <v>376</v>
      </c>
      <c r="Q275" s="24" t="s">
        <v>7980</v>
      </c>
      <c r="R275" s="230">
        <v>46844</v>
      </c>
      <c r="S275" s="230">
        <v>45628</v>
      </c>
    </row>
    <row r="276" spans="1:26" ht="42.75" customHeight="1" x14ac:dyDescent="0.25">
      <c r="A276" s="206">
        <v>6</v>
      </c>
      <c r="B276" s="278" t="s">
        <v>7981</v>
      </c>
      <c r="C276" s="228" t="s">
        <v>18</v>
      </c>
      <c r="D276" s="23" t="s">
        <v>1648</v>
      </c>
      <c r="E276" s="229">
        <v>27387</v>
      </c>
      <c r="F276" s="231" t="s">
        <v>7982</v>
      </c>
      <c r="G276" s="34" t="s">
        <v>7983</v>
      </c>
      <c r="H276" s="231"/>
      <c r="I276" s="327" t="s">
        <v>6849</v>
      </c>
      <c r="J276" s="24" t="s">
        <v>176</v>
      </c>
      <c r="K276" s="230"/>
      <c r="L276" s="228" t="s">
        <v>6889</v>
      </c>
      <c r="M276" s="229">
        <v>44470</v>
      </c>
      <c r="N276" s="283">
        <v>16</v>
      </c>
      <c r="O276" s="283">
        <v>9</v>
      </c>
      <c r="P276" s="278" t="s">
        <v>750</v>
      </c>
      <c r="Q276" s="281" t="s">
        <v>7984</v>
      </c>
      <c r="R276" s="230">
        <v>48580</v>
      </c>
      <c r="S276" s="230">
        <v>42036</v>
      </c>
    </row>
    <row r="277" spans="1:26" ht="42.75" customHeight="1" x14ac:dyDescent="0.25">
      <c r="A277" s="206">
        <v>7</v>
      </c>
      <c r="B277" s="278" t="s">
        <v>7985</v>
      </c>
      <c r="C277" s="228" t="s">
        <v>18</v>
      </c>
      <c r="D277" s="23" t="s">
        <v>1648</v>
      </c>
      <c r="E277" s="228" t="s">
        <v>7986</v>
      </c>
      <c r="F277" s="231" t="s">
        <v>7987</v>
      </c>
      <c r="G277" s="34" t="s">
        <v>7988</v>
      </c>
      <c r="H277" s="231"/>
      <c r="I277" s="205" t="s">
        <v>80</v>
      </c>
      <c r="J277" s="24" t="s">
        <v>176</v>
      </c>
      <c r="K277" s="230"/>
      <c r="L277" s="228" t="s">
        <v>6889</v>
      </c>
      <c r="M277" s="229">
        <v>44470</v>
      </c>
      <c r="N277" s="283">
        <v>17</v>
      </c>
      <c r="O277" s="283">
        <v>6</v>
      </c>
      <c r="P277" s="278" t="s">
        <v>460</v>
      </c>
      <c r="Q277" s="281" t="s">
        <v>7818</v>
      </c>
      <c r="R277" s="230">
        <v>49218</v>
      </c>
      <c r="S277" s="230">
        <v>45293</v>
      </c>
    </row>
    <row r="278" spans="1:26" ht="42.75" customHeight="1" x14ac:dyDescent="0.25">
      <c r="A278" s="206">
        <v>8</v>
      </c>
      <c r="B278" s="278" t="s">
        <v>7989</v>
      </c>
      <c r="C278" s="228" t="s">
        <v>18</v>
      </c>
      <c r="D278" s="23" t="s">
        <v>1648</v>
      </c>
      <c r="E278" s="228" t="s">
        <v>7990</v>
      </c>
      <c r="F278" s="231" t="s">
        <v>7991</v>
      </c>
      <c r="G278" s="34" t="s">
        <v>7992</v>
      </c>
      <c r="H278" s="231"/>
      <c r="I278" s="205" t="s">
        <v>80</v>
      </c>
      <c r="J278" s="24" t="s">
        <v>176</v>
      </c>
      <c r="K278" s="230"/>
      <c r="L278" s="228" t="s">
        <v>6889</v>
      </c>
      <c r="M278" s="229">
        <v>44470</v>
      </c>
      <c r="N278" s="283">
        <v>17</v>
      </c>
      <c r="O278" s="283">
        <v>6</v>
      </c>
      <c r="P278" s="278" t="s">
        <v>6890</v>
      </c>
      <c r="Q278" s="281" t="s">
        <v>7993</v>
      </c>
      <c r="R278" s="230">
        <v>49553</v>
      </c>
      <c r="S278" s="230">
        <v>45446</v>
      </c>
    </row>
    <row r="279" spans="1:26" ht="42.75" customHeight="1" x14ac:dyDescent="0.25">
      <c r="A279" s="293" t="s">
        <v>7994</v>
      </c>
      <c r="B279" s="278"/>
      <c r="C279" s="228"/>
      <c r="D279" s="23"/>
      <c r="E279" s="228"/>
      <c r="F279" s="295"/>
      <c r="G279" s="232"/>
      <c r="H279" s="295"/>
      <c r="I279" s="281"/>
      <c r="J279" s="232"/>
      <c r="K279" s="230"/>
      <c r="L279" s="228"/>
      <c r="M279" s="230"/>
      <c r="N279" s="228"/>
      <c r="O279" s="228"/>
      <c r="P279" s="278"/>
      <c r="Q279" s="281"/>
      <c r="R279" s="230"/>
      <c r="S279" s="230"/>
    </row>
    <row r="280" spans="1:26" ht="42.75" customHeight="1" x14ac:dyDescent="0.25">
      <c r="A280" s="202">
        <v>1</v>
      </c>
      <c r="B280" s="199" t="s">
        <v>7995</v>
      </c>
      <c r="C280" s="200" t="s">
        <v>18</v>
      </c>
      <c r="D280" s="199" t="s">
        <v>1648</v>
      </c>
      <c r="E280" s="200">
        <v>26294</v>
      </c>
      <c r="F280" s="201" t="s">
        <v>7996</v>
      </c>
      <c r="G280" s="169" t="s">
        <v>7997</v>
      </c>
      <c r="H280" s="201"/>
      <c r="I280" s="48" t="s">
        <v>7998</v>
      </c>
      <c r="J280" s="24" t="s">
        <v>143</v>
      </c>
      <c r="K280" s="200">
        <v>44105</v>
      </c>
      <c r="L280" s="202" t="s">
        <v>1738</v>
      </c>
      <c r="M280" s="200">
        <v>42278</v>
      </c>
      <c r="N280" s="202">
        <v>20</v>
      </c>
      <c r="O280" s="202">
        <v>7</v>
      </c>
      <c r="P280" s="199" t="s">
        <v>376</v>
      </c>
      <c r="Q280" s="205" t="s">
        <v>7999</v>
      </c>
      <c r="R280" s="200">
        <v>47484</v>
      </c>
      <c r="S280" s="200" t="s">
        <v>1084</v>
      </c>
    </row>
    <row r="281" spans="1:26" ht="42.75" customHeight="1" x14ac:dyDescent="0.25">
      <c r="A281" s="206">
        <v>2</v>
      </c>
      <c r="B281" s="281" t="s">
        <v>8000</v>
      </c>
      <c r="C281" s="200" t="s">
        <v>46</v>
      </c>
      <c r="D281" s="24" t="s">
        <v>2042</v>
      </c>
      <c r="E281" s="229">
        <v>25057</v>
      </c>
      <c r="F281" s="231" t="s">
        <v>8001</v>
      </c>
      <c r="G281" s="34" t="s">
        <v>8002</v>
      </c>
      <c r="H281" s="231"/>
      <c r="I281" s="205" t="s">
        <v>740</v>
      </c>
      <c r="J281" s="24" t="s">
        <v>143</v>
      </c>
      <c r="K281" s="229"/>
      <c r="L281" s="283" t="s">
        <v>1738</v>
      </c>
      <c r="M281" s="229">
        <v>38808</v>
      </c>
      <c r="N281" s="283">
        <v>12</v>
      </c>
      <c r="O281" s="283">
        <v>0</v>
      </c>
      <c r="P281" s="199" t="s">
        <v>376</v>
      </c>
      <c r="Q281" s="281" t="s">
        <v>8003</v>
      </c>
      <c r="R281" s="229">
        <v>46266</v>
      </c>
      <c r="S281" s="229">
        <v>45446</v>
      </c>
      <c r="T281" s="19"/>
      <c r="U281" s="19"/>
      <c r="V281" s="19"/>
      <c r="W281" s="19"/>
      <c r="X281" s="19"/>
      <c r="Y281" s="19"/>
      <c r="Z281" s="19"/>
    </row>
    <row r="282" spans="1:26" ht="42.75" customHeight="1" x14ac:dyDescent="0.25">
      <c r="A282" s="202">
        <v>3</v>
      </c>
      <c r="B282" s="199" t="s">
        <v>8004</v>
      </c>
      <c r="C282" s="200" t="s">
        <v>46</v>
      </c>
      <c r="D282" s="199" t="s">
        <v>1934</v>
      </c>
      <c r="E282" s="200">
        <v>25526</v>
      </c>
      <c r="F282" s="201" t="s">
        <v>8005</v>
      </c>
      <c r="G282" s="169" t="s">
        <v>8006</v>
      </c>
      <c r="H282" s="201"/>
      <c r="I282" s="205" t="s">
        <v>6810</v>
      </c>
      <c r="J282" s="24" t="s">
        <v>143</v>
      </c>
      <c r="K282" s="200">
        <v>44183</v>
      </c>
      <c r="L282" s="202" t="s">
        <v>1738</v>
      </c>
      <c r="M282" s="200" t="s">
        <v>3892</v>
      </c>
      <c r="N282" s="202">
        <v>12</v>
      </c>
      <c r="O282" s="202">
        <v>1</v>
      </c>
      <c r="P282" s="199" t="s">
        <v>376</v>
      </c>
      <c r="Q282" s="48" t="s">
        <v>8007</v>
      </c>
      <c r="R282" s="200">
        <v>46722</v>
      </c>
      <c r="S282" s="200" t="s">
        <v>1084</v>
      </c>
    </row>
    <row r="283" spans="1:26" ht="42.75" customHeight="1" x14ac:dyDescent="0.25">
      <c r="A283" s="206">
        <v>4</v>
      </c>
      <c r="B283" s="333" t="s">
        <v>8008</v>
      </c>
      <c r="C283" s="334" t="s">
        <v>18</v>
      </c>
      <c r="D283" s="333" t="s">
        <v>1489</v>
      </c>
      <c r="E283" s="335">
        <v>26347</v>
      </c>
      <c r="F283" s="336" t="s">
        <v>8009</v>
      </c>
      <c r="G283" s="34" t="s">
        <v>8010</v>
      </c>
      <c r="H283" s="336"/>
      <c r="I283" s="205" t="s">
        <v>6816</v>
      </c>
      <c r="J283" s="205" t="s">
        <v>143</v>
      </c>
      <c r="K283" s="334">
        <v>44183</v>
      </c>
      <c r="L283" s="337" t="s">
        <v>1699</v>
      </c>
      <c r="M283" s="334">
        <v>42461</v>
      </c>
      <c r="N283" s="337">
        <v>16</v>
      </c>
      <c r="O283" s="337">
        <v>1</v>
      </c>
      <c r="P283" s="333" t="s">
        <v>982</v>
      </c>
      <c r="Q283" s="338" t="s">
        <v>8011</v>
      </c>
      <c r="R283" s="334">
        <v>47543</v>
      </c>
      <c r="S283" s="334">
        <v>45170</v>
      </c>
    </row>
    <row r="284" spans="1:26" ht="42.75" customHeight="1" x14ac:dyDescent="0.25">
      <c r="A284" s="202">
        <v>5</v>
      </c>
      <c r="B284" s="23" t="s">
        <v>8012</v>
      </c>
      <c r="C284" s="200" t="s">
        <v>46</v>
      </c>
      <c r="D284" s="23" t="s">
        <v>1648</v>
      </c>
      <c r="E284" s="230">
        <v>30271</v>
      </c>
      <c r="F284" s="231" t="s">
        <v>8013</v>
      </c>
      <c r="G284" s="34" t="s">
        <v>8014</v>
      </c>
      <c r="H284" s="231"/>
      <c r="I284" s="205" t="s">
        <v>570</v>
      </c>
      <c r="J284" s="24" t="s">
        <v>143</v>
      </c>
      <c r="K284" s="230"/>
      <c r="L284" s="228" t="s">
        <v>1738</v>
      </c>
      <c r="M284" s="230">
        <v>44470</v>
      </c>
      <c r="N284" s="228">
        <v>11</v>
      </c>
      <c r="O284" s="228">
        <v>10</v>
      </c>
      <c r="P284" s="199" t="s">
        <v>376</v>
      </c>
      <c r="Q284" s="24" t="s">
        <v>8015</v>
      </c>
      <c r="R284" s="230">
        <v>51471</v>
      </c>
      <c r="S284" s="230">
        <v>43709</v>
      </c>
    </row>
    <row r="285" spans="1:26" ht="42.75" customHeight="1" x14ac:dyDescent="0.25">
      <c r="A285" s="206">
        <v>6</v>
      </c>
      <c r="B285" s="23" t="s">
        <v>8016</v>
      </c>
      <c r="C285" s="230" t="s">
        <v>18</v>
      </c>
      <c r="D285" s="23" t="s">
        <v>2055</v>
      </c>
      <c r="E285" s="230">
        <v>32330</v>
      </c>
      <c r="F285" s="231" t="s">
        <v>8017</v>
      </c>
      <c r="G285" s="34" t="s">
        <v>8018</v>
      </c>
      <c r="H285" s="231"/>
      <c r="I285" s="205" t="s">
        <v>6836</v>
      </c>
      <c r="J285" s="24" t="s">
        <v>143</v>
      </c>
      <c r="K285" s="230"/>
      <c r="L285" s="228" t="s">
        <v>1738</v>
      </c>
      <c r="M285" s="230">
        <v>45200</v>
      </c>
      <c r="N285" s="228">
        <v>12</v>
      </c>
      <c r="O285" s="228">
        <v>9</v>
      </c>
      <c r="P285" s="199" t="s">
        <v>376</v>
      </c>
      <c r="Q285" s="24" t="s">
        <v>8019</v>
      </c>
      <c r="R285" s="230">
        <v>53540</v>
      </c>
      <c r="S285" s="230">
        <v>42767</v>
      </c>
    </row>
    <row r="286" spans="1:26" ht="42.75" customHeight="1" x14ac:dyDescent="0.25">
      <c r="A286" s="202">
        <v>7</v>
      </c>
      <c r="B286" s="281" t="s">
        <v>8020</v>
      </c>
      <c r="C286" s="230" t="s">
        <v>18</v>
      </c>
      <c r="D286" s="24" t="s">
        <v>1934</v>
      </c>
      <c r="E286" s="230">
        <v>25948</v>
      </c>
      <c r="F286" s="231" t="s">
        <v>8021</v>
      </c>
      <c r="G286" s="34" t="s">
        <v>8022</v>
      </c>
      <c r="H286" s="231"/>
      <c r="I286" s="205" t="s">
        <v>7183</v>
      </c>
      <c r="J286" s="48" t="s">
        <v>836</v>
      </c>
      <c r="K286" s="230"/>
      <c r="L286" s="228" t="s">
        <v>1738</v>
      </c>
      <c r="M286" s="230" t="s">
        <v>2439</v>
      </c>
      <c r="N286" s="228">
        <v>21</v>
      </c>
      <c r="O286" s="228">
        <v>10</v>
      </c>
      <c r="P286" s="199" t="s">
        <v>376</v>
      </c>
      <c r="Q286" s="280" t="s">
        <v>8023</v>
      </c>
      <c r="R286" s="229" t="s">
        <v>8024</v>
      </c>
      <c r="S286" s="229">
        <v>45299</v>
      </c>
    </row>
    <row r="287" spans="1:26" ht="42.75" customHeight="1" x14ac:dyDescent="0.25">
      <c r="A287" s="206">
        <v>8</v>
      </c>
      <c r="B287" s="281" t="s">
        <v>8025</v>
      </c>
      <c r="C287" s="230" t="s">
        <v>18</v>
      </c>
      <c r="D287" s="24" t="s">
        <v>1489</v>
      </c>
      <c r="E287" s="230">
        <v>25029</v>
      </c>
      <c r="F287" s="231" t="s">
        <v>8026</v>
      </c>
      <c r="G287" s="34" t="s">
        <v>8027</v>
      </c>
      <c r="H287" s="231"/>
      <c r="I287" s="205" t="s">
        <v>80</v>
      </c>
      <c r="J287" s="24" t="s">
        <v>143</v>
      </c>
      <c r="K287" s="230"/>
      <c r="L287" s="228" t="s">
        <v>1991</v>
      </c>
      <c r="M287" s="230">
        <v>41365</v>
      </c>
      <c r="N287" s="228">
        <v>15</v>
      </c>
      <c r="O287" s="228">
        <v>1</v>
      </c>
      <c r="P287" s="281" t="s">
        <v>449</v>
      </c>
      <c r="Q287" s="281" t="s">
        <v>8028</v>
      </c>
      <c r="R287" s="229" t="s">
        <v>8029</v>
      </c>
      <c r="S287" s="229">
        <v>42380</v>
      </c>
    </row>
    <row r="288" spans="1:26" ht="42.75" customHeight="1" x14ac:dyDescent="0.25">
      <c r="A288" s="202">
        <v>9</v>
      </c>
      <c r="B288" s="23" t="s">
        <v>8030</v>
      </c>
      <c r="C288" s="200" t="s">
        <v>46</v>
      </c>
      <c r="D288" s="23" t="s">
        <v>1489</v>
      </c>
      <c r="E288" s="230">
        <v>26932</v>
      </c>
      <c r="F288" s="231" t="s">
        <v>8031</v>
      </c>
      <c r="G288" s="34" t="s">
        <v>8032</v>
      </c>
      <c r="H288" s="231"/>
      <c r="I288" s="205" t="s">
        <v>6849</v>
      </c>
      <c r="J288" s="24" t="s">
        <v>143</v>
      </c>
      <c r="K288" s="230"/>
      <c r="L288" s="283" t="s">
        <v>1717</v>
      </c>
      <c r="M288" s="230">
        <v>44287</v>
      </c>
      <c r="N288" s="228">
        <v>19</v>
      </c>
      <c r="O288" s="228">
        <v>1</v>
      </c>
      <c r="P288" s="199" t="s">
        <v>376</v>
      </c>
      <c r="Q288" s="24" t="s">
        <v>8033</v>
      </c>
      <c r="R288" s="230">
        <v>48122</v>
      </c>
      <c r="S288" s="230">
        <v>42036</v>
      </c>
    </row>
    <row r="289" spans="1:19" ht="42.75" customHeight="1" x14ac:dyDescent="0.25">
      <c r="A289" s="206">
        <v>10</v>
      </c>
      <c r="B289" s="278" t="s">
        <v>8034</v>
      </c>
      <c r="C289" s="228" t="s">
        <v>18</v>
      </c>
      <c r="D289" s="23" t="s">
        <v>3546</v>
      </c>
      <c r="E289" s="228" t="s">
        <v>8035</v>
      </c>
      <c r="F289" s="231" t="s">
        <v>8036</v>
      </c>
      <c r="G289" s="34" t="s">
        <v>8037</v>
      </c>
      <c r="H289" s="231"/>
      <c r="I289" s="205" t="s">
        <v>80</v>
      </c>
      <c r="J289" s="24" t="s">
        <v>143</v>
      </c>
      <c r="K289" s="230"/>
      <c r="L289" s="228" t="s">
        <v>2698</v>
      </c>
      <c r="M289" s="230">
        <v>45017</v>
      </c>
      <c r="N289" s="228">
        <v>15</v>
      </c>
      <c r="O289" s="228">
        <v>3</v>
      </c>
      <c r="P289" s="278" t="s">
        <v>7007</v>
      </c>
      <c r="Q289" s="281" t="s">
        <v>8038</v>
      </c>
      <c r="R289" s="230">
        <v>46600</v>
      </c>
      <c r="S289" s="230">
        <v>42380</v>
      </c>
    </row>
    <row r="290" spans="1:19" ht="42.75" customHeight="1" x14ac:dyDescent="0.25">
      <c r="A290" s="202">
        <v>11</v>
      </c>
      <c r="B290" s="278" t="s">
        <v>8039</v>
      </c>
      <c r="C290" s="228" t="s">
        <v>18</v>
      </c>
      <c r="D290" s="23" t="s">
        <v>1648</v>
      </c>
      <c r="E290" s="228" t="s">
        <v>8040</v>
      </c>
      <c r="F290" s="231" t="s">
        <v>8041</v>
      </c>
      <c r="G290" s="34" t="s">
        <v>7938</v>
      </c>
      <c r="H290" s="231"/>
      <c r="I290" s="205" t="s">
        <v>157</v>
      </c>
      <c r="J290" s="24" t="s">
        <v>143</v>
      </c>
      <c r="K290" s="230"/>
      <c r="L290" s="228" t="s">
        <v>6896</v>
      </c>
      <c r="M290" s="230" t="s">
        <v>7650</v>
      </c>
      <c r="N290" s="228">
        <v>17</v>
      </c>
      <c r="O290" s="228">
        <v>9</v>
      </c>
      <c r="P290" s="278" t="s">
        <v>460</v>
      </c>
      <c r="Q290" s="281" t="s">
        <v>418</v>
      </c>
      <c r="R290" s="230">
        <v>48122</v>
      </c>
      <c r="S290" s="230">
        <v>44562</v>
      </c>
    </row>
    <row r="291" spans="1:19" ht="42.75" customHeight="1" x14ac:dyDescent="0.25">
      <c r="A291" s="206">
        <v>12</v>
      </c>
      <c r="B291" s="278" t="s">
        <v>8042</v>
      </c>
      <c r="C291" s="228" t="s">
        <v>18</v>
      </c>
      <c r="D291" s="23" t="s">
        <v>1967</v>
      </c>
      <c r="E291" s="228" t="s">
        <v>8043</v>
      </c>
      <c r="F291" s="231" t="s">
        <v>8044</v>
      </c>
      <c r="G291" s="34" t="s">
        <v>8045</v>
      </c>
      <c r="H291" s="231"/>
      <c r="I291" s="205" t="s">
        <v>51</v>
      </c>
      <c r="J291" s="24" t="s">
        <v>143</v>
      </c>
      <c r="K291" s="230"/>
      <c r="L291" s="228" t="s">
        <v>6896</v>
      </c>
      <c r="M291" s="230">
        <v>44621</v>
      </c>
      <c r="N291" s="228"/>
      <c r="O291" s="228"/>
      <c r="P291" s="23" t="s">
        <v>389</v>
      </c>
      <c r="Q291" s="281" t="s">
        <v>8046</v>
      </c>
      <c r="R291" s="230">
        <v>54058</v>
      </c>
      <c r="S291" s="230"/>
    </row>
    <row r="292" spans="1:19" ht="42.75" customHeight="1" x14ac:dyDescent="0.25">
      <c r="A292" s="202">
        <v>13</v>
      </c>
      <c r="B292" s="278" t="s">
        <v>8047</v>
      </c>
      <c r="C292" s="228" t="s">
        <v>18</v>
      </c>
      <c r="D292" s="23" t="s">
        <v>1648</v>
      </c>
      <c r="E292" s="228" t="s">
        <v>8048</v>
      </c>
      <c r="F292" s="231" t="s">
        <v>8049</v>
      </c>
      <c r="G292" s="34" t="s">
        <v>8050</v>
      </c>
      <c r="H292" s="231"/>
      <c r="I292" s="205" t="s">
        <v>65</v>
      </c>
      <c r="J292" s="24" t="s">
        <v>143</v>
      </c>
      <c r="K292" s="230"/>
      <c r="L292" s="228" t="s">
        <v>6889</v>
      </c>
      <c r="M292" s="229">
        <v>44470</v>
      </c>
      <c r="N292" s="283">
        <v>17</v>
      </c>
      <c r="O292" s="283">
        <v>2</v>
      </c>
      <c r="P292" s="278" t="s">
        <v>6890</v>
      </c>
      <c r="Q292" s="281" t="s">
        <v>8051</v>
      </c>
      <c r="R292" s="230">
        <v>50437</v>
      </c>
      <c r="S292" s="230">
        <v>45293</v>
      </c>
    </row>
    <row r="293" spans="1:19" ht="15.75" customHeight="1" x14ac:dyDescent="0.25">
      <c r="A293" s="19"/>
    </row>
    <row r="294" spans="1:19" ht="15.75" customHeight="1" x14ac:dyDescent="0.25">
      <c r="A294" s="19"/>
    </row>
    <row r="295" spans="1:19" ht="15.75" customHeight="1" x14ac:dyDescent="0.25">
      <c r="A295" s="19"/>
    </row>
    <row r="296" spans="1:19" ht="15.75" customHeight="1" x14ac:dyDescent="0.25">
      <c r="A296" s="19"/>
    </row>
    <row r="297" spans="1:19" ht="15.75" customHeight="1" x14ac:dyDescent="0.25">
      <c r="A297" s="19"/>
    </row>
    <row r="298" spans="1:19" ht="15.75" customHeight="1" x14ac:dyDescent="0.25">
      <c r="A298" s="19"/>
    </row>
    <row r="299" spans="1:19" ht="15.75" customHeight="1" x14ac:dyDescent="0.25">
      <c r="A299" s="19"/>
    </row>
    <row r="300" spans="1:19" ht="15.75" customHeight="1" x14ac:dyDescent="0.25">
      <c r="A300" s="19"/>
    </row>
    <row r="301" spans="1:19" ht="15.75" customHeight="1" x14ac:dyDescent="0.25">
      <c r="A301" s="19"/>
    </row>
    <row r="302" spans="1:19" ht="15.75" customHeight="1" x14ac:dyDescent="0.25">
      <c r="A302" s="19"/>
    </row>
    <row r="303" spans="1:19" ht="15.75" customHeight="1" x14ac:dyDescent="0.25">
      <c r="A303" s="19"/>
    </row>
    <row r="304" spans="1:19" ht="15.75" customHeight="1" x14ac:dyDescent="0.25">
      <c r="A304" s="19"/>
    </row>
    <row r="305" spans="1:1" ht="15.75" customHeight="1" x14ac:dyDescent="0.25">
      <c r="A305" s="19"/>
    </row>
    <row r="306" spans="1:1" ht="15.75" customHeight="1" x14ac:dyDescent="0.25">
      <c r="A306" s="19"/>
    </row>
    <row r="307" spans="1:1" ht="15.75" customHeight="1" x14ac:dyDescent="0.25">
      <c r="A307" s="19"/>
    </row>
    <row r="308" spans="1:1" ht="15.75" customHeight="1" x14ac:dyDescent="0.25">
      <c r="A308" s="19"/>
    </row>
    <row r="309" spans="1:1" ht="15.75" customHeight="1" x14ac:dyDescent="0.25">
      <c r="A309" s="19"/>
    </row>
    <row r="310" spans="1:1" ht="15.75" customHeight="1" x14ac:dyDescent="0.25">
      <c r="A310" s="19"/>
    </row>
    <row r="311" spans="1:1" ht="15.75" customHeight="1" x14ac:dyDescent="0.25">
      <c r="A311" s="19"/>
    </row>
    <row r="312" spans="1:1" ht="15.75" customHeight="1" x14ac:dyDescent="0.25">
      <c r="A312" s="19"/>
    </row>
    <row r="313" spans="1:1" ht="15.75" customHeight="1" x14ac:dyDescent="0.25">
      <c r="A313" s="19"/>
    </row>
    <row r="314" spans="1:1" ht="15.75" customHeight="1" x14ac:dyDescent="0.25">
      <c r="A314" s="19"/>
    </row>
    <row r="315" spans="1:1" ht="15.75" customHeight="1" x14ac:dyDescent="0.25">
      <c r="A315" s="19"/>
    </row>
    <row r="316" spans="1:1" ht="15.75" customHeight="1" x14ac:dyDescent="0.25">
      <c r="A316" s="19"/>
    </row>
    <row r="317" spans="1:1" ht="15.75" customHeight="1" x14ac:dyDescent="0.25">
      <c r="A317" s="19"/>
    </row>
    <row r="318" spans="1:1" ht="15.75" customHeight="1" x14ac:dyDescent="0.25">
      <c r="A318" s="19"/>
    </row>
    <row r="319" spans="1:1" ht="15.75" customHeight="1" x14ac:dyDescent="0.25">
      <c r="A319" s="19"/>
    </row>
    <row r="320" spans="1:1" ht="15.75" customHeight="1" x14ac:dyDescent="0.25">
      <c r="A320" s="19"/>
    </row>
    <row r="321" spans="1:1" ht="15.75" customHeight="1" x14ac:dyDescent="0.25">
      <c r="A321" s="19"/>
    </row>
    <row r="322" spans="1:1" ht="15.75" customHeight="1" x14ac:dyDescent="0.25">
      <c r="A322" s="19"/>
    </row>
    <row r="323" spans="1:1" ht="15.75" customHeight="1" x14ac:dyDescent="0.25">
      <c r="A323" s="19"/>
    </row>
    <row r="324" spans="1:1" ht="15.75" customHeight="1" x14ac:dyDescent="0.25">
      <c r="A324" s="19"/>
    </row>
    <row r="325" spans="1:1" ht="15.75" customHeight="1" x14ac:dyDescent="0.25">
      <c r="A325" s="19"/>
    </row>
    <row r="326" spans="1:1" ht="15.75" customHeight="1" x14ac:dyDescent="0.25">
      <c r="A326" s="19"/>
    </row>
    <row r="327" spans="1:1" ht="15.75" customHeight="1" x14ac:dyDescent="0.25">
      <c r="A327" s="19"/>
    </row>
    <row r="328" spans="1:1" ht="15.75" customHeight="1" x14ac:dyDescent="0.25">
      <c r="A328" s="19"/>
    </row>
    <row r="329" spans="1:1" ht="15.75" customHeight="1" x14ac:dyDescent="0.25">
      <c r="A329" s="19"/>
    </row>
    <row r="330" spans="1:1" ht="15.75" customHeight="1" x14ac:dyDescent="0.25">
      <c r="A330" s="19"/>
    </row>
    <row r="331" spans="1:1" ht="15.75" customHeight="1" x14ac:dyDescent="0.25">
      <c r="A331" s="19"/>
    </row>
    <row r="332" spans="1:1" ht="15.75" customHeight="1" x14ac:dyDescent="0.25">
      <c r="A332" s="19"/>
    </row>
    <row r="333" spans="1:1" ht="15.75" customHeight="1" x14ac:dyDescent="0.25">
      <c r="A333" s="19"/>
    </row>
    <row r="334" spans="1:1" ht="15.75" customHeight="1" x14ac:dyDescent="0.25">
      <c r="A334" s="19"/>
    </row>
    <row r="335" spans="1:1" ht="15.75" customHeight="1" x14ac:dyDescent="0.25">
      <c r="A335" s="19"/>
    </row>
    <row r="336" spans="1:1" ht="15.75" customHeight="1" x14ac:dyDescent="0.25">
      <c r="A336" s="19"/>
    </row>
    <row r="337" spans="1:1" ht="15.75" customHeight="1" x14ac:dyDescent="0.25">
      <c r="A337" s="19"/>
    </row>
    <row r="338" spans="1:1" ht="15.75" customHeight="1" x14ac:dyDescent="0.25">
      <c r="A338" s="19"/>
    </row>
    <row r="339" spans="1:1" ht="15.75" customHeight="1" x14ac:dyDescent="0.25">
      <c r="A339" s="19"/>
    </row>
    <row r="340" spans="1:1" ht="15.75" customHeight="1" x14ac:dyDescent="0.25">
      <c r="A340" s="19"/>
    </row>
    <row r="341" spans="1:1" ht="15.75" customHeight="1" x14ac:dyDescent="0.25">
      <c r="A341" s="19"/>
    </row>
    <row r="342" spans="1:1" ht="15.75" customHeight="1" x14ac:dyDescent="0.25">
      <c r="A342" s="19"/>
    </row>
    <row r="343" spans="1:1" ht="15.75" customHeight="1" x14ac:dyDescent="0.25">
      <c r="A343" s="19"/>
    </row>
    <row r="344" spans="1:1" ht="15.75" customHeight="1" x14ac:dyDescent="0.25">
      <c r="A344" s="19"/>
    </row>
    <row r="345" spans="1:1" ht="15.75" customHeight="1" x14ac:dyDescent="0.25">
      <c r="A345" s="19"/>
    </row>
    <row r="346" spans="1:1" ht="15.75" customHeight="1" x14ac:dyDescent="0.25">
      <c r="A346" s="19"/>
    </row>
    <row r="347" spans="1:1" ht="15.75" customHeight="1" x14ac:dyDescent="0.25">
      <c r="A347" s="19"/>
    </row>
    <row r="348" spans="1:1" ht="15.75" customHeight="1" x14ac:dyDescent="0.25">
      <c r="A348" s="19"/>
    </row>
    <row r="349" spans="1:1" ht="15.75" customHeight="1" x14ac:dyDescent="0.25">
      <c r="A349" s="19"/>
    </row>
    <row r="350" spans="1:1" ht="15.75" customHeight="1" x14ac:dyDescent="0.25">
      <c r="A350" s="19"/>
    </row>
    <row r="351" spans="1:1" ht="15.75" customHeight="1" x14ac:dyDescent="0.25">
      <c r="A351" s="19"/>
    </row>
    <row r="352" spans="1:1" ht="15.75" customHeight="1" x14ac:dyDescent="0.25">
      <c r="A352" s="19"/>
    </row>
    <row r="353" spans="1:1" ht="15.75" customHeight="1" x14ac:dyDescent="0.25">
      <c r="A353" s="19"/>
    </row>
    <row r="354" spans="1:1" ht="15.75" customHeight="1" x14ac:dyDescent="0.25">
      <c r="A354" s="19"/>
    </row>
    <row r="355" spans="1:1" ht="15.75" customHeight="1" x14ac:dyDescent="0.25">
      <c r="A355" s="19"/>
    </row>
    <row r="356" spans="1:1" ht="15.75" customHeight="1" x14ac:dyDescent="0.25">
      <c r="A356" s="19"/>
    </row>
    <row r="357" spans="1:1" ht="15.75" customHeight="1" x14ac:dyDescent="0.25">
      <c r="A357" s="19"/>
    </row>
    <row r="358" spans="1:1" ht="15.75" customHeight="1" x14ac:dyDescent="0.25">
      <c r="A358" s="19"/>
    </row>
    <row r="359" spans="1:1" ht="15.75" customHeight="1" x14ac:dyDescent="0.25">
      <c r="A359" s="19"/>
    </row>
    <row r="360" spans="1:1" ht="15.75" customHeight="1" x14ac:dyDescent="0.25">
      <c r="A360" s="19"/>
    </row>
    <row r="361" spans="1:1" ht="15.75" customHeight="1" x14ac:dyDescent="0.25">
      <c r="A361" s="19"/>
    </row>
    <row r="362" spans="1:1" ht="15.75" customHeight="1" x14ac:dyDescent="0.25">
      <c r="A362" s="19"/>
    </row>
    <row r="363" spans="1:1" ht="15.75" customHeight="1" x14ac:dyDescent="0.25">
      <c r="A363" s="19"/>
    </row>
    <row r="364" spans="1:1" ht="15.75" customHeight="1" x14ac:dyDescent="0.25">
      <c r="A364" s="19"/>
    </row>
    <row r="365" spans="1:1" ht="15.75" customHeight="1" x14ac:dyDescent="0.25">
      <c r="A365" s="19"/>
    </row>
    <row r="366" spans="1:1" ht="15.75" customHeight="1" x14ac:dyDescent="0.25">
      <c r="A366" s="19"/>
    </row>
    <row r="367" spans="1:1" ht="15.75" customHeight="1" x14ac:dyDescent="0.25">
      <c r="A367" s="19"/>
    </row>
    <row r="368" spans="1:1" ht="15.75" customHeight="1" x14ac:dyDescent="0.25">
      <c r="A368" s="19"/>
    </row>
    <row r="369" spans="1:1" ht="15.75" customHeight="1" x14ac:dyDescent="0.25">
      <c r="A369" s="19"/>
    </row>
    <row r="370" spans="1:1" ht="15.75" customHeight="1" x14ac:dyDescent="0.25">
      <c r="A370" s="19"/>
    </row>
    <row r="371" spans="1:1" ht="15.75" customHeight="1" x14ac:dyDescent="0.25">
      <c r="A371" s="19"/>
    </row>
    <row r="372" spans="1:1" ht="15.75" customHeight="1" x14ac:dyDescent="0.25">
      <c r="A372" s="19"/>
    </row>
    <row r="373" spans="1:1" ht="15.75" customHeight="1" x14ac:dyDescent="0.25">
      <c r="A373" s="19"/>
    </row>
    <row r="374" spans="1:1" ht="15.75" customHeight="1" x14ac:dyDescent="0.25">
      <c r="A374" s="19"/>
    </row>
    <row r="375" spans="1:1" ht="15.75" customHeight="1" x14ac:dyDescent="0.25">
      <c r="A375" s="19"/>
    </row>
    <row r="376" spans="1:1" ht="15.75" customHeight="1" x14ac:dyDescent="0.25">
      <c r="A376" s="19"/>
    </row>
    <row r="377" spans="1:1" ht="15.75" customHeight="1" x14ac:dyDescent="0.25">
      <c r="A377" s="19"/>
    </row>
    <row r="378" spans="1:1" ht="15.75" customHeight="1" x14ac:dyDescent="0.25">
      <c r="A378" s="19"/>
    </row>
    <row r="379" spans="1:1" ht="15.75" customHeight="1" x14ac:dyDescent="0.25">
      <c r="A379" s="19"/>
    </row>
    <row r="380" spans="1:1" ht="15.75" customHeight="1" x14ac:dyDescent="0.25">
      <c r="A380" s="19"/>
    </row>
    <row r="381" spans="1:1" ht="15.75" customHeight="1" x14ac:dyDescent="0.25">
      <c r="A381" s="19"/>
    </row>
    <row r="382" spans="1:1" ht="15.75" customHeight="1" x14ac:dyDescent="0.25">
      <c r="A382" s="19"/>
    </row>
    <row r="383" spans="1:1" ht="15.75" customHeight="1" x14ac:dyDescent="0.25">
      <c r="A383" s="19"/>
    </row>
    <row r="384" spans="1:1" ht="15.75" customHeight="1" x14ac:dyDescent="0.25">
      <c r="A384" s="19"/>
    </row>
    <row r="385" spans="1:1" ht="15.75" customHeight="1" x14ac:dyDescent="0.25">
      <c r="A385" s="19"/>
    </row>
    <row r="386" spans="1:1" ht="15.75" customHeight="1" x14ac:dyDescent="0.25">
      <c r="A386" s="19"/>
    </row>
    <row r="387" spans="1:1" ht="15.75" customHeight="1" x14ac:dyDescent="0.25">
      <c r="A387" s="19"/>
    </row>
    <row r="388" spans="1:1" ht="15.75" customHeight="1" x14ac:dyDescent="0.25">
      <c r="A388" s="19"/>
    </row>
    <row r="389" spans="1:1" ht="15.75" customHeight="1" x14ac:dyDescent="0.25">
      <c r="A389" s="19"/>
    </row>
    <row r="390" spans="1:1" ht="15.75" customHeight="1" x14ac:dyDescent="0.25">
      <c r="A390" s="19"/>
    </row>
    <row r="391" spans="1:1" ht="15.75" customHeight="1" x14ac:dyDescent="0.25">
      <c r="A391" s="19"/>
    </row>
    <row r="392" spans="1:1" ht="15.75" customHeight="1" x14ac:dyDescent="0.25">
      <c r="A392" s="19"/>
    </row>
    <row r="393" spans="1:1" ht="15.75" customHeight="1" x14ac:dyDescent="0.25">
      <c r="A393" s="19"/>
    </row>
    <row r="394" spans="1:1" ht="15.75" customHeight="1" x14ac:dyDescent="0.25">
      <c r="A394" s="19"/>
    </row>
    <row r="395" spans="1:1" ht="15.75" customHeight="1" x14ac:dyDescent="0.25">
      <c r="A395" s="19"/>
    </row>
    <row r="396" spans="1:1" ht="15.75" customHeight="1" x14ac:dyDescent="0.25">
      <c r="A396" s="19"/>
    </row>
    <row r="397" spans="1:1" ht="15.75" customHeight="1" x14ac:dyDescent="0.25">
      <c r="A397" s="19"/>
    </row>
    <row r="398" spans="1:1" ht="15.75" customHeight="1" x14ac:dyDescent="0.25">
      <c r="A398" s="19"/>
    </row>
    <row r="399" spans="1:1" ht="15.75" customHeight="1" x14ac:dyDescent="0.25">
      <c r="A399" s="19"/>
    </row>
    <row r="400" spans="1:1" ht="15.75" customHeight="1" x14ac:dyDescent="0.25">
      <c r="A400" s="19"/>
    </row>
    <row r="401" spans="1:1" ht="15.75" customHeight="1" x14ac:dyDescent="0.25">
      <c r="A401" s="19"/>
    </row>
    <row r="402" spans="1:1" ht="15.75" customHeight="1" x14ac:dyDescent="0.25">
      <c r="A402" s="19"/>
    </row>
    <row r="403" spans="1:1" ht="15.75" customHeight="1" x14ac:dyDescent="0.25">
      <c r="A403" s="19"/>
    </row>
    <row r="404" spans="1:1" ht="15.75" customHeight="1" x14ac:dyDescent="0.25">
      <c r="A404" s="19"/>
    </row>
    <row r="405" spans="1:1" ht="15.75" customHeight="1" x14ac:dyDescent="0.25">
      <c r="A405" s="19"/>
    </row>
    <row r="406" spans="1:1" ht="15.75" customHeight="1" x14ac:dyDescent="0.25">
      <c r="A406" s="19"/>
    </row>
    <row r="407" spans="1:1" ht="15.75" customHeight="1" x14ac:dyDescent="0.25">
      <c r="A407" s="19"/>
    </row>
    <row r="408" spans="1:1" ht="15.75" customHeight="1" x14ac:dyDescent="0.25">
      <c r="A408" s="19"/>
    </row>
    <row r="409" spans="1:1" ht="15.75" customHeight="1" x14ac:dyDescent="0.25">
      <c r="A409" s="19"/>
    </row>
    <row r="410" spans="1:1" ht="15.75" customHeight="1" x14ac:dyDescent="0.25">
      <c r="A410" s="19"/>
    </row>
    <row r="411" spans="1:1" ht="15.75" customHeight="1" x14ac:dyDescent="0.25">
      <c r="A411" s="19"/>
    </row>
    <row r="412" spans="1:1" ht="15.75" customHeight="1" x14ac:dyDescent="0.25">
      <c r="A412" s="19"/>
    </row>
    <row r="413" spans="1:1" ht="15.75" customHeight="1" x14ac:dyDescent="0.25">
      <c r="A413" s="19"/>
    </row>
    <row r="414" spans="1:1" ht="15.75" customHeight="1" x14ac:dyDescent="0.25">
      <c r="A414" s="19"/>
    </row>
    <row r="415" spans="1:1" ht="15.75" customHeight="1" x14ac:dyDescent="0.25">
      <c r="A415" s="19"/>
    </row>
    <row r="416" spans="1:1" ht="15.75" customHeight="1" x14ac:dyDescent="0.25">
      <c r="A416" s="19"/>
    </row>
    <row r="417" spans="1:1" ht="15.75" customHeight="1" x14ac:dyDescent="0.25">
      <c r="A417" s="19"/>
    </row>
    <row r="418" spans="1:1" ht="15.75" customHeight="1" x14ac:dyDescent="0.25">
      <c r="A418" s="19"/>
    </row>
    <row r="419" spans="1:1" ht="15.75" customHeight="1" x14ac:dyDescent="0.25">
      <c r="A419" s="19"/>
    </row>
    <row r="420" spans="1:1" ht="15.75" customHeight="1" x14ac:dyDescent="0.25">
      <c r="A420" s="19"/>
    </row>
    <row r="421" spans="1:1" ht="15.75" customHeight="1" x14ac:dyDescent="0.25">
      <c r="A421" s="19"/>
    </row>
    <row r="422" spans="1:1" ht="15.75" customHeight="1" x14ac:dyDescent="0.25">
      <c r="A422" s="19"/>
    </row>
    <row r="423" spans="1:1" ht="15.75" customHeight="1" x14ac:dyDescent="0.25">
      <c r="A423" s="19"/>
    </row>
    <row r="424" spans="1:1" ht="15.75" customHeight="1" x14ac:dyDescent="0.25">
      <c r="A424" s="19"/>
    </row>
    <row r="425" spans="1:1" ht="15.75" customHeight="1" x14ac:dyDescent="0.25">
      <c r="A425" s="19"/>
    </row>
    <row r="426" spans="1:1" ht="15.75" customHeight="1" x14ac:dyDescent="0.25">
      <c r="A426" s="19"/>
    </row>
    <row r="427" spans="1:1" ht="15.75" customHeight="1" x14ac:dyDescent="0.25">
      <c r="A427" s="19"/>
    </row>
    <row r="428" spans="1:1" ht="15.75" customHeight="1" x14ac:dyDescent="0.25">
      <c r="A428" s="19"/>
    </row>
    <row r="429" spans="1:1" ht="15.75" customHeight="1" x14ac:dyDescent="0.25">
      <c r="A429" s="19"/>
    </row>
    <row r="430" spans="1:1" ht="15.75" customHeight="1" x14ac:dyDescent="0.25">
      <c r="A430" s="19"/>
    </row>
    <row r="431" spans="1:1" ht="15.75" customHeight="1" x14ac:dyDescent="0.25">
      <c r="A431" s="19"/>
    </row>
    <row r="432" spans="1:1" ht="15.75" customHeight="1" x14ac:dyDescent="0.25">
      <c r="A432" s="19"/>
    </row>
    <row r="433" spans="1:1" ht="15.75" customHeight="1" x14ac:dyDescent="0.25">
      <c r="A433" s="19"/>
    </row>
    <row r="434" spans="1:1" ht="15.75" customHeight="1" x14ac:dyDescent="0.25">
      <c r="A434" s="19"/>
    </row>
    <row r="435" spans="1:1" ht="15.75" customHeight="1" x14ac:dyDescent="0.25">
      <c r="A435" s="19"/>
    </row>
    <row r="436" spans="1:1" ht="15.75" customHeight="1" x14ac:dyDescent="0.25">
      <c r="A436" s="19"/>
    </row>
    <row r="437" spans="1:1" ht="15.75" customHeight="1" x14ac:dyDescent="0.25">
      <c r="A437" s="19"/>
    </row>
    <row r="438" spans="1:1" ht="15.75" customHeight="1" x14ac:dyDescent="0.25">
      <c r="A438" s="19"/>
    </row>
    <row r="439" spans="1:1" ht="15.75" customHeight="1" x14ac:dyDescent="0.25">
      <c r="A439" s="19"/>
    </row>
    <row r="440" spans="1:1" ht="15.75" customHeight="1" x14ac:dyDescent="0.25">
      <c r="A440" s="19"/>
    </row>
    <row r="441" spans="1:1" ht="15.75" customHeight="1" x14ac:dyDescent="0.25">
      <c r="A441" s="19"/>
    </row>
    <row r="442" spans="1:1" ht="15.75" customHeight="1" x14ac:dyDescent="0.25">
      <c r="A442" s="19"/>
    </row>
    <row r="443" spans="1:1" ht="15.75" customHeight="1" x14ac:dyDescent="0.25">
      <c r="A443" s="19"/>
    </row>
    <row r="444" spans="1:1" ht="15.75" customHeight="1" x14ac:dyDescent="0.25">
      <c r="A444" s="19"/>
    </row>
    <row r="445" spans="1:1" ht="15.75" customHeight="1" x14ac:dyDescent="0.25">
      <c r="A445" s="19"/>
    </row>
    <row r="446" spans="1:1" ht="15.75" customHeight="1" x14ac:dyDescent="0.25">
      <c r="A446" s="19"/>
    </row>
    <row r="447" spans="1:1" ht="15.75" customHeight="1" x14ac:dyDescent="0.25">
      <c r="A447" s="19"/>
    </row>
    <row r="448" spans="1:1" ht="15.75" customHeight="1" x14ac:dyDescent="0.25">
      <c r="A448" s="19"/>
    </row>
    <row r="449" spans="1:1" ht="15.75" customHeight="1" x14ac:dyDescent="0.25">
      <c r="A449" s="19"/>
    </row>
    <row r="450" spans="1:1" ht="15.75" customHeight="1" x14ac:dyDescent="0.25">
      <c r="A450" s="19"/>
    </row>
    <row r="451" spans="1:1" ht="15.75" customHeight="1" x14ac:dyDescent="0.25">
      <c r="A451" s="19"/>
    </row>
    <row r="452" spans="1:1" ht="15.75" customHeight="1" x14ac:dyDescent="0.25">
      <c r="A452" s="19"/>
    </row>
    <row r="453" spans="1:1" ht="15.75" customHeight="1" x14ac:dyDescent="0.25">
      <c r="A453" s="19"/>
    </row>
    <row r="454" spans="1:1" ht="15.75" customHeight="1" x14ac:dyDescent="0.25">
      <c r="A454" s="19"/>
    </row>
    <row r="455" spans="1:1" ht="15.75" customHeight="1" x14ac:dyDescent="0.25">
      <c r="A455" s="19"/>
    </row>
    <row r="456" spans="1:1" ht="15.75" customHeight="1" x14ac:dyDescent="0.25">
      <c r="A456" s="19"/>
    </row>
    <row r="457" spans="1:1" ht="15.75" customHeight="1" x14ac:dyDescent="0.25">
      <c r="A457" s="19"/>
    </row>
    <row r="458" spans="1:1" ht="15.75" customHeight="1" x14ac:dyDescent="0.25">
      <c r="A458" s="19"/>
    </row>
    <row r="459" spans="1:1" ht="15.75" customHeight="1" x14ac:dyDescent="0.25">
      <c r="A459" s="19"/>
    </row>
    <row r="460" spans="1:1" ht="15.75" customHeight="1" x14ac:dyDescent="0.25">
      <c r="A460" s="19"/>
    </row>
    <row r="461" spans="1:1" ht="15.75" customHeight="1" x14ac:dyDescent="0.25">
      <c r="A461" s="19"/>
    </row>
    <row r="462" spans="1:1" ht="15.75" customHeight="1" x14ac:dyDescent="0.25">
      <c r="A462" s="19"/>
    </row>
    <row r="463" spans="1:1" ht="15.75" customHeight="1" x14ac:dyDescent="0.25">
      <c r="A463" s="19"/>
    </row>
    <row r="464" spans="1:1" ht="15.75" customHeight="1" x14ac:dyDescent="0.25">
      <c r="A464" s="19"/>
    </row>
    <row r="465" spans="1:1" ht="15.75" customHeight="1" x14ac:dyDescent="0.25">
      <c r="A465" s="19"/>
    </row>
    <row r="466" spans="1:1" ht="15.75" customHeight="1" x14ac:dyDescent="0.25">
      <c r="A466" s="19"/>
    </row>
    <row r="467" spans="1:1" ht="15.75" customHeight="1" x14ac:dyDescent="0.25">
      <c r="A467" s="19"/>
    </row>
    <row r="468" spans="1:1" ht="15.75" customHeight="1" x14ac:dyDescent="0.25">
      <c r="A468" s="19"/>
    </row>
    <row r="469" spans="1:1" ht="15.75" customHeight="1" x14ac:dyDescent="0.25">
      <c r="A469" s="19"/>
    </row>
    <row r="470" spans="1:1" ht="15.75" customHeight="1" x14ac:dyDescent="0.25">
      <c r="A470" s="19"/>
    </row>
    <row r="471" spans="1:1" ht="15.75" customHeight="1" x14ac:dyDescent="0.25">
      <c r="A471" s="19"/>
    </row>
    <row r="472" spans="1:1" ht="15.75" customHeight="1" x14ac:dyDescent="0.25">
      <c r="A472" s="19"/>
    </row>
    <row r="473" spans="1:1" ht="15.75" customHeight="1" x14ac:dyDescent="0.25">
      <c r="A473" s="19"/>
    </row>
    <row r="474" spans="1:1" ht="15.75" customHeight="1" x14ac:dyDescent="0.25">
      <c r="A474" s="19"/>
    </row>
    <row r="475" spans="1:1" ht="15.75" customHeight="1" x14ac:dyDescent="0.25">
      <c r="A475" s="19"/>
    </row>
    <row r="476" spans="1:1" ht="15.75" customHeight="1" x14ac:dyDescent="0.25">
      <c r="A476" s="19"/>
    </row>
    <row r="477" spans="1:1" ht="15.75" customHeight="1" x14ac:dyDescent="0.25">
      <c r="A477" s="19"/>
    </row>
    <row r="478" spans="1:1" ht="15.75" customHeight="1" x14ac:dyDescent="0.25">
      <c r="A478" s="19"/>
    </row>
    <row r="479" spans="1:1" ht="15.75" customHeight="1" x14ac:dyDescent="0.25">
      <c r="A479" s="19"/>
    </row>
    <row r="480" spans="1:1" ht="15.75" customHeight="1" x14ac:dyDescent="0.25">
      <c r="A480" s="19"/>
    </row>
    <row r="481" spans="1:1" ht="15.75" customHeight="1" x14ac:dyDescent="0.25">
      <c r="A481" s="19"/>
    </row>
    <row r="482" spans="1:1" ht="15.75" customHeight="1" x14ac:dyDescent="0.25">
      <c r="A482" s="19"/>
    </row>
    <row r="483" spans="1:1" ht="15.75" customHeight="1" x14ac:dyDescent="0.25">
      <c r="A483" s="19"/>
    </row>
    <row r="484" spans="1:1" ht="15.75" customHeight="1" x14ac:dyDescent="0.25">
      <c r="A484" s="19"/>
    </row>
    <row r="485" spans="1:1" ht="15.75" customHeight="1" x14ac:dyDescent="0.25">
      <c r="A485" s="19"/>
    </row>
    <row r="486" spans="1:1" ht="15.75" customHeight="1" x14ac:dyDescent="0.25">
      <c r="A486" s="19"/>
    </row>
    <row r="487" spans="1:1" ht="15.75" customHeight="1" x14ac:dyDescent="0.25">
      <c r="A487" s="19"/>
    </row>
    <row r="488" spans="1:1" ht="15.75" customHeight="1" x14ac:dyDescent="0.25">
      <c r="A488" s="19"/>
    </row>
    <row r="489" spans="1:1" ht="15.75" customHeight="1" x14ac:dyDescent="0.25">
      <c r="A489" s="19"/>
    </row>
    <row r="490" spans="1:1" ht="15.75" customHeight="1" x14ac:dyDescent="0.25">
      <c r="A490" s="19"/>
    </row>
    <row r="491" spans="1:1" ht="15.75" customHeight="1" x14ac:dyDescent="0.25">
      <c r="A491" s="19"/>
    </row>
    <row r="492" spans="1:1" ht="15.75" customHeight="1" x14ac:dyDescent="0.25">
      <c r="A492" s="19"/>
    </row>
    <row r="493" spans="1:1" ht="15.75" customHeight="1" x14ac:dyDescent="0.25">
      <c r="A493" s="19"/>
    </row>
    <row r="494" spans="1:1" ht="15.75" customHeight="1" x14ac:dyDescent="0.25">
      <c r="A494" s="19"/>
    </row>
    <row r="495" spans="1:1" ht="15.75" customHeight="1" x14ac:dyDescent="0.25">
      <c r="A495" s="19"/>
    </row>
    <row r="496" spans="1:1" ht="15.75" customHeight="1" x14ac:dyDescent="0.25">
      <c r="A496" s="19"/>
    </row>
    <row r="497" spans="1:1" ht="15.75" customHeight="1" x14ac:dyDescent="0.25">
      <c r="A497" s="19"/>
    </row>
    <row r="498" spans="1:1" ht="15.75" customHeight="1" x14ac:dyDescent="0.25">
      <c r="A498" s="19"/>
    </row>
    <row r="499" spans="1:1" ht="15.75" customHeight="1" x14ac:dyDescent="0.25">
      <c r="A499" s="19"/>
    </row>
    <row r="500" spans="1:1" ht="15.75" customHeight="1" x14ac:dyDescent="0.25">
      <c r="A500" s="19"/>
    </row>
    <row r="501" spans="1:1" ht="15.75" customHeight="1" x14ac:dyDescent="0.25">
      <c r="A501" s="19"/>
    </row>
    <row r="502" spans="1:1" ht="15.75" customHeight="1" x14ac:dyDescent="0.25">
      <c r="A502" s="19"/>
    </row>
    <row r="503" spans="1:1" ht="15.75" customHeight="1" x14ac:dyDescent="0.25">
      <c r="A503" s="19"/>
    </row>
    <row r="504" spans="1:1" ht="15.75" customHeight="1" x14ac:dyDescent="0.25">
      <c r="A504" s="19"/>
    </row>
    <row r="505" spans="1:1" ht="15.75" customHeight="1" x14ac:dyDescent="0.25">
      <c r="A505" s="19"/>
    </row>
    <row r="506" spans="1:1" ht="15.75" customHeight="1" x14ac:dyDescent="0.25">
      <c r="A506" s="19"/>
    </row>
    <row r="507" spans="1:1" ht="15.75" customHeight="1" x14ac:dyDescent="0.25">
      <c r="A507" s="19"/>
    </row>
    <row r="508" spans="1:1" ht="15.75" customHeight="1" x14ac:dyDescent="0.25">
      <c r="A508" s="19"/>
    </row>
    <row r="509" spans="1:1" ht="15.75" customHeight="1" x14ac:dyDescent="0.25">
      <c r="A509" s="19"/>
    </row>
    <row r="510" spans="1:1" ht="15.75" customHeight="1" x14ac:dyDescent="0.25">
      <c r="A510" s="19"/>
    </row>
    <row r="511" spans="1:1" ht="15.75" customHeight="1" x14ac:dyDescent="0.25">
      <c r="A511" s="19"/>
    </row>
    <row r="512" spans="1:1" ht="15.75" customHeight="1" x14ac:dyDescent="0.25">
      <c r="A512" s="19"/>
    </row>
    <row r="513" spans="1:1" ht="15.75" customHeight="1" x14ac:dyDescent="0.25">
      <c r="A513" s="19"/>
    </row>
    <row r="514" spans="1:1" ht="15.75" customHeight="1" x14ac:dyDescent="0.25">
      <c r="A514" s="19"/>
    </row>
    <row r="515" spans="1:1" ht="15.75" customHeight="1" x14ac:dyDescent="0.25">
      <c r="A515" s="19"/>
    </row>
    <row r="516" spans="1:1" ht="15.75" customHeight="1" x14ac:dyDescent="0.25">
      <c r="A516" s="19"/>
    </row>
    <row r="517" spans="1:1" ht="15.75" customHeight="1" x14ac:dyDescent="0.25">
      <c r="A517" s="19"/>
    </row>
    <row r="518" spans="1:1" ht="15.75" customHeight="1" x14ac:dyDescent="0.25">
      <c r="A518" s="19"/>
    </row>
    <row r="519" spans="1:1" ht="15.75" customHeight="1" x14ac:dyDescent="0.25">
      <c r="A519" s="19"/>
    </row>
    <row r="520" spans="1:1" ht="15.75" customHeight="1" x14ac:dyDescent="0.25">
      <c r="A520" s="19"/>
    </row>
    <row r="521" spans="1:1" ht="15.75" customHeight="1" x14ac:dyDescent="0.25">
      <c r="A521" s="19"/>
    </row>
    <row r="522" spans="1:1" ht="15.75" customHeight="1" x14ac:dyDescent="0.25">
      <c r="A522" s="19"/>
    </row>
    <row r="523" spans="1:1" ht="15.75" customHeight="1" x14ac:dyDescent="0.25">
      <c r="A523" s="19"/>
    </row>
    <row r="524" spans="1:1" ht="15.75" customHeight="1" x14ac:dyDescent="0.25">
      <c r="A524" s="19"/>
    </row>
    <row r="525" spans="1:1" ht="15.75" customHeight="1" x14ac:dyDescent="0.25">
      <c r="A525" s="19"/>
    </row>
    <row r="526" spans="1:1" ht="15.75" customHeight="1" x14ac:dyDescent="0.25">
      <c r="A526" s="19"/>
    </row>
    <row r="527" spans="1:1" ht="15.75" customHeight="1" x14ac:dyDescent="0.25">
      <c r="A527" s="19"/>
    </row>
    <row r="528" spans="1:1" ht="15.75" customHeight="1" x14ac:dyDescent="0.25">
      <c r="A528" s="19"/>
    </row>
    <row r="529" spans="1:1" ht="15.75" customHeight="1" x14ac:dyDescent="0.25">
      <c r="A529" s="19"/>
    </row>
    <row r="530" spans="1:1" ht="15.75" customHeight="1" x14ac:dyDescent="0.25">
      <c r="A530" s="19"/>
    </row>
    <row r="531" spans="1:1" ht="15.75" customHeight="1" x14ac:dyDescent="0.25">
      <c r="A531" s="19"/>
    </row>
    <row r="532" spans="1:1" ht="15.75" customHeight="1" x14ac:dyDescent="0.25">
      <c r="A532" s="19"/>
    </row>
    <row r="533" spans="1:1" ht="15.75" customHeight="1" x14ac:dyDescent="0.25">
      <c r="A533" s="19"/>
    </row>
    <row r="534" spans="1:1" ht="15.75" customHeight="1" x14ac:dyDescent="0.25">
      <c r="A534" s="19"/>
    </row>
    <row r="535" spans="1:1" ht="15.75" customHeight="1" x14ac:dyDescent="0.25">
      <c r="A535" s="19"/>
    </row>
    <row r="536" spans="1:1" ht="15.75" customHeight="1" x14ac:dyDescent="0.25">
      <c r="A536" s="19"/>
    </row>
    <row r="537" spans="1:1" ht="15.75" customHeight="1" x14ac:dyDescent="0.25">
      <c r="A537" s="19"/>
    </row>
    <row r="538" spans="1:1" ht="15.75" customHeight="1" x14ac:dyDescent="0.25">
      <c r="A538" s="19"/>
    </row>
    <row r="539" spans="1:1" ht="15.75" customHeight="1" x14ac:dyDescent="0.25">
      <c r="A539" s="19"/>
    </row>
    <row r="540" spans="1:1" ht="15.75" customHeight="1" x14ac:dyDescent="0.25">
      <c r="A540" s="19"/>
    </row>
    <row r="541" spans="1:1" ht="15.75" customHeight="1" x14ac:dyDescent="0.25">
      <c r="A541" s="19"/>
    </row>
    <row r="542" spans="1:1" ht="15.75" customHeight="1" x14ac:dyDescent="0.25">
      <c r="A542" s="19"/>
    </row>
    <row r="543" spans="1:1" ht="15.75" customHeight="1" x14ac:dyDescent="0.25">
      <c r="A543" s="19"/>
    </row>
    <row r="544" spans="1:1" ht="15.75" customHeight="1" x14ac:dyDescent="0.25">
      <c r="A544" s="19"/>
    </row>
    <row r="545" spans="1:1" ht="15.75" customHeight="1" x14ac:dyDescent="0.25">
      <c r="A545" s="19"/>
    </row>
    <row r="546" spans="1:1" ht="15.75" customHeight="1" x14ac:dyDescent="0.25">
      <c r="A546" s="19"/>
    </row>
    <row r="547" spans="1:1" ht="15.75" customHeight="1" x14ac:dyDescent="0.25">
      <c r="A547" s="19"/>
    </row>
    <row r="548" spans="1:1" ht="15.75" customHeight="1" x14ac:dyDescent="0.25">
      <c r="A548" s="19"/>
    </row>
    <row r="549" spans="1:1" ht="15.75" customHeight="1" x14ac:dyDescent="0.25">
      <c r="A549" s="19"/>
    </row>
    <row r="550" spans="1:1" ht="15.75" customHeight="1" x14ac:dyDescent="0.25">
      <c r="A550" s="19"/>
    </row>
    <row r="551" spans="1:1" ht="15.75" customHeight="1" x14ac:dyDescent="0.25">
      <c r="A551" s="19"/>
    </row>
    <row r="552" spans="1:1" ht="15.75" customHeight="1" x14ac:dyDescent="0.25">
      <c r="A552" s="19"/>
    </row>
    <row r="553" spans="1:1" ht="15.75" customHeight="1" x14ac:dyDescent="0.25">
      <c r="A553" s="19"/>
    </row>
    <row r="554" spans="1:1" ht="15.75" customHeight="1" x14ac:dyDescent="0.25">
      <c r="A554" s="19"/>
    </row>
    <row r="555" spans="1:1" ht="15.75" customHeight="1" x14ac:dyDescent="0.25">
      <c r="A555" s="19"/>
    </row>
    <row r="556" spans="1:1" ht="15.75" customHeight="1" x14ac:dyDescent="0.25">
      <c r="A556" s="19"/>
    </row>
    <row r="557" spans="1:1" ht="15.75" customHeight="1" x14ac:dyDescent="0.25">
      <c r="A557" s="19"/>
    </row>
    <row r="558" spans="1:1" ht="15.75" customHeight="1" x14ac:dyDescent="0.25">
      <c r="A558" s="19"/>
    </row>
    <row r="559" spans="1:1" ht="15.75" customHeight="1" x14ac:dyDescent="0.25">
      <c r="A559" s="19"/>
    </row>
    <row r="560" spans="1:1" ht="15.75" customHeight="1" x14ac:dyDescent="0.25">
      <c r="A560" s="19"/>
    </row>
    <row r="561" spans="1:1" ht="15.75" customHeight="1" x14ac:dyDescent="0.25">
      <c r="A561" s="19"/>
    </row>
    <row r="562" spans="1:1" ht="15.75" customHeight="1" x14ac:dyDescent="0.25">
      <c r="A562" s="19"/>
    </row>
    <row r="563" spans="1:1" ht="15.75" customHeight="1" x14ac:dyDescent="0.25">
      <c r="A563" s="19"/>
    </row>
    <row r="564" spans="1:1" ht="15.75" customHeight="1" x14ac:dyDescent="0.25">
      <c r="A564" s="19"/>
    </row>
    <row r="565" spans="1:1" ht="15.75" customHeight="1" x14ac:dyDescent="0.25">
      <c r="A565" s="19"/>
    </row>
    <row r="566" spans="1:1" ht="15.75" customHeight="1" x14ac:dyDescent="0.25">
      <c r="A566" s="19"/>
    </row>
    <row r="567" spans="1:1" ht="15.75" customHeight="1" x14ac:dyDescent="0.25">
      <c r="A567" s="19"/>
    </row>
    <row r="568" spans="1:1" ht="15.75" customHeight="1" x14ac:dyDescent="0.25">
      <c r="A568" s="19"/>
    </row>
    <row r="569" spans="1:1" ht="15.75" customHeight="1" x14ac:dyDescent="0.25">
      <c r="A569" s="19"/>
    </row>
    <row r="570" spans="1:1" ht="15.75" customHeight="1" x14ac:dyDescent="0.25">
      <c r="A570" s="19"/>
    </row>
    <row r="571" spans="1:1" ht="15.75" customHeight="1" x14ac:dyDescent="0.25">
      <c r="A571" s="19"/>
    </row>
    <row r="572" spans="1:1" ht="15.75" customHeight="1" x14ac:dyDescent="0.25">
      <c r="A572" s="19"/>
    </row>
    <row r="573" spans="1:1" ht="15.75" customHeight="1" x14ac:dyDescent="0.25">
      <c r="A573" s="19"/>
    </row>
    <row r="574" spans="1:1" ht="15.75" customHeight="1" x14ac:dyDescent="0.25">
      <c r="A574" s="19"/>
    </row>
    <row r="575" spans="1:1" ht="15.75" customHeight="1" x14ac:dyDescent="0.25">
      <c r="A575" s="19"/>
    </row>
    <row r="576" spans="1:1" ht="15.75" customHeight="1" x14ac:dyDescent="0.25">
      <c r="A576" s="19"/>
    </row>
    <row r="577" spans="1:1" ht="15.75" customHeight="1" x14ac:dyDescent="0.25">
      <c r="A577" s="19"/>
    </row>
    <row r="578" spans="1:1" ht="15.75" customHeight="1" x14ac:dyDescent="0.25">
      <c r="A578" s="19"/>
    </row>
    <row r="579" spans="1:1" ht="15.75" customHeight="1" x14ac:dyDescent="0.25">
      <c r="A579" s="19"/>
    </row>
    <row r="580" spans="1:1" ht="15.75" customHeight="1" x14ac:dyDescent="0.25">
      <c r="A580" s="19"/>
    </row>
    <row r="581" spans="1:1" ht="15.75" customHeight="1" x14ac:dyDescent="0.25">
      <c r="A581" s="19"/>
    </row>
    <row r="582" spans="1:1" ht="15.75" customHeight="1" x14ac:dyDescent="0.25">
      <c r="A582" s="19"/>
    </row>
    <row r="583" spans="1:1" ht="15.75" customHeight="1" x14ac:dyDescent="0.25">
      <c r="A583" s="19"/>
    </row>
    <row r="584" spans="1:1" ht="15.75" customHeight="1" x14ac:dyDescent="0.25">
      <c r="A584" s="19"/>
    </row>
    <row r="585" spans="1:1" ht="15.75" customHeight="1" x14ac:dyDescent="0.25">
      <c r="A585" s="19"/>
    </row>
    <row r="586" spans="1:1" ht="15.75" customHeight="1" x14ac:dyDescent="0.25">
      <c r="A586" s="19"/>
    </row>
    <row r="587" spans="1:1" ht="15.75" customHeight="1" x14ac:dyDescent="0.25">
      <c r="A587" s="19"/>
    </row>
    <row r="588" spans="1:1" ht="15.75" customHeight="1" x14ac:dyDescent="0.25">
      <c r="A588" s="19"/>
    </row>
    <row r="589" spans="1:1" ht="15.75" customHeight="1" x14ac:dyDescent="0.25">
      <c r="A589" s="19"/>
    </row>
    <row r="590" spans="1:1" ht="15.75" customHeight="1" x14ac:dyDescent="0.25">
      <c r="A590" s="19"/>
    </row>
    <row r="591" spans="1:1" ht="15.75" customHeight="1" x14ac:dyDescent="0.25">
      <c r="A591" s="19"/>
    </row>
    <row r="592" spans="1:1" ht="15.75" customHeight="1" x14ac:dyDescent="0.25">
      <c r="A592" s="19"/>
    </row>
    <row r="593" spans="1:1" ht="15.75" customHeight="1" x14ac:dyDescent="0.25">
      <c r="A593" s="19"/>
    </row>
    <row r="594" spans="1:1" ht="15.75" customHeight="1" x14ac:dyDescent="0.25">
      <c r="A594" s="19"/>
    </row>
    <row r="595" spans="1:1" ht="15.75" customHeight="1" x14ac:dyDescent="0.25">
      <c r="A595" s="19"/>
    </row>
    <row r="596" spans="1:1" ht="15.75" customHeight="1" x14ac:dyDescent="0.25">
      <c r="A596" s="19"/>
    </row>
    <row r="597" spans="1:1" ht="15.75" customHeight="1" x14ac:dyDescent="0.25">
      <c r="A597" s="19"/>
    </row>
    <row r="598" spans="1:1" ht="15.75" customHeight="1" x14ac:dyDescent="0.25">
      <c r="A598" s="19"/>
    </row>
    <row r="599" spans="1:1" ht="15.75" customHeight="1" x14ac:dyDescent="0.25">
      <c r="A599" s="19"/>
    </row>
    <row r="600" spans="1:1" ht="15.75" customHeight="1" x14ac:dyDescent="0.25">
      <c r="A600" s="19"/>
    </row>
    <row r="601" spans="1:1" ht="15.75" customHeight="1" x14ac:dyDescent="0.25">
      <c r="A601" s="19"/>
    </row>
    <row r="602" spans="1:1" ht="15.75" customHeight="1" x14ac:dyDescent="0.25">
      <c r="A602" s="19"/>
    </row>
    <row r="603" spans="1:1" ht="15.75" customHeight="1" x14ac:dyDescent="0.25">
      <c r="A603" s="19"/>
    </row>
    <row r="604" spans="1:1" ht="15.75" customHeight="1" x14ac:dyDescent="0.25">
      <c r="A604" s="19"/>
    </row>
    <row r="605" spans="1:1" ht="15.75" customHeight="1" x14ac:dyDescent="0.25">
      <c r="A605" s="19"/>
    </row>
    <row r="606" spans="1:1" ht="15.75" customHeight="1" x14ac:dyDescent="0.25">
      <c r="A606" s="19"/>
    </row>
    <row r="607" spans="1:1" ht="15.75" customHeight="1" x14ac:dyDescent="0.25">
      <c r="A607" s="19"/>
    </row>
    <row r="608" spans="1:1" ht="15.75" customHeight="1" x14ac:dyDescent="0.25">
      <c r="A608" s="19"/>
    </row>
    <row r="609" spans="1:1" ht="15.75" customHeight="1" x14ac:dyDescent="0.25">
      <c r="A609" s="19"/>
    </row>
    <row r="610" spans="1:1" ht="15.75" customHeight="1" x14ac:dyDescent="0.25">
      <c r="A610" s="19"/>
    </row>
    <row r="611" spans="1:1" ht="15.75" customHeight="1" x14ac:dyDescent="0.25">
      <c r="A611" s="19"/>
    </row>
    <row r="612" spans="1:1" ht="15.75" customHeight="1" x14ac:dyDescent="0.25">
      <c r="A612" s="19"/>
    </row>
    <row r="613" spans="1:1" ht="15.75" customHeight="1" x14ac:dyDescent="0.25">
      <c r="A613" s="19"/>
    </row>
    <row r="614" spans="1:1" ht="15.75" customHeight="1" x14ac:dyDescent="0.25">
      <c r="A614" s="19"/>
    </row>
    <row r="615" spans="1:1" ht="15.75" customHeight="1" x14ac:dyDescent="0.25">
      <c r="A615" s="19"/>
    </row>
    <row r="616" spans="1:1" ht="15.75" customHeight="1" x14ac:dyDescent="0.25">
      <c r="A616" s="19"/>
    </row>
    <row r="617" spans="1:1" ht="15.75" customHeight="1" x14ac:dyDescent="0.25">
      <c r="A617" s="19"/>
    </row>
    <row r="618" spans="1:1" ht="15.75" customHeight="1" x14ac:dyDescent="0.25">
      <c r="A618" s="19"/>
    </row>
    <row r="619" spans="1:1" ht="15.75" customHeight="1" x14ac:dyDescent="0.25">
      <c r="A619" s="19"/>
    </row>
    <row r="620" spans="1:1" ht="15.75" customHeight="1" x14ac:dyDescent="0.25">
      <c r="A620" s="19"/>
    </row>
    <row r="621" spans="1:1" ht="15.75" customHeight="1" x14ac:dyDescent="0.25">
      <c r="A621" s="19"/>
    </row>
    <row r="622" spans="1:1" ht="15.75" customHeight="1" x14ac:dyDescent="0.25">
      <c r="A622" s="19"/>
    </row>
    <row r="623" spans="1:1" ht="15.75" customHeight="1" x14ac:dyDescent="0.25">
      <c r="A623" s="19"/>
    </row>
    <row r="624" spans="1:1" ht="15.75" customHeight="1" x14ac:dyDescent="0.25">
      <c r="A624" s="19"/>
    </row>
    <row r="625" spans="1:1" ht="15.75" customHeight="1" x14ac:dyDescent="0.25">
      <c r="A625" s="19"/>
    </row>
    <row r="626" spans="1:1" ht="15.75" customHeight="1" x14ac:dyDescent="0.25">
      <c r="A626" s="19"/>
    </row>
    <row r="627" spans="1:1" ht="15.75" customHeight="1" x14ac:dyDescent="0.25">
      <c r="A627" s="19"/>
    </row>
    <row r="628" spans="1:1" ht="15.75" customHeight="1" x14ac:dyDescent="0.25">
      <c r="A628" s="19"/>
    </row>
    <row r="629" spans="1:1" ht="15.75" customHeight="1" x14ac:dyDescent="0.25">
      <c r="A629" s="19"/>
    </row>
    <row r="630" spans="1:1" ht="15.75" customHeight="1" x14ac:dyDescent="0.25">
      <c r="A630" s="19"/>
    </row>
    <row r="631" spans="1:1" ht="15.75" customHeight="1" x14ac:dyDescent="0.25">
      <c r="A631" s="19"/>
    </row>
    <row r="632" spans="1:1" ht="15.75" customHeight="1" x14ac:dyDescent="0.25">
      <c r="A632" s="19"/>
    </row>
    <row r="633" spans="1:1" ht="15.75" customHeight="1" x14ac:dyDescent="0.25">
      <c r="A633" s="19"/>
    </row>
    <row r="634" spans="1:1" ht="15.75" customHeight="1" x14ac:dyDescent="0.25">
      <c r="A634" s="19"/>
    </row>
    <row r="635" spans="1:1" ht="15.75" customHeight="1" x14ac:dyDescent="0.25">
      <c r="A635" s="19"/>
    </row>
    <row r="636" spans="1:1" ht="15.75" customHeight="1" x14ac:dyDescent="0.25">
      <c r="A636" s="19"/>
    </row>
    <row r="637" spans="1:1" ht="15.75" customHeight="1" x14ac:dyDescent="0.25">
      <c r="A637" s="19"/>
    </row>
    <row r="638" spans="1:1" ht="15.75" customHeight="1" x14ac:dyDescent="0.25">
      <c r="A638" s="19"/>
    </row>
    <row r="639" spans="1:1" ht="15.75" customHeight="1" x14ac:dyDescent="0.25">
      <c r="A639" s="19"/>
    </row>
    <row r="640" spans="1:1" ht="15.75" customHeight="1" x14ac:dyDescent="0.25">
      <c r="A640" s="19"/>
    </row>
    <row r="641" spans="1:1" ht="15.75" customHeight="1" x14ac:dyDescent="0.25">
      <c r="A641" s="19"/>
    </row>
    <row r="642" spans="1:1" ht="15.75" customHeight="1" x14ac:dyDescent="0.25">
      <c r="A642" s="19"/>
    </row>
    <row r="643" spans="1:1" ht="15.75" customHeight="1" x14ac:dyDescent="0.25">
      <c r="A643" s="19"/>
    </row>
    <row r="644" spans="1:1" ht="15.75" customHeight="1" x14ac:dyDescent="0.25">
      <c r="A644" s="19"/>
    </row>
    <row r="645" spans="1:1" ht="15.75" customHeight="1" x14ac:dyDescent="0.25">
      <c r="A645" s="19"/>
    </row>
    <row r="646" spans="1:1" ht="15.75" customHeight="1" x14ac:dyDescent="0.25">
      <c r="A646" s="19"/>
    </row>
    <row r="647" spans="1:1" ht="15.75" customHeight="1" x14ac:dyDescent="0.25">
      <c r="A647" s="19"/>
    </row>
    <row r="648" spans="1:1" ht="15.75" customHeight="1" x14ac:dyDescent="0.25">
      <c r="A648" s="19"/>
    </row>
    <row r="649" spans="1:1" ht="15.75" customHeight="1" x14ac:dyDescent="0.25">
      <c r="A649" s="19"/>
    </row>
    <row r="650" spans="1:1" ht="15.75" customHeight="1" x14ac:dyDescent="0.25">
      <c r="A650" s="19"/>
    </row>
    <row r="651" spans="1:1" ht="15.75" customHeight="1" x14ac:dyDescent="0.25">
      <c r="A651" s="19"/>
    </row>
    <row r="652" spans="1:1" ht="15.75" customHeight="1" x14ac:dyDescent="0.25">
      <c r="A652" s="19"/>
    </row>
    <row r="653" spans="1:1" ht="15.75" customHeight="1" x14ac:dyDescent="0.25">
      <c r="A653" s="19"/>
    </row>
    <row r="654" spans="1:1" ht="15.75" customHeight="1" x14ac:dyDescent="0.25">
      <c r="A654" s="19"/>
    </row>
    <row r="655" spans="1:1" ht="15.75" customHeight="1" x14ac:dyDescent="0.25">
      <c r="A655" s="19"/>
    </row>
    <row r="656" spans="1:1" ht="15.75" customHeight="1" x14ac:dyDescent="0.25">
      <c r="A656" s="19"/>
    </row>
    <row r="657" spans="1:1" ht="15.75" customHeight="1" x14ac:dyDescent="0.25">
      <c r="A657" s="19"/>
    </row>
    <row r="658" spans="1:1" ht="15.75" customHeight="1" x14ac:dyDescent="0.25">
      <c r="A658" s="19"/>
    </row>
    <row r="659" spans="1:1" ht="15.75" customHeight="1" x14ac:dyDescent="0.25">
      <c r="A659" s="19"/>
    </row>
    <row r="660" spans="1:1" ht="15.75" customHeight="1" x14ac:dyDescent="0.25">
      <c r="A660" s="19"/>
    </row>
    <row r="661" spans="1:1" ht="15.75" customHeight="1" x14ac:dyDescent="0.25">
      <c r="A661" s="19"/>
    </row>
    <row r="662" spans="1:1" ht="15.75" customHeight="1" x14ac:dyDescent="0.25">
      <c r="A662" s="19"/>
    </row>
    <row r="663" spans="1:1" ht="15.75" customHeight="1" x14ac:dyDescent="0.25">
      <c r="A663" s="19"/>
    </row>
    <row r="664" spans="1:1" ht="15.75" customHeight="1" x14ac:dyDescent="0.25">
      <c r="A664" s="19"/>
    </row>
    <row r="665" spans="1:1" ht="15.75" customHeight="1" x14ac:dyDescent="0.25">
      <c r="A665" s="19"/>
    </row>
    <row r="666" spans="1:1" ht="15.75" customHeight="1" x14ac:dyDescent="0.25">
      <c r="A666" s="19"/>
    </row>
    <row r="667" spans="1:1" ht="15.75" customHeight="1" x14ac:dyDescent="0.25">
      <c r="A667" s="19"/>
    </row>
    <row r="668" spans="1:1" ht="15.75" customHeight="1" x14ac:dyDescent="0.25">
      <c r="A668" s="19"/>
    </row>
    <row r="669" spans="1:1" ht="15.75" customHeight="1" x14ac:dyDescent="0.25">
      <c r="A669" s="19"/>
    </row>
    <row r="670" spans="1:1" ht="15.75" customHeight="1" x14ac:dyDescent="0.25">
      <c r="A670" s="19"/>
    </row>
    <row r="671" spans="1:1" ht="15.75" customHeight="1" x14ac:dyDescent="0.25">
      <c r="A671" s="19"/>
    </row>
    <row r="672" spans="1:1" ht="15.75" customHeight="1" x14ac:dyDescent="0.25">
      <c r="A672" s="19"/>
    </row>
    <row r="673" spans="1:1" ht="15.75" customHeight="1" x14ac:dyDescent="0.25">
      <c r="A673" s="19"/>
    </row>
    <row r="674" spans="1:1" ht="15.75" customHeight="1" x14ac:dyDescent="0.25">
      <c r="A674" s="19"/>
    </row>
    <row r="675" spans="1:1" ht="15.75" customHeight="1" x14ac:dyDescent="0.25">
      <c r="A675" s="19"/>
    </row>
    <row r="676" spans="1:1" ht="15.75" customHeight="1" x14ac:dyDescent="0.25">
      <c r="A676" s="19"/>
    </row>
    <row r="677" spans="1:1" ht="15.75" customHeight="1" x14ac:dyDescent="0.25">
      <c r="A677" s="19"/>
    </row>
    <row r="678" spans="1:1" ht="15.75" customHeight="1" x14ac:dyDescent="0.25">
      <c r="A678" s="19"/>
    </row>
    <row r="679" spans="1:1" ht="15.75" customHeight="1" x14ac:dyDescent="0.25">
      <c r="A679" s="19"/>
    </row>
    <row r="680" spans="1:1" ht="15.75" customHeight="1" x14ac:dyDescent="0.25">
      <c r="A680" s="19"/>
    </row>
    <row r="681" spans="1:1" ht="15.75" customHeight="1" x14ac:dyDescent="0.25">
      <c r="A681" s="19"/>
    </row>
    <row r="682" spans="1:1" ht="15.75" customHeight="1" x14ac:dyDescent="0.25">
      <c r="A682" s="19"/>
    </row>
    <row r="683" spans="1:1" ht="15.75" customHeight="1" x14ac:dyDescent="0.25">
      <c r="A683" s="19"/>
    </row>
    <row r="684" spans="1:1" ht="15.75" customHeight="1" x14ac:dyDescent="0.25">
      <c r="A684" s="19"/>
    </row>
    <row r="685" spans="1:1" ht="15.75" customHeight="1" x14ac:dyDescent="0.25">
      <c r="A685" s="19"/>
    </row>
    <row r="686" spans="1:1" ht="15.75" customHeight="1" x14ac:dyDescent="0.25">
      <c r="A686" s="19"/>
    </row>
    <row r="687" spans="1:1" ht="15.75" customHeight="1" x14ac:dyDescent="0.25">
      <c r="A687" s="19"/>
    </row>
    <row r="688" spans="1:1" ht="15.75" customHeight="1" x14ac:dyDescent="0.25">
      <c r="A688" s="19"/>
    </row>
    <row r="689" spans="1:1" ht="15.75" customHeight="1" x14ac:dyDescent="0.25">
      <c r="A689" s="19"/>
    </row>
    <row r="690" spans="1:1" ht="15.75" customHeight="1" x14ac:dyDescent="0.25">
      <c r="A690" s="19"/>
    </row>
    <row r="691" spans="1:1" ht="15.75" customHeight="1" x14ac:dyDescent="0.25">
      <c r="A691" s="19"/>
    </row>
    <row r="692" spans="1:1" ht="15.75" customHeight="1" x14ac:dyDescent="0.25">
      <c r="A692" s="19"/>
    </row>
    <row r="693" spans="1:1" ht="15.75" customHeight="1" x14ac:dyDescent="0.25">
      <c r="A693" s="19"/>
    </row>
    <row r="694" spans="1:1" ht="15.75" customHeight="1" x14ac:dyDescent="0.25">
      <c r="A694" s="19"/>
    </row>
    <row r="695" spans="1:1" ht="15.75" customHeight="1" x14ac:dyDescent="0.25">
      <c r="A695" s="19"/>
    </row>
    <row r="696" spans="1:1" ht="15.75" customHeight="1" x14ac:dyDescent="0.25">
      <c r="A696" s="19"/>
    </row>
    <row r="697" spans="1:1" ht="15.75" customHeight="1" x14ac:dyDescent="0.25">
      <c r="A697" s="19"/>
    </row>
    <row r="698" spans="1:1" ht="15.75" customHeight="1" x14ac:dyDescent="0.25">
      <c r="A698" s="19"/>
    </row>
    <row r="699" spans="1:1" ht="15.75" customHeight="1" x14ac:dyDescent="0.25">
      <c r="A699" s="19"/>
    </row>
    <row r="700" spans="1:1" ht="15.75" customHeight="1" x14ac:dyDescent="0.25">
      <c r="A700" s="19"/>
    </row>
    <row r="701" spans="1:1" ht="15.75" customHeight="1" x14ac:dyDescent="0.25">
      <c r="A701" s="19"/>
    </row>
    <row r="702" spans="1:1" ht="15.75" customHeight="1" x14ac:dyDescent="0.25">
      <c r="A702" s="19"/>
    </row>
    <row r="703" spans="1:1" ht="15.75" customHeight="1" x14ac:dyDescent="0.25">
      <c r="A703" s="19"/>
    </row>
    <row r="704" spans="1:1" ht="15.75" customHeight="1" x14ac:dyDescent="0.25">
      <c r="A704" s="19"/>
    </row>
    <row r="705" spans="1:1" ht="15.75" customHeight="1" x14ac:dyDescent="0.25">
      <c r="A705" s="19"/>
    </row>
    <row r="706" spans="1:1" ht="15.75" customHeight="1" x14ac:dyDescent="0.25">
      <c r="A706" s="19"/>
    </row>
    <row r="707" spans="1:1" ht="15.75" customHeight="1" x14ac:dyDescent="0.25">
      <c r="A707" s="19"/>
    </row>
    <row r="708" spans="1:1" ht="15.75" customHeight="1" x14ac:dyDescent="0.25">
      <c r="A708" s="19"/>
    </row>
    <row r="709" spans="1:1" ht="15.75" customHeight="1" x14ac:dyDescent="0.25">
      <c r="A709" s="19"/>
    </row>
    <row r="710" spans="1:1" ht="15.75" customHeight="1" x14ac:dyDescent="0.25">
      <c r="A710" s="19"/>
    </row>
    <row r="711" spans="1:1" ht="15.75" customHeight="1" x14ac:dyDescent="0.25">
      <c r="A711" s="19"/>
    </row>
    <row r="712" spans="1:1" ht="15.75" customHeight="1" x14ac:dyDescent="0.25">
      <c r="A712" s="19"/>
    </row>
    <row r="713" spans="1:1" ht="15.75" customHeight="1" x14ac:dyDescent="0.25">
      <c r="A713" s="19"/>
    </row>
    <row r="714" spans="1:1" ht="15.75" customHeight="1" x14ac:dyDescent="0.25">
      <c r="A714" s="19"/>
    </row>
    <row r="715" spans="1:1" ht="15.75" customHeight="1" x14ac:dyDescent="0.25">
      <c r="A715" s="19"/>
    </row>
    <row r="716" spans="1:1" ht="15.75" customHeight="1" x14ac:dyDescent="0.25">
      <c r="A716" s="19"/>
    </row>
    <row r="717" spans="1:1" ht="15.75" customHeight="1" x14ac:dyDescent="0.25">
      <c r="A717" s="19"/>
    </row>
    <row r="718" spans="1:1" ht="15.75" customHeight="1" x14ac:dyDescent="0.25">
      <c r="A718" s="19"/>
    </row>
    <row r="719" spans="1:1" ht="15.75" customHeight="1" x14ac:dyDescent="0.25">
      <c r="A719" s="19"/>
    </row>
    <row r="720" spans="1:1" ht="15.75" customHeight="1" x14ac:dyDescent="0.25">
      <c r="A720" s="19"/>
    </row>
    <row r="721" spans="1:1" ht="15.75" customHeight="1" x14ac:dyDescent="0.25">
      <c r="A721" s="19"/>
    </row>
    <row r="722" spans="1:1" ht="15.75" customHeight="1" x14ac:dyDescent="0.25">
      <c r="A722" s="19"/>
    </row>
    <row r="723" spans="1:1" ht="15.75" customHeight="1" x14ac:dyDescent="0.25">
      <c r="A723" s="19"/>
    </row>
    <row r="724" spans="1:1" ht="15.75" customHeight="1" x14ac:dyDescent="0.25">
      <c r="A724" s="19"/>
    </row>
    <row r="725" spans="1:1" ht="15.75" customHeight="1" x14ac:dyDescent="0.25">
      <c r="A725" s="19"/>
    </row>
    <row r="726" spans="1:1" ht="15.75" customHeight="1" x14ac:dyDescent="0.25">
      <c r="A726" s="19"/>
    </row>
    <row r="727" spans="1:1" ht="15.75" customHeight="1" x14ac:dyDescent="0.25">
      <c r="A727" s="19"/>
    </row>
    <row r="728" spans="1:1" ht="15.75" customHeight="1" x14ac:dyDescent="0.25">
      <c r="A728" s="19"/>
    </row>
    <row r="729" spans="1:1" ht="15.75" customHeight="1" x14ac:dyDescent="0.25">
      <c r="A729" s="19"/>
    </row>
    <row r="730" spans="1:1" ht="15.75" customHeight="1" x14ac:dyDescent="0.25">
      <c r="A730" s="19"/>
    </row>
    <row r="731" spans="1:1" ht="15.75" customHeight="1" x14ac:dyDescent="0.25">
      <c r="A731" s="19"/>
    </row>
    <row r="732" spans="1:1" ht="15.75" customHeight="1" x14ac:dyDescent="0.25">
      <c r="A732" s="19"/>
    </row>
    <row r="733" spans="1:1" ht="15.75" customHeight="1" x14ac:dyDescent="0.25">
      <c r="A733" s="19"/>
    </row>
    <row r="734" spans="1:1" ht="15.75" customHeight="1" x14ac:dyDescent="0.25">
      <c r="A734" s="19"/>
    </row>
    <row r="735" spans="1:1" ht="15.75" customHeight="1" x14ac:dyDescent="0.25">
      <c r="A735" s="19"/>
    </row>
    <row r="736" spans="1:1" ht="15.75" customHeight="1" x14ac:dyDescent="0.25">
      <c r="A736" s="19"/>
    </row>
    <row r="737" spans="1:1" ht="15.75" customHeight="1" x14ac:dyDescent="0.25">
      <c r="A737" s="19"/>
    </row>
    <row r="738" spans="1:1" ht="15.75" customHeight="1" x14ac:dyDescent="0.25">
      <c r="A738" s="19"/>
    </row>
    <row r="739" spans="1:1" ht="15.75" customHeight="1" x14ac:dyDescent="0.25">
      <c r="A739" s="19"/>
    </row>
    <row r="740" spans="1:1" ht="15.75" customHeight="1" x14ac:dyDescent="0.25">
      <c r="A740" s="19"/>
    </row>
    <row r="741" spans="1:1" ht="15.75" customHeight="1" x14ac:dyDescent="0.25">
      <c r="A741" s="19"/>
    </row>
    <row r="742" spans="1:1" ht="15.75" customHeight="1" x14ac:dyDescent="0.25">
      <c r="A742" s="19"/>
    </row>
    <row r="743" spans="1:1" ht="15.75" customHeight="1" x14ac:dyDescent="0.25">
      <c r="A743" s="19"/>
    </row>
    <row r="744" spans="1:1" ht="15.75" customHeight="1" x14ac:dyDescent="0.25">
      <c r="A744" s="19"/>
    </row>
    <row r="745" spans="1:1" ht="15.75" customHeight="1" x14ac:dyDescent="0.25">
      <c r="A745" s="19"/>
    </row>
    <row r="746" spans="1:1" ht="15.75" customHeight="1" x14ac:dyDescent="0.25">
      <c r="A746" s="19"/>
    </row>
    <row r="747" spans="1:1" ht="15.75" customHeight="1" x14ac:dyDescent="0.25">
      <c r="A747" s="19"/>
    </row>
    <row r="748" spans="1:1" ht="15.75" customHeight="1" x14ac:dyDescent="0.25">
      <c r="A748" s="19"/>
    </row>
    <row r="749" spans="1:1" ht="15.75" customHeight="1" x14ac:dyDescent="0.25">
      <c r="A749" s="19"/>
    </row>
    <row r="750" spans="1:1" ht="15.75" customHeight="1" x14ac:dyDescent="0.25">
      <c r="A750" s="19"/>
    </row>
    <row r="751" spans="1:1" ht="15.75" customHeight="1" x14ac:dyDescent="0.25">
      <c r="A751" s="19"/>
    </row>
    <row r="752" spans="1:1" ht="15.75" customHeight="1" x14ac:dyDescent="0.25">
      <c r="A752" s="19"/>
    </row>
    <row r="753" spans="1:1" ht="15.75" customHeight="1" x14ac:dyDescent="0.25">
      <c r="A753" s="19"/>
    </row>
    <row r="754" spans="1:1" ht="15.75" customHeight="1" x14ac:dyDescent="0.25">
      <c r="A754" s="19"/>
    </row>
    <row r="755" spans="1:1" ht="15.75" customHeight="1" x14ac:dyDescent="0.25">
      <c r="A755" s="19"/>
    </row>
    <row r="756" spans="1:1" ht="15.75" customHeight="1" x14ac:dyDescent="0.25">
      <c r="A756" s="19"/>
    </row>
    <row r="757" spans="1:1" ht="15.75" customHeight="1" x14ac:dyDescent="0.25">
      <c r="A757" s="19"/>
    </row>
    <row r="758" spans="1:1" ht="15.75" customHeight="1" x14ac:dyDescent="0.25">
      <c r="A758" s="19"/>
    </row>
    <row r="759" spans="1:1" ht="15.75" customHeight="1" x14ac:dyDescent="0.25">
      <c r="A759" s="19"/>
    </row>
    <row r="760" spans="1:1" ht="15.75" customHeight="1" x14ac:dyDescent="0.25">
      <c r="A760" s="19"/>
    </row>
    <row r="761" spans="1:1" ht="15.75" customHeight="1" x14ac:dyDescent="0.25">
      <c r="A761" s="19"/>
    </row>
    <row r="762" spans="1:1" ht="15.75" customHeight="1" x14ac:dyDescent="0.25">
      <c r="A762" s="19"/>
    </row>
    <row r="763" spans="1:1" ht="15.75" customHeight="1" x14ac:dyDescent="0.25">
      <c r="A763" s="19"/>
    </row>
    <row r="764" spans="1:1" ht="15.75" customHeight="1" x14ac:dyDescent="0.25">
      <c r="A764" s="19"/>
    </row>
    <row r="765" spans="1:1" ht="15.75" customHeight="1" x14ac:dyDescent="0.25">
      <c r="A765" s="19"/>
    </row>
    <row r="766" spans="1:1" ht="15.75" customHeight="1" x14ac:dyDescent="0.25">
      <c r="A766" s="19"/>
    </row>
    <row r="767" spans="1:1" ht="15.75" customHeight="1" x14ac:dyDescent="0.25">
      <c r="A767" s="19"/>
    </row>
    <row r="768" spans="1:1" ht="15.75" customHeight="1" x14ac:dyDescent="0.25">
      <c r="A768" s="19"/>
    </row>
    <row r="769" spans="1:1" ht="15.75" customHeight="1" x14ac:dyDescent="0.25">
      <c r="A769" s="19"/>
    </row>
    <row r="770" spans="1:1" ht="15.75" customHeight="1" x14ac:dyDescent="0.25">
      <c r="A770" s="19"/>
    </row>
    <row r="771" spans="1:1" ht="15.75" customHeight="1" x14ac:dyDescent="0.25">
      <c r="A771" s="19"/>
    </row>
    <row r="772" spans="1:1" ht="15.75" customHeight="1" x14ac:dyDescent="0.25">
      <c r="A772" s="19"/>
    </row>
    <row r="773" spans="1:1" ht="15.75" customHeight="1" x14ac:dyDescent="0.25">
      <c r="A773" s="19"/>
    </row>
    <row r="774" spans="1:1" ht="15.75" customHeight="1" x14ac:dyDescent="0.25">
      <c r="A774" s="19"/>
    </row>
    <row r="775" spans="1:1" ht="15.75" customHeight="1" x14ac:dyDescent="0.25">
      <c r="A775" s="19"/>
    </row>
    <row r="776" spans="1:1" ht="15.75" customHeight="1" x14ac:dyDescent="0.25">
      <c r="A776" s="19"/>
    </row>
    <row r="777" spans="1:1" ht="15.75" customHeight="1" x14ac:dyDescent="0.25">
      <c r="A777" s="19"/>
    </row>
    <row r="778" spans="1:1" ht="15.75" customHeight="1" x14ac:dyDescent="0.25">
      <c r="A778" s="19"/>
    </row>
    <row r="779" spans="1:1" ht="15.75" customHeight="1" x14ac:dyDescent="0.25">
      <c r="A779" s="19"/>
    </row>
    <row r="780" spans="1:1" ht="15.75" customHeight="1" x14ac:dyDescent="0.25">
      <c r="A780" s="19"/>
    </row>
    <row r="781" spans="1:1" ht="15.75" customHeight="1" x14ac:dyDescent="0.25">
      <c r="A781" s="19"/>
    </row>
    <row r="782" spans="1:1" ht="15.75" customHeight="1" x14ac:dyDescent="0.25">
      <c r="A782" s="19"/>
    </row>
    <row r="783" spans="1:1" ht="15.75" customHeight="1" x14ac:dyDescent="0.25">
      <c r="A783" s="19"/>
    </row>
    <row r="784" spans="1:1" ht="15.75" customHeight="1" x14ac:dyDescent="0.25">
      <c r="A784" s="19"/>
    </row>
    <row r="785" spans="1:1" ht="15.75" customHeight="1" x14ac:dyDescent="0.25">
      <c r="A785" s="19"/>
    </row>
    <row r="786" spans="1:1" ht="15.75" customHeight="1" x14ac:dyDescent="0.25">
      <c r="A786" s="19"/>
    </row>
    <row r="787" spans="1:1" ht="15.75" customHeight="1" x14ac:dyDescent="0.25">
      <c r="A787" s="19"/>
    </row>
    <row r="788" spans="1:1" ht="15.75" customHeight="1" x14ac:dyDescent="0.25">
      <c r="A788" s="19"/>
    </row>
    <row r="789" spans="1:1" ht="15.75" customHeight="1" x14ac:dyDescent="0.25">
      <c r="A789" s="19"/>
    </row>
    <row r="790" spans="1:1" ht="15.75" customHeight="1" x14ac:dyDescent="0.25">
      <c r="A790" s="19"/>
    </row>
    <row r="791" spans="1:1" ht="15.75" customHeight="1" x14ac:dyDescent="0.25">
      <c r="A791" s="19"/>
    </row>
    <row r="792" spans="1:1" ht="15.75" customHeight="1" x14ac:dyDescent="0.25">
      <c r="A792" s="19"/>
    </row>
    <row r="793" spans="1:1" ht="15.75" customHeight="1" x14ac:dyDescent="0.25">
      <c r="A793" s="19"/>
    </row>
    <row r="794" spans="1:1" ht="15.75" customHeight="1" x14ac:dyDescent="0.25">
      <c r="A794" s="19"/>
    </row>
    <row r="795" spans="1:1" ht="15.75" customHeight="1" x14ac:dyDescent="0.25">
      <c r="A795" s="19"/>
    </row>
    <row r="796" spans="1:1" ht="15.75" customHeight="1" x14ac:dyDescent="0.25">
      <c r="A796" s="19"/>
    </row>
    <row r="797" spans="1:1" ht="15.75" customHeight="1" x14ac:dyDescent="0.25">
      <c r="A797" s="19"/>
    </row>
    <row r="798" spans="1:1" ht="15.75" customHeight="1" x14ac:dyDescent="0.25">
      <c r="A798" s="19"/>
    </row>
    <row r="799" spans="1:1" ht="15.75" customHeight="1" x14ac:dyDescent="0.25">
      <c r="A799" s="19"/>
    </row>
    <row r="800" spans="1:1" ht="15.75" customHeight="1" x14ac:dyDescent="0.25">
      <c r="A800" s="19"/>
    </row>
    <row r="801" spans="1:1" ht="15.75" customHeight="1" x14ac:dyDescent="0.25">
      <c r="A801" s="19"/>
    </row>
    <row r="802" spans="1:1" ht="15.75" customHeight="1" x14ac:dyDescent="0.25">
      <c r="A802" s="19"/>
    </row>
    <row r="803" spans="1:1" ht="15.75" customHeight="1" x14ac:dyDescent="0.25">
      <c r="A803" s="19"/>
    </row>
    <row r="804" spans="1:1" ht="15.75" customHeight="1" x14ac:dyDescent="0.25">
      <c r="A804" s="19"/>
    </row>
    <row r="805" spans="1:1" ht="15.75" customHeight="1" x14ac:dyDescent="0.25">
      <c r="A805" s="19"/>
    </row>
    <row r="806" spans="1:1" ht="15.75" customHeight="1" x14ac:dyDescent="0.25">
      <c r="A806" s="19"/>
    </row>
    <row r="807" spans="1:1" ht="15.75" customHeight="1" x14ac:dyDescent="0.25">
      <c r="A807" s="19"/>
    </row>
    <row r="808" spans="1:1" ht="15.75" customHeight="1" x14ac:dyDescent="0.25">
      <c r="A808" s="19"/>
    </row>
    <row r="809" spans="1:1" ht="15.75" customHeight="1" x14ac:dyDescent="0.25">
      <c r="A809" s="19"/>
    </row>
    <row r="810" spans="1:1" ht="15.75" customHeight="1" x14ac:dyDescent="0.25">
      <c r="A810" s="19"/>
    </row>
    <row r="811" spans="1:1" ht="15.75" customHeight="1" x14ac:dyDescent="0.25">
      <c r="A811" s="19"/>
    </row>
    <row r="812" spans="1:1" ht="15.75" customHeight="1" x14ac:dyDescent="0.25">
      <c r="A812" s="19"/>
    </row>
    <row r="813" spans="1:1" ht="15.75" customHeight="1" x14ac:dyDescent="0.25">
      <c r="A813" s="19"/>
    </row>
    <row r="814" spans="1:1" ht="15.75" customHeight="1" x14ac:dyDescent="0.25">
      <c r="A814" s="19"/>
    </row>
    <row r="815" spans="1:1" ht="15.75" customHeight="1" x14ac:dyDescent="0.25">
      <c r="A815" s="19"/>
    </row>
    <row r="816" spans="1:1" ht="15.75" customHeight="1" x14ac:dyDescent="0.25">
      <c r="A816" s="19"/>
    </row>
    <row r="817" spans="1:1" ht="15.75" customHeight="1" x14ac:dyDescent="0.25">
      <c r="A817" s="19"/>
    </row>
    <row r="818" spans="1:1" ht="15.75" customHeight="1" x14ac:dyDescent="0.25">
      <c r="A818" s="19"/>
    </row>
    <row r="819" spans="1:1" ht="15.75" customHeight="1" x14ac:dyDescent="0.25">
      <c r="A819" s="19"/>
    </row>
    <row r="820" spans="1:1" ht="15.75" customHeight="1" x14ac:dyDescent="0.25">
      <c r="A820" s="19"/>
    </row>
    <row r="821" spans="1:1" ht="15.75" customHeight="1" x14ac:dyDescent="0.25">
      <c r="A821" s="19"/>
    </row>
    <row r="822" spans="1:1" ht="15.75" customHeight="1" x14ac:dyDescent="0.25">
      <c r="A822" s="19"/>
    </row>
    <row r="823" spans="1:1" ht="15.75" customHeight="1" x14ac:dyDescent="0.25">
      <c r="A823" s="19"/>
    </row>
    <row r="824" spans="1:1" ht="15.75" customHeight="1" x14ac:dyDescent="0.25">
      <c r="A824" s="19"/>
    </row>
    <row r="825" spans="1:1" ht="15.75" customHeight="1" x14ac:dyDescent="0.25">
      <c r="A825" s="19"/>
    </row>
    <row r="826" spans="1:1" ht="15.75" customHeight="1" x14ac:dyDescent="0.25">
      <c r="A826" s="19"/>
    </row>
    <row r="827" spans="1:1" ht="15.75" customHeight="1" x14ac:dyDescent="0.25">
      <c r="A827" s="19"/>
    </row>
    <row r="828" spans="1:1" ht="15.75" customHeight="1" x14ac:dyDescent="0.25">
      <c r="A828" s="19"/>
    </row>
    <row r="829" spans="1:1" ht="15.75" customHeight="1" x14ac:dyDescent="0.25">
      <c r="A829" s="19"/>
    </row>
    <row r="830" spans="1:1" ht="15.75" customHeight="1" x14ac:dyDescent="0.25">
      <c r="A830" s="19"/>
    </row>
    <row r="831" spans="1:1" ht="15.75" customHeight="1" x14ac:dyDescent="0.25">
      <c r="A831" s="19"/>
    </row>
    <row r="832" spans="1:1" ht="15.75" customHeight="1" x14ac:dyDescent="0.25">
      <c r="A832" s="19"/>
    </row>
    <row r="833" spans="1:1" ht="15.75" customHeight="1" x14ac:dyDescent="0.25">
      <c r="A833" s="19"/>
    </row>
    <row r="834" spans="1:1" ht="15.75" customHeight="1" x14ac:dyDescent="0.25">
      <c r="A834" s="19"/>
    </row>
    <row r="835" spans="1:1" ht="15.75" customHeight="1" x14ac:dyDescent="0.25">
      <c r="A835" s="19"/>
    </row>
    <row r="836" spans="1:1" ht="15.75" customHeight="1" x14ac:dyDescent="0.25">
      <c r="A836" s="19"/>
    </row>
    <row r="837" spans="1:1" ht="15.75" customHeight="1" x14ac:dyDescent="0.25">
      <c r="A837" s="19"/>
    </row>
    <row r="838" spans="1:1" ht="15.75" customHeight="1" x14ac:dyDescent="0.25">
      <c r="A838" s="19"/>
    </row>
    <row r="839" spans="1:1" ht="15.75" customHeight="1" x14ac:dyDescent="0.25">
      <c r="A839" s="19"/>
    </row>
    <row r="840" spans="1:1" ht="15.75" customHeight="1" x14ac:dyDescent="0.25">
      <c r="A840" s="19"/>
    </row>
    <row r="841" spans="1:1" ht="15.75" customHeight="1" x14ac:dyDescent="0.25">
      <c r="A841" s="19"/>
    </row>
    <row r="842" spans="1:1" ht="15.75" customHeight="1" x14ac:dyDescent="0.25">
      <c r="A842" s="19"/>
    </row>
    <row r="843" spans="1:1" ht="15.75" customHeight="1" x14ac:dyDescent="0.25">
      <c r="A843" s="19"/>
    </row>
    <row r="844" spans="1:1" ht="15.75" customHeight="1" x14ac:dyDescent="0.25">
      <c r="A844" s="19"/>
    </row>
    <row r="845" spans="1:1" ht="15.75" customHeight="1" x14ac:dyDescent="0.25">
      <c r="A845" s="19"/>
    </row>
    <row r="846" spans="1:1" ht="15.75" customHeight="1" x14ac:dyDescent="0.25">
      <c r="A846" s="19"/>
    </row>
    <row r="847" spans="1:1" ht="15.75" customHeight="1" x14ac:dyDescent="0.25">
      <c r="A847" s="19"/>
    </row>
    <row r="848" spans="1:1" ht="15.75" customHeight="1" x14ac:dyDescent="0.25">
      <c r="A848" s="19"/>
    </row>
    <row r="849" spans="1:1" ht="15.75" customHeight="1" x14ac:dyDescent="0.25">
      <c r="A849" s="19"/>
    </row>
    <row r="850" spans="1:1" ht="15.75" customHeight="1" x14ac:dyDescent="0.25">
      <c r="A850" s="19"/>
    </row>
    <row r="851" spans="1:1" ht="15.75" customHeight="1" x14ac:dyDescent="0.25">
      <c r="A851" s="19"/>
    </row>
    <row r="852" spans="1:1" ht="15.75" customHeight="1" x14ac:dyDescent="0.25">
      <c r="A852" s="19"/>
    </row>
    <row r="853" spans="1:1" ht="15.75" customHeight="1" x14ac:dyDescent="0.25">
      <c r="A853" s="19"/>
    </row>
    <row r="854" spans="1:1" ht="15.75" customHeight="1" x14ac:dyDescent="0.25">
      <c r="A854" s="19"/>
    </row>
    <row r="855" spans="1:1" ht="15.75" customHeight="1" x14ac:dyDescent="0.25">
      <c r="A855" s="19"/>
    </row>
    <row r="856" spans="1:1" ht="15.75" customHeight="1" x14ac:dyDescent="0.25">
      <c r="A856" s="19"/>
    </row>
    <row r="857" spans="1:1" ht="15.75" customHeight="1" x14ac:dyDescent="0.25">
      <c r="A857" s="19"/>
    </row>
    <row r="858" spans="1:1" ht="15.75" customHeight="1" x14ac:dyDescent="0.25">
      <c r="A858" s="19"/>
    </row>
    <row r="859" spans="1:1" ht="15.75" customHeight="1" x14ac:dyDescent="0.25">
      <c r="A859" s="19"/>
    </row>
    <row r="860" spans="1:1" ht="15.75" customHeight="1" x14ac:dyDescent="0.25">
      <c r="A860" s="19"/>
    </row>
    <row r="861" spans="1:1" ht="15.75" customHeight="1" x14ac:dyDescent="0.25">
      <c r="A861" s="19"/>
    </row>
    <row r="862" spans="1:1" ht="15.75" customHeight="1" x14ac:dyDescent="0.25">
      <c r="A862" s="19"/>
    </row>
    <row r="863" spans="1:1" ht="15.75" customHeight="1" x14ac:dyDescent="0.25">
      <c r="A863" s="19"/>
    </row>
    <row r="864" spans="1:1" ht="15.75" customHeight="1" x14ac:dyDescent="0.25">
      <c r="A864" s="19"/>
    </row>
    <row r="865" spans="1:1" ht="15.75" customHeight="1" x14ac:dyDescent="0.25">
      <c r="A865" s="19"/>
    </row>
    <row r="866" spans="1:1" ht="15.75" customHeight="1" x14ac:dyDescent="0.25">
      <c r="A866" s="19"/>
    </row>
    <row r="867" spans="1:1" ht="15.75" customHeight="1" x14ac:dyDescent="0.25">
      <c r="A867" s="19"/>
    </row>
    <row r="868" spans="1:1" ht="15.75" customHeight="1" x14ac:dyDescent="0.25">
      <c r="A868" s="19"/>
    </row>
    <row r="869" spans="1:1" ht="15.75" customHeight="1" x14ac:dyDescent="0.25">
      <c r="A869" s="19"/>
    </row>
    <row r="870" spans="1:1" ht="15.75" customHeight="1" x14ac:dyDescent="0.25">
      <c r="A870" s="19"/>
    </row>
    <row r="871" spans="1:1" ht="15.75" customHeight="1" x14ac:dyDescent="0.25">
      <c r="A871" s="19"/>
    </row>
    <row r="872" spans="1:1" ht="15.75" customHeight="1" x14ac:dyDescent="0.25">
      <c r="A872" s="19"/>
    </row>
    <row r="873" spans="1:1" ht="15.75" customHeight="1" x14ac:dyDescent="0.25">
      <c r="A873" s="19"/>
    </row>
    <row r="874" spans="1:1" ht="15.75" customHeight="1" x14ac:dyDescent="0.25">
      <c r="A874" s="19"/>
    </row>
    <row r="875" spans="1:1" ht="15.75" customHeight="1" x14ac:dyDescent="0.25">
      <c r="A875" s="19"/>
    </row>
    <row r="876" spans="1:1" ht="15.75" customHeight="1" x14ac:dyDescent="0.25">
      <c r="A876" s="19"/>
    </row>
    <row r="877" spans="1:1" ht="15.75" customHeight="1" x14ac:dyDescent="0.25">
      <c r="A877" s="19"/>
    </row>
    <row r="878" spans="1:1" ht="15.75" customHeight="1" x14ac:dyDescent="0.25">
      <c r="A878" s="19"/>
    </row>
    <row r="879" spans="1:1" ht="15.75" customHeight="1" x14ac:dyDescent="0.25">
      <c r="A879" s="19"/>
    </row>
    <row r="880" spans="1:1" ht="15.75" customHeight="1" x14ac:dyDescent="0.25">
      <c r="A880" s="19"/>
    </row>
    <row r="881" spans="1:1" ht="15.75" customHeight="1" x14ac:dyDescent="0.25">
      <c r="A881" s="19"/>
    </row>
    <row r="882" spans="1:1" ht="15.75" customHeight="1" x14ac:dyDescent="0.25">
      <c r="A882" s="19"/>
    </row>
    <row r="883" spans="1:1" ht="15.75" customHeight="1" x14ac:dyDescent="0.25">
      <c r="A883" s="19"/>
    </row>
    <row r="884" spans="1:1" ht="15.75" customHeight="1" x14ac:dyDescent="0.25">
      <c r="A884" s="19"/>
    </row>
    <row r="885" spans="1:1" ht="15.75" customHeight="1" x14ac:dyDescent="0.25">
      <c r="A885" s="19"/>
    </row>
    <row r="886" spans="1:1" ht="15.75" customHeight="1" x14ac:dyDescent="0.25">
      <c r="A886" s="19"/>
    </row>
    <row r="887" spans="1:1" ht="15.75" customHeight="1" x14ac:dyDescent="0.25">
      <c r="A887" s="19"/>
    </row>
    <row r="888" spans="1:1" ht="15.75" customHeight="1" x14ac:dyDescent="0.25">
      <c r="A888" s="19"/>
    </row>
    <row r="889" spans="1:1" ht="15.75" customHeight="1" x14ac:dyDescent="0.25">
      <c r="A889" s="19"/>
    </row>
    <row r="890" spans="1:1" ht="15.75" customHeight="1" x14ac:dyDescent="0.25">
      <c r="A890" s="19"/>
    </row>
    <row r="891" spans="1:1" ht="15.75" customHeight="1" x14ac:dyDescent="0.25">
      <c r="A891" s="19"/>
    </row>
    <row r="892" spans="1:1" ht="15.75" customHeight="1" x14ac:dyDescent="0.25">
      <c r="A892" s="19"/>
    </row>
    <row r="893" spans="1:1" ht="15.75" customHeight="1" x14ac:dyDescent="0.25">
      <c r="A893" s="19"/>
    </row>
    <row r="894" spans="1:1" ht="15.75" customHeight="1" x14ac:dyDescent="0.25">
      <c r="A894" s="19"/>
    </row>
    <row r="895" spans="1:1" ht="15.75" customHeight="1" x14ac:dyDescent="0.25">
      <c r="A895" s="19"/>
    </row>
    <row r="896" spans="1:1" ht="15.75" customHeight="1" x14ac:dyDescent="0.25">
      <c r="A896" s="19"/>
    </row>
    <row r="897" spans="1:1" ht="15.75" customHeight="1" x14ac:dyDescent="0.25">
      <c r="A897" s="19"/>
    </row>
    <row r="898" spans="1:1" ht="15.75" customHeight="1" x14ac:dyDescent="0.25">
      <c r="A898" s="19"/>
    </row>
    <row r="899" spans="1:1" ht="15.75" customHeight="1" x14ac:dyDescent="0.25">
      <c r="A899" s="19"/>
    </row>
    <row r="900" spans="1:1" ht="15.75" customHeight="1" x14ac:dyDescent="0.25">
      <c r="A900" s="19"/>
    </row>
    <row r="901" spans="1:1" ht="15.75" customHeight="1" x14ac:dyDescent="0.25">
      <c r="A901" s="19"/>
    </row>
    <row r="902" spans="1:1" ht="15.75" customHeight="1" x14ac:dyDescent="0.25">
      <c r="A902" s="19"/>
    </row>
    <row r="903" spans="1:1" ht="15.75" customHeight="1" x14ac:dyDescent="0.25">
      <c r="A903" s="19"/>
    </row>
    <row r="904" spans="1:1" ht="15.75" customHeight="1" x14ac:dyDescent="0.25">
      <c r="A904" s="19"/>
    </row>
    <row r="905" spans="1:1" ht="15.75" customHeight="1" x14ac:dyDescent="0.25">
      <c r="A905" s="19"/>
    </row>
    <row r="906" spans="1:1" ht="15.75" customHeight="1" x14ac:dyDescent="0.25">
      <c r="A906" s="19"/>
    </row>
    <row r="907" spans="1:1" ht="15.75" customHeight="1" x14ac:dyDescent="0.25">
      <c r="A907" s="19"/>
    </row>
    <row r="908" spans="1:1" ht="15.75" customHeight="1" x14ac:dyDescent="0.25">
      <c r="A908" s="19"/>
    </row>
    <row r="909" spans="1:1" ht="15.75" customHeight="1" x14ac:dyDescent="0.25">
      <c r="A909" s="19"/>
    </row>
    <row r="910" spans="1:1" ht="15.75" customHeight="1" x14ac:dyDescent="0.25">
      <c r="A910" s="19"/>
    </row>
    <row r="911" spans="1:1" ht="15.75" customHeight="1" x14ac:dyDescent="0.25">
      <c r="A911" s="19"/>
    </row>
    <row r="912" spans="1:1" ht="15.75" customHeight="1" x14ac:dyDescent="0.25">
      <c r="A912" s="19"/>
    </row>
    <row r="913" spans="1:1" ht="15.75" customHeight="1" x14ac:dyDescent="0.25">
      <c r="A913" s="19"/>
    </row>
    <row r="914" spans="1:1" ht="15.75" customHeight="1" x14ac:dyDescent="0.25">
      <c r="A914" s="19"/>
    </row>
    <row r="915" spans="1:1" ht="15.75" customHeight="1" x14ac:dyDescent="0.25">
      <c r="A915" s="19"/>
    </row>
    <row r="916" spans="1:1" ht="15.75" customHeight="1" x14ac:dyDescent="0.25">
      <c r="A916" s="19"/>
    </row>
    <row r="917" spans="1:1" ht="15.75" customHeight="1" x14ac:dyDescent="0.25">
      <c r="A917" s="19"/>
    </row>
    <row r="918" spans="1:1" ht="15.75" customHeight="1" x14ac:dyDescent="0.25">
      <c r="A918" s="19"/>
    </row>
    <row r="919" spans="1:1" ht="15.75" customHeight="1" x14ac:dyDescent="0.25">
      <c r="A919" s="19"/>
    </row>
    <row r="920" spans="1:1" ht="15.75" customHeight="1" x14ac:dyDescent="0.25">
      <c r="A920" s="19"/>
    </row>
    <row r="921" spans="1:1" ht="15.75" customHeight="1" x14ac:dyDescent="0.25">
      <c r="A921" s="19"/>
    </row>
    <row r="922" spans="1:1" ht="15.75" customHeight="1" x14ac:dyDescent="0.25">
      <c r="A922" s="19"/>
    </row>
    <row r="923" spans="1:1" ht="15.75" customHeight="1" x14ac:dyDescent="0.25">
      <c r="A923" s="19"/>
    </row>
    <row r="924" spans="1:1" ht="15.75" customHeight="1" x14ac:dyDescent="0.25">
      <c r="A924" s="19"/>
    </row>
    <row r="925" spans="1:1" ht="15.75" customHeight="1" x14ac:dyDescent="0.25">
      <c r="A925" s="19"/>
    </row>
    <row r="926" spans="1:1" ht="15.75" customHeight="1" x14ac:dyDescent="0.25">
      <c r="A926" s="19"/>
    </row>
    <row r="927" spans="1:1" ht="15.75" customHeight="1" x14ac:dyDescent="0.25">
      <c r="A927" s="19"/>
    </row>
    <row r="928" spans="1:1" ht="15.75" customHeight="1" x14ac:dyDescent="0.25">
      <c r="A928" s="19"/>
    </row>
    <row r="929" spans="1:1" ht="15.75" customHeight="1" x14ac:dyDescent="0.25">
      <c r="A929" s="19"/>
    </row>
    <row r="930" spans="1:1" ht="15.75" customHeight="1" x14ac:dyDescent="0.25">
      <c r="A930" s="19"/>
    </row>
    <row r="931" spans="1:1" ht="15.75" customHeight="1" x14ac:dyDescent="0.25">
      <c r="A931" s="19"/>
    </row>
    <row r="932" spans="1:1" ht="15.75" customHeight="1" x14ac:dyDescent="0.25">
      <c r="A932" s="19"/>
    </row>
    <row r="933" spans="1:1" ht="15.75" customHeight="1" x14ac:dyDescent="0.25">
      <c r="A933" s="19"/>
    </row>
    <row r="934" spans="1:1" ht="15.75" customHeight="1" x14ac:dyDescent="0.25">
      <c r="A934" s="19"/>
    </row>
    <row r="935" spans="1:1" ht="15.75" customHeight="1" x14ac:dyDescent="0.25">
      <c r="A935" s="19"/>
    </row>
    <row r="936" spans="1:1" ht="15.75" customHeight="1" x14ac:dyDescent="0.25">
      <c r="A936" s="19"/>
    </row>
    <row r="937" spans="1:1" ht="15.75" customHeight="1" x14ac:dyDescent="0.25">
      <c r="A937" s="19"/>
    </row>
    <row r="938" spans="1:1" ht="15.75" customHeight="1" x14ac:dyDescent="0.25">
      <c r="A938" s="19"/>
    </row>
    <row r="939" spans="1:1" ht="15.75" customHeight="1" x14ac:dyDescent="0.25">
      <c r="A939" s="19"/>
    </row>
    <row r="940" spans="1:1" ht="15.75" customHeight="1" x14ac:dyDescent="0.25">
      <c r="A940" s="19"/>
    </row>
    <row r="941" spans="1:1" ht="15.75" customHeight="1" x14ac:dyDescent="0.25">
      <c r="A941" s="19"/>
    </row>
    <row r="942" spans="1:1" ht="15.75" customHeight="1" x14ac:dyDescent="0.25">
      <c r="A942" s="19"/>
    </row>
    <row r="943" spans="1:1" ht="15.75" customHeight="1" x14ac:dyDescent="0.25">
      <c r="A943" s="19"/>
    </row>
    <row r="944" spans="1:1" ht="15.75" customHeight="1" x14ac:dyDescent="0.25">
      <c r="A944" s="19"/>
    </row>
    <row r="945" spans="1:1" ht="15.75" customHeight="1" x14ac:dyDescent="0.25">
      <c r="A945" s="19"/>
    </row>
    <row r="946" spans="1:1" ht="15.75" customHeight="1" x14ac:dyDescent="0.25">
      <c r="A946" s="19"/>
    </row>
    <row r="947" spans="1:1" ht="15.75" customHeight="1" x14ac:dyDescent="0.25">
      <c r="A947" s="19"/>
    </row>
    <row r="948" spans="1:1" ht="15.75" customHeight="1" x14ac:dyDescent="0.25">
      <c r="A948" s="19"/>
    </row>
    <row r="949" spans="1:1" ht="15.75" customHeight="1" x14ac:dyDescent="0.25">
      <c r="A949" s="19"/>
    </row>
    <row r="950" spans="1:1" ht="15.75" customHeight="1" x14ac:dyDescent="0.25">
      <c r="A950" s="19"/>
    </row>
    <row r="951" spans="1:1" ht="15.75" customHeight="1" x14ac:dyDescent="0.25">
      <c r="A951" s="19"/>
    </row>
    <row r="952" spans="1:1" ht="15.75" customHeight="1" x14ac:dyDescent="0.25">
      <c r="A952" s="19"/>
    </row>
    <row r="953" spans="1:1" ht="15.75" customHeight="1" x14ac:dyDescent="0.25">
      <c r="A953" s="19"/>
    </row>
    <row r="954" spans="1:1" ht="15.75" customHeight="1" x14ac:dyDescent="0.25">
      <c r="A954" s="19"/>
    </row>
    <row r="955" spans="1:1" ht="15.75" customHeight="1" x14ac:dyDescent="0.25">
      <c r="A955" s="19"/>
    </row>
    <row r="956" spans="1:1" ht="15.75" customHeight="1" x14ac:dyDescent="0.25">
      <c r="A956" s="19"/>
    </row>
    <row r="957" spans="1:1" ht="15.75" customHeight="1" x14ac:dyDescent="0.25">
      <c r="A957" s="19"/>
    </row>
    <row r="958" spans="1:1" ht="15.75" customHeight="1" x14ac:dyDescent="0.25">
      <c r="A958" s="19"/>
    </row>
    <row r="959" spans="1:1" ht="15.75" customHeight="1" x14ac:dyDescent="0.25">
      <c r="A959" s="19"/>
    </row>
    <row r="960" spans="1:1" ht="15.75" customHeight="1" x14ac:dyDescent="0.25">
      <c r="A960" s="19"/>
    </row>
    <row r="961" spans="1:1" ht="15.75" customHeight="1" x14ac:dyDescent="0.25">
      <c r="A961" s="19"/>
    </row>
    <row r="962" spans="1:1" ht="15.75" customHeight="1" x14ac:dyDescent="0.25">
      <c r="A962" s="19"/>
    </row>
    <row r="963" spans="1:1" ht="15.75" customHeight="1" x14ac:dyDescent="0.25">
      <c r="A963" s="19"/>
    </row>
    <row r="964" spans="1:1" ht="15.75" customHeight="1" x14ac:dyDescent="0.25">
      <c r="A964" s="19"/>
    </row>
    <row r="965" spans="1:1" ht="15.75" customHeight="1" x14ac:dyDescent="0.25">
      <c r="A965" s="19"/>
    </row>
    <row r="966" spans="1:1" ht="15.75" customHeight="1" x14ac:dyDescent="0.25">
      <c r="A966" s="19"/>
    </row>
    <row r="967" spans="1:1" ht="15.75" customHeight="1" x14ac:dyDescent="0.25">
      <c r="A967" s="19"/>
    </row>
    <row r="968" spans="1:1" ht="15.75" customHeight="1" x14ac:dyDescent="0.25">
      <c r="A968" s="19"/>
    </row>
    <row r="969" spans="1:1" ht="15.75" customHeight="1" x14ac:dyDescent="0.25">
      <c r="A969" s="19"/>
    </row>
    <row r="970" spans="1:1" ht="15.75" customHeight="1" x14ac:dyDescent="0.25">
      <c r="A970" s="19"/>
    </row>
    <row r="971" spans="1:1" ht="15.75" customHeight="1" x14ac:dyDescent="0.25">
      <c r="A971" s="19"/>
    </row>
    <row r="972" spans="1:1" ht="15.75" customHeight="1" x14ac:dyDescent="0.25">
      <c r="A972" s="19"/>
    </row>
    <row r="973" spans="1:1" ht="15.75" customHeight="1" x14ac:dyDescent="0.25">
      <c r="A973" s="19"/>
    </row>
    <row r="974" spans="1:1" ht="15.75" customHeight="1" x14ac:dyDescent="0.25">
      <c r="A974" s="19"/>
    </row>
    <row r="975" spans="1:1" ht="15.75" customHeight="1" x14ac:dyDescent="0.25">
      <c r="A975" s="19"/>
    </row>
    <row r="976" spans="1:1" ht="15.75" customHeight="1" x14ac:dyDescent="0.25">
      <c r="A976" s="19"/>
    </row>
    <row r="977" spans="1:1" ht="15.75" customHeight="1" x14ac:dyDescent="0.25">
      <c r="A977" s="19"/>
    </row>
    <row r="978" spans="1:1" ht="15.75" customHeight="1" x14ac:dyDescent="0.25">
      <c r="A978" s="19"/>
    </row>
    <row r="979" spans="1:1" ht="15.75" customHeight="1" x14ac:dyDescent="0.25">
      <c r="A979" s="19"/>
    </row>
    <row r="980" spans="1:1" ht="15.75" customHeight="1" x14ac:dyDescent="0.25">
      <c r="A980" s="19"/>
    </row>
    <row r="981" spans="1:1" ht="15.75" customHeight="1" x14ac:dyDescent="0.25">
      <c r="A981" s="19"/>
    </row>
    <row r="982" spans="1:1" ht="15.75" customHeight="1" x14ac:dyDescent="0.25">
      <c r="A982" s="19"/>
    </row>
    <row r="983" spans="1:1" ht="15.75" customHeight="1" x14ac:dyDescent="0.25">
      <c r="A983" s="19"/>
    </row>
    <row r="984" spans="1:1" ht="15.75" customHeight="1" x14ac:dyDescent="0.25">
      <c r="A984" s="19"/>
    </row>
    <row r="985" spans="1:1" ht="15.75" customHeight="1" x14ac:dyDescent="0.25">
      <c r="A985" s="19"/>
    </row>
    <row r="986" spans="1:1" ht="15.75" customHeight="1" x14ac:dyDescent="0.25">
      <c r="A986" s="19"/>
    </row>
    <row r="987" spans="1:1" ht="15.75" customHeight="1" x14ac:dyDescent="0.25">
      <c r="A987" s="19"/>
    </row>
    <row r="988" spans="1:1" ht="15.75" customHeight="1" x14ac:dyDescent="0.25">
      <c r="A988" s="19"/>
    </row>
    <row r="989" spans="1:1" ht="15.75" customHeight="1" x14ac:dyDescent="0.25">
      <c r="A989" s="19"/>
    </row>
    <row r="990" spans="1:1" ht="15.75" customHeight="1" x14ac:dyDescent="0.25">
      <c r="A990" s="19"/>
    </row>
    <row r="991" spans="1:1" ht="15.75" customHeight="1" x14ac:dyDescent="0.25">
      <c r="A991" s="19"/>
    </row>
    <row r="992" spans="1:1" ht="15.75" customHeight="1" x14ac:dyDescent="0.25">
      <c r="A992" s="19"/>
    </row>
    <row r="993" spans="1:1" ht="15.75" customHeight="1" x14ac:dyDescent="0.25">
      <c r="A993" s="19"/>
    </row>
    <row r="994" spans="1:1" ht="15.75" customHeight="1" x14ac:dyDescent="0.25">
      <c r="A994" s="19"/>
    </row>
    <row r="995" spans="1:1" ht="15.75" customHeight="1" x14ac:dyDescent="0.25">
      <c r="A995" s="19"/>
    </row>
    <row r="996" spans="1:1" ht="15.75" customHeight="1" x14ac:dyDescent="0.25">
      <c r="A996" s="19"/>
    </row>
    <row r="997" spans="1:1" ht="15.75" customHeight="1" x14ac:dyDescent="0.25">
      <c r="A997" s="19"/>
    </row>
    <row r="998" spans="1:1" ht="15.75" customHeight="1" x14ac:dyDescent="0.25">
      <c r="A998" s="19"/>
    </row>
    <row r="999" spans="1:1" ht="15.75" customHeight="1" x14ac:dyDescent="0.25">
      <c r="A999" s="19"/>
    </row>
    <row r="1000" spans="1:1" ht="15.75" customHeight="1" x14ac:dyDescent="0.25">
      <c r="A1000" s="19"/>
    </row>
  </sheetData>
  <dataValidations count="1">
    <dataValidation type="custom" allowBlank="1" showInputMessage="1" showErrorMessage="1" prompt="Petunjuk Pengisian - NIK/Nomor KTP harus terdiri dari 16 digit untuk e-KTP atau 17 digit untuk KTP biasa." sqref="G7:G12 G14 G17 G24:G37 G39 G41:G52 G54:G55 G57:G78 G80:G85 G87:G97 G99:G100 G102 G104 G106:G110 G113:G122 G124 G126 G128:G137 G139:G145 I150 G147:G151 G153:G162 G166:G172 G174 G176 G178 G181:G185 G187:G197 G202:G203 G207:G211 G213:G239 G241:G242 G244:G253 G255:G257 G260:G261 G267 G270:G271 G274 G277:G278 G282 G285 G290" xr:uid="{00000000-0002-0000-0500-000000000000}">
      <formula1>AND(GTE(LEN(G7),MIN((16),(17))),LTE(LEN(G7),MAX((16),(17))))</formula1>
    </dataValidation>
  </dataValidation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1000"/>
  <sheetViews>
    <sheetView workbookViewId="0"/>
  </sheetViews>
  <sheetFormatPr defaultColWidth="14.42578125" defaultRowHeight="15" customHeight="1" x14ac:dyDescent="0.25"/>
  <cols>
    <col min="1" max="1" width="5.140625" customWidth="1"/>
    <col min="2" max="2" width="44.140625" customWidth="1"/>
    <col min="3" max="3" width="23.140625" customWidth="1"/>
    <col min="4" max="4" width="5.7109375" customWidth="1"/>
    <col min="5" max="5" width="17.28515625" customWidth="1"/>
    <col min="6" max="6" width="14.140625" customWidth="1"/>
    <col min="7" max="7" width="22.5703125" customWidth="1"/>
    <col min="8" max="8" width="13.5703125" customWidth="1"/>
    <col min="9" max="9" width="8.7109375" customWidth="1"/>
    <col min="10" max="10" width="43.5703125" customWidth="1"/>
    <col min="11" max="11" width="17.140625" customWidth="1"/>
    <col min="12" max="12" width="7.85546875" customWidth="1"/>
    <col min="13" max="13" width="61.42578125" customWidth="1"/>
    <col min="14" max="14" width="20.85546875" customWidth="1"/>
    <col min="15" max="15" width="19.140625" customWidth="1"/>
    <col min="16" max="16" width="18.42578125" customWidth="1"/>
    <col min="17" max="17" width="43" customWidth="1"/>
    <col min="18" max="18" width="16.7109375" customWidth="1"/>
    <col min="19" max="19" width="36.85546875" customWidth="1"/>
    <col min="20" max="20" width="27.5703125" customWidth="1"/>
    <col min="21" max="21" width="21.5703125" customWidth="1"/>
    <col min="22" max="22" width="30.42578125" customWidth="1"/>
    <col min="23" max="27" width="9" customWidth="1"/>
  </cols>
  <sheetData>
    <row r="1" spans="1:27" ht="51" customHeight="1" x14ac:dyDescent="0.25">
      <c r="A1" s="60" t="s">
        <v>357</v>
      </c>
      <c r="B1" s="57" t="s">
        <v>5</v>
      </c>
      <c r="C1" s="60" t="s">
        <v>7</v>
      </c>
      <c r="D1" s="57" t="s">
        <v>358</v>
      </c>
      <c r="E1" s="60" t="s">
        <v>965</v>
      </c>
      <c r="F1" s="60" t="s">
        <v>966</v>
      </c>
      <c r="G1" s="60" t="s">
        <v>967</v>
      </c>
      <c r="H1" s="60" t="s">
        <v>3</v>
      </c>
      <c r="I1" s="60" t="s">
        <v>968</v>
      </c>
      <c r="J1" s="60" t="s">
        <v>969</v>
      </c>
      <c r="K1" s="60" t="s">
        <v>3</v>
      </c>
      <c r="L1" s="3" t="s">
        <v>362</v>
      </c>
      <c r="M1" s="61" t="s">
        <v>970</v>
      </c>
      <c r="N1" s="57" t="s">
        <v>971</v>
      </c>
      <c r="O1" s="57" t="s">
        <v>972</v>
      </c>
      <c r="P1" s="57" t="s">
        <v>8</v>
      </c>
      <c r="Q1" s="3" t="s">
        <v>12</v>
      </c>
      <c r="R1" s="3" t="s">
        <v>8052</v>
      </c>
      <c r="S1" s="62" t="s">
        <v>973</v>
      </c>
      <c r="T1" s="339" t="s">
        <v>8053</v>
      </c>
      <c r="U1" s="340" t="s">
        <v>361</v>
      </c>
    </row>
    <row r="2" spans="1:27" ht="30" customHeight="1" x14ac:dyDescent="0.25">
      <c r="A2" s="5">
        <v>1</v>
      </c>
      <c r="B2" s="9" t="s">
        <v>8054</v>
      </c>
      <c r="C2" s="341" t="s">
        <v>8055</v>
      </c>
      <c r="D2" s="10" t="s">
        <v>977</v>
      </c>
      <c r="E2" s="9" t="s">
        <v>8056</v>
      </c>
      <c r="F2" s="31">
        <v>33543</v>
      </c>
      <c r="G2" s="38" t="s">
        <v>1739</v>
      </c>
      <c r="H2" s="31">
        <v>45536</v>
      </c>
      <c r="I2" s="31" t="s">
        <v>1717</v>
      </c>
      <c r="J2" s="36" t="s">
        <v>8057</v>
      </c>
      <c r="K2" s="31">
        <v>45586</v>
      </c>
      <c r="L2" s="5" t="s">
        <v>1028</v>
      </c>
      <c r="M2" s="11" t="s">
        <v>8058</v>
      </c>
      <c r="N2" s="10" t="s">
        <v>8059</v>
      </c>
      <c r="O2" s="342" t="s">
        <v>8060</v>
      </c>
      <c r="P2" s="68" t="s">
        <v>8061</v>
      </c>
      <c r="Q2" s="69" t="s">
        <v>1107</v>
      </c>
      <c r="R2" s="343">
        <v>42795</v>
      </c>
      <c r="S2" s="9" t="s">
        <v>1108</v>
      </c>
      <c r="T2" s="9" t="s">
        <v>8062</v>
      </c>
      <c r="U2" s="344" t="s">
        <v>8063</v>
      </c>
      <c r="V2" s="345"/>
      <c r="W2" s="345"/>
      <c r="X2" s="345"/>
      <c r="Y2" s="345"/>
      <c r="Z2" s="345"/>
      <c r="AA2" s="345"/>
    </row>
    <row r="3" spans="1:27" ht="30" customHeight="1" x14ac:dyDescent="0.25">
      <c r="A3" s="5">
        <v>2</v>
      </c>
      <c r="B3" s="9" t="s">
        <v>8064</v>
      </c>
      <c r="C3" s="341" t="s">
        <v>8065</v>
      </c>
      <c r="D3" s="10" t="s">
        <v>977</v>
      </c>
      <c r="E3" s="9" t="s">
        <v>8066</v>
      </c>
      <c r="F3" s="31">
        <v>32975</v>
      </c>
      <c r="G3" s="38" t="s">
        <v>1739</v>
      </c>
      <c r="H3" s="31">
        <v>44562</v>
      </c>
      <c r="I3" s="31" t="s">
        <v>1717</v>
      </c>
      <c r="J3" s="36" t="s">
        <v>2540</v>
      </c>
      <c r="K3" s="31" t="s">
        <v>8067</v>
      </c>
      <c r="L3" s="5" t="s">
        <v>982</v>
      </c>
      <c r="M3" s="9" t="s">
        <v>8068</v>
      </c>
      <c r="N3" s="10" t="s">
        <v>8069</v>
      </c>
      <c r="O3" s="67" t="s">
        <v>8070</v>
      </c>
      <c r="P3" s="68" t="s">
        <v>8071</v>
      </c>
      <c r="Q3" s="9" t="s">
        <v>1010</v>
      </c>
      <c r="R3" s="163">
        <v>42583</v>
      </c>
      <c r="S3" s="9" t="s">
        <v>8072</v>
      </c>
      <c r="T3" s="9" t="s">
        <v>2353</v>
      </c>
      <c r="U3" s="344" t="s">
        <v>8073</v>
      </c>
      <c r="V3" s="19"/>
      <c r="W3" s="346"/>
      <c r="X3" s="346"/>
      <c r="Y3" s="346"/>
      <c r="Z3" s="346"/>
      <c r="AA3" s="346"/>
    </row>
    <row r="4" spans="1:27" ht="30" customHeight="1" x14ac:dyDescent="0.25">
      <c r="A4" s="5">
        <v>3</v>
      </c>
      <c r="B4" s="9" t="s">
        <v>8074</v>
      </c>
      <c r="C4" s="341" t="s">
        <v>8075</v>
      </c>
      <c r="D4" s="10" t="s">
        <v>977</v>
      </c>
      <c r="E4" s="9" t="s">
        <v>8076</v>
      </c>
      <c r="F4" s="31">
        <v>32944</v>
      </c>
      <c r="G4" s="38" t="s">
        <v>1121</v>
      </c>
      <c r="H4" s="31">
        <v>43709</v>
      </c>
      <c r="I4" s="31" t="s">
        <v>1717</v>
      </c>
      <c r="J4" s="36" t="s">
        <v>8077</v>
      </c>
      <c r="K4" s="31">
        <v>44256</v>
      </c>
      <c r="L4" s="5" t="s">
        <v>982</v>
      </c>
      <c r="M4" s="11" t="s">
        <v>8078</v>
      </c>
      <c r="N4" s="10" t="s">
        <v>8079</v>
      </c>
      <c r="O4" s="67" t="s">
        <v>8080</v>
      </c>
      <c r="P4" s="68" t="s">
        <v>8081</v>
      </c>
      <c r="Q4" s="9" t="s">
        <v>1010</v>
      </c>
      <c r="R4" s="343">
        <v>42795</v>
      </c>
      <c r="S4" s="9" t="s">
        <v>8072</v>
      </c>
      <c r="T4" s="9" t="s">
        <v>6344</v>
      </c>
      <c r="U4" s="344" t="s">
        <v>8082</v>
      </c>
      <c r="V4" s="345"/>
      <c r="W4" s="345"/>
      <c r="X4" s="345"/>
      <c r="Y4" s="345"/>
      <c r="Z4" s="345"/>
      <c r="AA4" s="345"/>
    </row>
    <row r="5" spans="1:27" ht="30" customHeight="1" x14ac:dyDescent="0.25">
      <c r="A5" s="5">
        <v>4</v>
      </c>
      <c r="B5" s="9" t="s">
        <v>8083</v>
      </c>
      <c r="C5" s="341" t="s">
        <v>8084</v>
      </c>
      <c r="D5" s="10" t="s">
        <v>991</v>
      </c>
      <c r="E5" s="9" t="s">
        <v>8085</v>
      </c>
      <c r="F5" s="31">
        <v>33684</v>
      </c>
      <c r="G5" s="38" t="s">
        <v>1121</v>
      </c>
      <c r="H5" s="31">
        <v>44652</v>
      </c>
      <c r="I5" s="31" t="s">
        <v>1084</v>
      </c>
      <c r="J5" s="36"/>
      <c r="K5" s="31"/>
      <c r="L5" s="5" t="s">
        <v>982</v>
      </c>
      <c r="M5" s="11" t="s">
        <v>8086</v>
      </c>
      <c r="N5" s="10" t="s">
        <v>8087</v>
      </c>
      <c r="O5" s="67"/>
      <c r="P5" s="68" t="s">
        <v>8088</v>
      </c>
      <c r="Q5" s="9" t="s">
        <v>1010</v>
      </c>
      <c r="R5" s="343">
        <v>42856</v>
      </c>
      <c r="S5" s="11" t="s">
        <v>6314</v>
      </c>
      <c r="T5" s="12" t="s">
        <v>8089</v>
      </c>
      <c r="U5" s="344" t="s">
        <v>8090</v>
      </c>
      <c r="V5" s="19"/>
      <c r="W5" s="346"/>
      <c r="X5" s="346"/>
      <c r="Y5" s="346"/>
      <c r="Z5" s="346"/>
      <c r="AA5" s="346"/>
    </row>
    <row r="6" spans="1:27" ht="30" customHeight="1" x14ac:dyDescent="0.25">
      <c r="A6" s="5">
        <v>5</v>
      </c>
      <c r="B6" s="9" t="s">
        <v>8091</v>
      </c>
      <c r="C6" s="341" t="s">
        <v>8092</v>
      </c>
      <c r="D6" s="10" t="s">
        <v>991</v>
      </c>
      <c r="E6" s="9" t="s">
        <v>8085</v>
      </c>
      <c r="F6" s="31">
        <v>33771</v>
      </c>
      <c r="G6" s="38" t="s">
        <v>1739</v>
      </c>
      <c r="H6" s="31">
        <v>45017</v>
      </c>
      <c r="I6" s="31" t="s">
        <v>1717</v>
      </c>
      <c r="J6" s="36"/>
      <c r="K6" s="31"/>
      <c r="L6" s="5" t="s">
        <v>982</v>
      </c>
      <c r="M6" s="11" t="s">
        <v>8093</v>
      </c>
      <c r="N6" s="10" t="s">
        <v>8094</v>
      </c>
      <c r="O6" s="67" t="s">
        <v>8095</v>
      </c>
      <c r="P6" s="68" t="s">
        <v>8096</v>
      </c>
      <c r="Q6" s="9" t="s">
        <v>1010</v>
      </c>
      <c r="R6" s="343">
        <v>42795</v>
      </c>
      <c r="S6" s="9" t="s">
        <v>8072</v>
      </c>
      <c r="T6" s="9" t="s">
        <v>2353</v>
      </c>
      <c r="U6" s="344" t="s">
        <v>8097</v>
      </c>
      <c r="V6" s="345"/>
      <c r="W6" s="345"/>
      <c r="X6" s="345"/>
      <c r="Y6" s="345"/>
      <c r="Z6" s="345"/>
      <c r="AA6" s="345"/>
    </row>
    <row r="7" spans="1:27" ht="30" customHeight="1" x14ac:dyDescent="0.25">
      <c r="A7" s="5">
        <v>6</v>
      </c>
      <c r="B7" s="9" t="s">
        <v>8098</v>
      </c>
      <c r="C7" s="341" t="s">
        <v>8099</v>
      </c>
      <c r="D7" s="10" t="s">
        <v>977</v>
      </c>
      <c r="E7" s="9" t="s">
        <v>8100</v>
      </c>
      <c r="F7" s="31">
        <v>29812</v>
      </c>
      <c r="G7" s="38" t="s">
        <v>1739</v>
      </c>
      <c r="H7" s="31">
        <v>43862</v>
      </c>
      <c r="I7" s="31" t="s">
        <v>1717</v>
      </c>
      <c r="J7" s="36" t="s">
        <v>8101</v>
      </c>
      <c r="K7" s="31">
        <v>45586</v>
      </c>
      <c r="L7" s="5" t="s">
        <v>1028</v>
      </c>
      <c r="M7" s="11" t="s">
        <v>8102</v>
      </c>
      <c r="N7" s="10" t="s">
        <v>8103</v>
      </c>
      <c r="O7" s="347">
        <v>212100516586</v>
      </c>
      <c r="P7" s="68" t="s">
        <v>8104</v>
      </c>
      <c r="Q7" s="69" t="s">
        <v>998</v>
      </c>
      <c r="R7" s="343">
        <v>42795</v>
      </c>
      <c r="S7" s="14" t="s">
        <v>3582</v>
      </c>
      <c r="T7" s="12" t="s">
        <v>1045</v>
      </c>
      <c r="U7" s="344" t="s">
        <v>8105</v>
      </c>
      <c r="V7" s="19"/>
      <c r="W7" s="346"/>
      <c r="X7" s="346"/>
      <c r="Y7" s="346"/>
      <c r="Z7" s="346"/>
      <c r="AA7" s="346"/>
    </row>
    <row r="8" spans="1:27" ht="30" customHeight="1" x14ac:dyDescent="0.25">
      <c r="A8" s="5">
        <v>7</v>
      </c>
      <c r="B8" s="70" t="s">
        <v>8106</v>
      </c>
      <c r="C8" s="341" t="s">
        <v>8107</v>
      </c>
      <c r="D8" s="10" t="s">
        <v>977</v>
      </c>
      <c r="E8" s="70" t="s">
        <v>5510</v>
      </c>
      <c r="F8" s="75">
        <v>28579</v>
      </c>
      <c r="G8" s="348" t="s">
        <v>1739</v>
      </c>
      <c r="H8" s="75">
        <v>44593</v>
      </c>
      <c r="I8" s="75"/>
      <c r="J8" s="74"/>
      <c r="K8" s="75"/>
      <c r="L8" s="5" t="s">
        <v>982</v>
      </c>
      <c r="M8" s="9" t="s">
        <v>8108</v>
      </c>
      <c r="N8" s="76" t="s">
        <v>8109</v>
      </c>
      <c r="O8" s="77"/>
      <c r="P8" s="68" t="s">
        <v>8110</v>
      </c>
      <c r="Q8" s="69" t="s">
        <v>986</v>
      </c>
      <c r="R8" s="163">
        <v>43709</v>
      </c>
      <c r="S8" s="11" t="s">
        <v>1076</v>
      </c>
      <c r="T8" s="9" t="s">
        <v>8111</v>
      </c>
      <c r="U8" s="344" t="s">
        <v>8112</v>
      </c>
      <c r="V8" s="19"/>
      <c r="W8" s="345"/>
      <c r="X8" s="345"/>
      <c r="Y8" s="345"/>
      <c r="Z8" s="345"/>
      <c r="AA8" s="345"/>
    </row>
    <row r="9" spans="1:27" ht="30" customHeight="1" x14ac:dyDescent="0.25">
      <c r="A9" s="5">
        <v>8</v>
      </c>
      <c r="B9" s="70" t="s">
        <v>8113</v>
      </c>
      <c r="C9" s="341" t="s">
        <v>8114</v>
      </c>
      <c r="D9" s="349" t="s">
        <v>977</v>
      </c>
      <c r="E9" s="350" t="s">
        <v>2144</v>
      </c>
      <c r="F9" s="351">
        <v>34462</v>
      </c>
      <c r="G9" s="352" t="s">
        <v>1121</v>
      </c>
      <c r="H9" s="75">
        <v>45017</v>
      </c>
      <c r="I9" s="353" t="s">
        <v>1991</v>
      </c>
      <c r="J9" s="354" t="s">
        <v>8115</v>
      </c>
      <c r="K9" s="351">
        <v>45589</v>
      </c>
      <c r="L9" s="5" t="s">
        <v>982</v>
      </c>
      <c r="M9" s="9" t="s">
        <v>8116</v>
      </c>
      <c r="N9" s="76" t="s">
        <v>8117</v>
      </c>
      <c r="O9" s="355"/>
      <c r="P9" s="68" t="s">
        <v>8118</v>
      </c>
      <c r="Q9" s="14" t="s">
        <v>8119</v>
      </c>
      <c r="R9" s="163">
        <v>44520</v>
      </c>
      <c r="S9" s="14" t="s">
        <v>8120</v>
      </c>
      <c r="T9" s="356" t="s">
        <v>8121</v>
      </c>
      <c r="U9" s="357">
        <v>58227</v>
      </c>
      <c r="V9" s="346"/>
      <c r="W9" s="346"/>
      <c r="X9" s="346"/>
      <c r="Y9" s="346"/>
      <c r="Z9" s="346"/>
      <c r="AA9" s="346"/>
    </row>
    <row r="10" spans="1:27" ht="30" customHeight="1" x14ac:dyDescent="0.25">
      <c r="A10" s="5">
        <v>9</v>
      </c>
      <c r="B10" s="70" t="s">
        <v>8122</v>
      </c>
      <c r="C10" s="341" t="s">
        <v>8123</v>
      </c>
      <c r="D10" s="349" t="s">
        <v>977</v>
      </c>
      <c r="E10" s="350" t="s">
        <v>1638</v>
      </c>
      <c r="F10" s="351">
        <v>32548</v>
      </c>
      <c r="G10" s="352" t="s">
        <v>5094</v>
      </c>
      <c r="H10" s="75">
        <v>44520</v>
      </c>
      <c r="I10" s="353" t="s">
        <v>1991</v>
      </c>
      <c r="J10" s="354"/>
      <c r="K10" s="351"/>
      <c r="L10" s="5" t="s">
        <v>982</v>
      </c>
      <c r="M10" s="9" t="s">
        <v>8124</v>
      </c>
      <c r="N10" s="76" t="s">
        <v>8125</v>
      </c>
      <c r="O10" s="355"/>
      <c r="P10" s="68" t="s">
        <v>8126</v>
      </c>
      <c r="Q10" s="14" t="s">
        <v>8119</v>
      </c>
      <c r="R10" s="163">
        <v>44520</v>
      </c>
      <c r="S10" s="14" t="s">
        <v>8120</v>
      </c>
      <c r="T10" s="356" t="s">
        <v>8127</v>
      </c>
      <c r="U10" s="357">
        <v>56309</v>
      </c>
      <c r="V10" s="346"/>
      <c r="W10" s="346"/>
      <c r="X10" s="346"/>
      <c r="Y10" s="346"/>
      <c r="Z10" s="346"/>
      <c r="AA10" s="346"/>
    </row>
    <row r="11" spans="1:27" ht="30" customHeight="1" x14ac:dyDescent="0.25">
      <c r="A11" s="5">
        <v>10</v>
      </c>
      <c r="B11" s="70" t="s">
        <v>8128</v>
      </c>
      <c r="C11" s="341" t="s">
        <v>8129</v>
      </c>
      <c r="D11" s="358" t="s">
        <v>977</v>
      </c>
      <c r="E11" s="350" t="s">
        <v>1934</v>
      </c>
      <c r="F11" s="351">
        <v>35471</v>
      </c>
      <c r="G11" s="359" t="s">
        <v>1121</v>
      </c>
      <c r="H11" s="75">
        <v>45017</v>
      </c>
      <c r="I11" s="360" t="s">
        <v>1991</v>
      </c>
      <c r="J11" s="354"/>
      <c r="K11" s="351"/>
      <c r="L11" s="5" t="s">
        <v>982</v>
      </c>
      <c r="M11" s="9" t="s">
        <v>8130</v>
      </c>
      <c r="N11" s="76" t="s">
        <v>8131</v>
      </c>
      <c r="O11" s="77"/>
      <c r="P11" s="68" t="s">
        <v>8132</v>
      </c>
      <c r="Q11" s="14" t="s">
        <v>986</v>
      </c>
      <c r="R11" s="163">
        <v>44520</v>
      </c>
      <c r="S11" s="14" t="s">
        <v>8133</v>
      </c>
      <c r="T11" s="356" t="s">
        <v>8134</v>
      </c>
      <c r="U11" s="361">
        <v>59231</v>
      </c>
      <c r="V11" s="346"/>
      <c r="W11" s="346"/>
      <c r="X11" s="346"/>
      <c r="Y11" s="346"/>
      <c r="Z11" s="346"/>
      <c r="AA11" s="346"/>
    </row>
    <row r="12" spans="1:27" ht="30" customHeight="1" x14ac:dyDescent="0.25">
      <c r="A12" s="5">
        <v>11</v>
      </c>
      <c r="B12" s="70" t="s">
        <v>8135</v>
      </c>
      <c r="C12" s="341" t="s">
        <v>8136</v>
      </c>
      <c r="D12" s="358" t="s">
        <v>977</v>
      </c>
      <c r="E12" s="70" t="s">
        <v>8137</v>
      </c>
      <c r="F12" s="75">
        <v>34208</v>
      </c>
      <c r="G12" s="362" t="s">
        <v>1121</v>
      </c>
      <c r="H12" s="363">
        <v>45017</v>
      </c>
      <c r="I12" s="364" t="s">
        <v>1991</v>
      </c>
      <c r="J12" s="365"/>
      <c r="K12" s="363"/>
      <c r="L12" s="366" t="s">
        <v>982</v>
      </c>
      <c r="M12" s="9" t="s">
        <v>8138</v>
      </c>
      <c r="N12" s="76" t="s">
        <v>8139</v>
      </c>
      <c r="O12" s="77"/>
      <c r="P12" s="151" t="s">
        <v>8140</v>
      </c>
      <c r="Q12" s="14" t="s">
        <v>986</v>
      </c>
      <c r="R12" s="163">
        <v>44520</v>
      </c>
      <c r="S12" s="224" t="s">
        <v>8141</v>
      </c>
      <c r="T12" s="348" t="s">
        <v>8142</v>
      </c>
      <c r="U12" s="361">
        <v>57954</v>
      </c>
      <c r="V12" s="346"/>
      <c r="W12" s="346"/>
      <c r="X12" s="346"/>
      <c r="Y12" s="346"/>
      <c r="Z12" s="346"/>
      <c r="AA12" s="346"/>
    </row>
    <row r="13" spans="1:27" ht="30" customHeight="1" x14ac:dyDescent="0.25">
      <c r="A13" s="5">
        <v>12</v>
      </c>
      <c r="B13" s="70" t="s">
        <v>8143</v>
      </c>
      <c r="C13" s="341" t="s">
        <v>8144</v>
      </c>
      <c r="D13" s="358" t="s">
        <v>977</v>
      </c>
      <c r="E13" s="70" t="s">
        <v>4451</v>
      </c>
      <c r="F13" s="75">
        <v>35044</v>
      </c>
      <c r="G13" s="367" t="s">
        <v>1121</v>
      </c>
      <c r="H13" s="363">
        <v>45017</v>
      </c>
      <c r="I13" s="31" t="s">
        <v>1991</v>
      </c>
      <c r="J13" s="365"/>
      <c r="K13" s="363"/>
      <c r="L13" s="366" t="s">
        <v>982</v>
      </c>
      <c r="M13" s="368" t="s">
        <v>8145</v>
      </c>
      <c r="N13" s="369" t="s">
        <v>8146</v>
      </c>
      <c r="O13" s="77"/>
      <c r="P13" s="151" t="s">
        <v>8147</v>
      </c>
      <c r="Q13" s="11" t="s">
        <v>998</v>
      </c>
      <c r="R13" s="163">
        <v>44520</v>
      </c>
      <c r="S13" s="224" t="s">
        <v>8148</v>
      </c>
      <c r="T13" s="348" t="s">
        <v>8149</v>
      </c>
      <c r="U13" s="361">
        <v>58807</v>
      </c>
      <c r="V13" s="346"/>
      <c r="W13" s="346"/>
      <c r="X13" s="346"/>
      <c r="Y13" s="346"/>
      <c r="Z13" s="346"/>
      <c r="AA13" s="346"/>
    </row>
    <row r="14" spans="1:27" ht="30" customHeight="1" x14ac:dyDescent="0.25">
      <c r="A14" s="5">
        <v>13</v>
      </c>
      <c r="B14" s="70" t="s">
        <v>8150</v>
      </c>
      <c r="C14" s="341" t="s">
        <v>8151</v>
      </c>
      <c r="D14" s="358" t="s">
        <v>977</v>
      </c>
      <c r="E14" s="70" t="s">
        <v>3147</v>
      </c>
      <c r="F14" s="75">
        <v>31641</v>
      </c>
      <c r="G14" s="367" t="s">
        <v>1121</v>
      </c>
      <c r="H14" s="363">
        <v>45017</v>
      </c>
      <c r="I14" s="31" t="s">
        <v>1991</v>
      </c>
      <c r="J14" s="365" t="s">
        <v>8152</v>
      </c>
      <c r="K14" s="363"/>
      <c r="L14" s="366" t="s">
        <v>982</v>
      </c>
      <c r="M14" s="368" t="s">
        <v>8153</v>
      </c>
      <c r="N14" s="76" t="s">
        <v>8154</v>
      </c>
      <c r="O14" s="370"/>
      <c r="P14" s="151" t="s">
        <v>8155</v>
      </c>
      <c r="Q14" s="11" t="s">
        <v>1086</v>
      </c>
      <c r="R14" s="163">
        <v>44520</v>
      </c>
      <c r="S14" s="224" t="s">
        <v>1087</v>
      </c>
      <c r="T14" s="348" t="s">
        <v>4902</v>
      </c>
      <c r="U14" s="361">
        <v>55397</v>
      </c>
      <c r="V14" s="346"/>
      <c r="W14" s="346"/>
      <c r="X14" s="346"/>
      <c r="Y14" s="346"/>
      <c r="Z14" s="346"/>
      <c r="AA14" s="346"/>
    </row>
    <row r="15" spans="1:27" ht="30" customHeight="1" x14ac:dyDescent="0.25">
      <c r="A15" s="5">
        <v>14</v>
      </c>
      <c r="B15" s="70" t="s">
        <v>8156</v>
      </c>
      <c r="C15" s="341" t="s">
        <v>8157</v>
      </c>
      <c r="D15" s="358" t="s">
        <v>977</v>
      </c>
      <c r="E15" s="70" t="s">
        <v>8158</v>
      </c>
      <c r="F15" s="75">
        <v>33856</v>
      </c>
      <c r="G15" s="367" t="s">
        <v>1121</v>
      </c>
      <c r="H15" s="363">
        <v>45017</v>
      </c>
      <c r="I15" s="31" t="s">
        <v>1991</v>
      </c>
      <c r="J15" s="365"/>
      <c r="K15" s="363"/>
      <c r="L15" s="366" t="s">
        <v>1028</v>
      </c>
      <c r="M15" s="368" t="s">
        <v>1617</v>
      </c>
      <c r="N15" s="369" t="s">
        <v>8159</v>
      </c>
      <c r="O15" s="77"/>
      <c r="P15" s="151" t="s">
        <v>8160</v>
      </c>
      <c r="Q15" s="11" t="s">
        <v>998</v>
      </c>
      <c r="R15" s="163">
        <v>44520</v>
      </c>
      <c r="S15" s="224" t="s">
        <v>3610</v>
      </c>
      <c r="T15" s="348" t="s">
        <v>8161</v>
      </c>
      <c r="U15" s="361">
        <v>57619</v>
      </c>
      <c r="V15" s="346"/>
      <c r="W15" s="346"/>
      <c r="X15" s="346"/>
      <c r="Y15" s="346"/>
      <c r="Z15" s="346"/>
      <c r="AA15" s="346"/>
    </row>
    <row r="16" spans="1:27" ht="30" customHeight="1" x14ac:dyDescent="0.25">
      <c r="A16" s="5">
        <v>15</v>
      </c>
      <c r="B16" s="70" t="s">
        <v>8162</v>
      </c>
      <c r="C16" s="341" t="s">
        <v>8163</v>
      </c>
      <c r="D16" s="358" t="s">
        <v>977</v>
      </c>
      <c r="E16" s="70" t="s">
        <v>2276</v>
      </c>
      <c r="F16" s="75">
        <v>34455</v>
      </c>
      <c r="G16" s="367" t="s">
        <v>1121</v>
      </c>
      <c r="H16" s="363">
        <v>45017</v>
      </c>
      <c r="I16" s="31" t="s">
        <v>1991</v>
      </c>
      <c r="J16" s="365"/>
      <c r="K16" s="363"/>
      <c r="L16" s="366" t="s">
        <v>982</v>
      </c>
      <c r="M16" s="368" t="s">
        <v>8164</v>
      </c>
      <c r="N16" s="76" t="s">
        <v>8165</v>
      </c>
      <c r="O16" s="77"/>
      <c r="P16" s="151" t="s">
        <v>8166</v>
      </c>
      <c r="Q16" s="11" t="s">
        <v>1086</v>
      </c>
      <c r="R16" s="163">
        <v>44520</v>
      </c>
      <c r="S16" s="14" t="s">
        <v>4658</v>
      </c>
      <c r="T16" s="348" t="s">
        <v>8167</v>
      </c>
      <c r="U16" s="361">
        <v>58227</v>
      </c>
      <c r="V16" s="346"/>
      <c r="W16" s="346"/>
      <c r="X16" s="346"/>
      <c r="Y16" s="346"/>
      <c r="Z16" s="346"/>
      <c r="AA16" s="346"/>
    </row>
    <row r="17" spans="1:27" ht="24" customHeight="1" x14ac:dyDescent="0.25">
      <c r="A17" s="5">
        <v>16</v>
      </c>
      <c r="B17" s="70" t="s">
        <v>8168</v>
      </c>
      <c r="C17" s="341" t="s">
        <v>8169</v>
      </c>
      <c r="D17" s="76" t="s">
        <v>977</v>
      </c>
      <c r="E17" s="70" t="s">
        <v>1648</v>
      </c>
      <c r="F17" s="75">
        <v>33785</v>
      </c>
      <c r="G17" s="367" t="s">
        <v>1121</v>
      </c>
      <c r="H17" s="363">
        <v>45017</v>
      </c>
      <c r="I17" s="31" t="s">
        <v>1991</v>
      </c>
      <c r="J17" s="74"/>
      <c r="K17" s="75"/>
      <c r="L17" s="5" t="s">
        <v>982</v>
      </c>
      <c r="M17" s="9" t="s">
        <v>8170</v>
      </c>
      <c r="N17" s="76" t="s">
        <v>8171</v>
      </c>
      <c r="O17" s="77"/>
      <c r="P17" s="151" t="s">
        <v>8172</v>
      </c>
      <c r="Q17" s="11" t="s">
        <v>1010</v>
      </c>
      <c r="R17" s="163">
        <v>44520</v>
      </c>
      <c r="S17" s="14" t="s">
        <v>6383</v>
      </c>
      <c r="T17" s="348" t="s">
        <v>8173</v>
      </c>
      <c r="U17" s="361">
        <v>57527</v>
      </c>
      <c r="V17" s="346"/>
      <c r="W17" s="346"/>
      <c r="X17" s="346"/>
      <c r="Y17" s="346"/>
      <c r="Z17" s="346"/>
      <c r="AA17" s="346"/>
    </row>
    <row r="18" spans="1:27" ht="28.5" customHeight="1" x14ac:dyDescent="0.25">
      <c r="A18" s="5">
        <v>17</v>
      </c>
      <c r="B18" s="70" t="s">
        <v>8174</v>
      </c>
      <c r="C18" s="341" t="s">
        <v>8175</v>
      </c>
      <c r="D18" s="349" t="s">
        <v>977</v>
      </c>
      <c r="E18" s="70" t="s">
        <v>8176</v>
      </c>
      <c r="F18" s="75">
        <v>32994</v>
      </c>
      <c r="G18" s="352" t="s">
        <v>1739</v>
      </c>
      <c r="H18" s="75">
        <v>45017</v>
      </c>
      <c r="I18" s="353" t="s">
        <v>1717</v>
      </c>
      <c r="J18" s="74" t="s">
        <v>8177</v>
      </c>
      <c r="K18" s="75">
        <v>45589</v>
      </c>
      <c r="L18" s="5" t="s">
        <v>1028</v>
      </c>
      <c r="M18" s="9" t="s">
        <v>8178</v>
      </c>
      <c r="N18" s="76" t="s">
        <v>8179</v>
      </c>
      <c r="O18" s="342"/>
      <c r="P18" s="151" t="s">
        <v>8180</v>
      </c>
      <c r="Q18" s="11" t="s">
        <v>8119</v>
      </c>
      <c r="R18" s="163">
        <v>44520</v>
      </c>
      <c r="S18" s="14" t="s">
        <v>1440</v>
      </c>
      <c r="T18" s="348" t="s">
        <v>2092</v>
      </c>
      <c r="U18" s="357">
        <v>56766</v>
      </c>
      <c r="V18" s="346"/>
      <c r="W18" s="346"/>
      <c r="X18" s="346"/>
      <c r="Y18" s="346"/>
      <c r="Z18" s="346"/>
      <c r="AA18" s="346"/>
    </row>
    <row r="19" spans="1:27" ht="28.5" customHeight="1" x14ac:dyDescent="0.25">
      <c r="A19" s="5">
        <v>18</v>
      </c>
      <c r="B19" s="70" t="s">
        <v>8181</v>
      </c>
      <c r="C19" s="341" t="s">
        <v>8182</v>
      </c>
      <c r="D19" s="76" t="s">
        <v>977</v>
      </c>
      <c r="E19" s="70" t="s">
        <v>5510</v>
      </c>
      <c r="F19" s="75">
        <v>32850</v>
      </c>
      <c r="G19" s="89" t="s">
        <v>1739</v>
      </c>
      <c r="H19" s="75">
        <v>45017</v>
      </c>
      <c r="I19" s="31" t="s">
        <v>1717</v>
      </c>
      <c r="J19" s="74"/>
      <c r="K19" s="75"/>
      <c r="L19" s="5" t="s">
        <v>1028</v>
      </c>
      <c r="M19" s="9" t="s">
        <v>8183</v>
      </c>
      <c r="N19" s="76" t="s">
        <v>8184</v>
      </c>
      <c r="O19" s="77"/>
      <c r="P19" s="151" t="s">
        <v>8185</v>
      </c>
      <c r="Q19" s="11" t="s">
        <v>1033</v>
      </c>
      <c r="R19" s="163">
        <v>44520</v>
      </c>
      <c r="S19" s="14" t="s">
        <v>6745</v>
      </c>
      <c r="T19" s="348" t="s">
        <v>8186</v>
      </c>
      <c r="U19" s="361">
        <v>56615</v>
      </c>
      <c r="V19" s="346"/>
      <c r="W19" s="346"/>
      <c r="X19" s="346"/>
      <c r="Y19" s="346"/>
      <c r="Z19" s="346"/>
      <c r="AA19" s="346"/>
    </row>
    <row r="20" spans="1:27" ht="28.5" customHeight="1" x14ac:dyDescent="0.25">
      <c r="A20" s="5">
        <v>19</v>
      </c>
      <c r="B20" s="70" t="s">
        <v>8187</v>
      </c>
      <c r="C20" s="341" t="s">
        <v>8188</v>
      </c>
      <c r="D20" s="76" t="s">
        <v>977</v>
      </c>
      <c r="E20" s="70" t="s">
        <v>1519</v>
      </c>
      <c r="F20" s="75">
        <v>29912</v>
      </c>
      <c r="G20" s="89" t="s">
        <v>1121</v>
      </c>
      <c r="H20" s="75">
        <v>45017</v>
      </c>
      <c r="I20" s="31" t="s">
        <v>1991</v>
      </c>
      <c r="J20" s="74"/>
      <c r="K20" s="75"/>
      <c r="L20" s="5" t="s">
        <v>982</v>
      </c>
      <c r="M20" s="9" t="s">
        <v>8189</v>
      </c>
      <c r="N20" s="76" t="s">
        <v>8190</v>
      </c>
      <c r="O20" s="77"/>
      <c r="P20" s="151" t="s">
        <v>8191</v>
      </c>
      <c r="Q20" s="11" t="s">
        <v>1086</v>
      </c>
      <c r="R20" s="163">
        <v>44520</v>
      </c>
      <c r="S20" s="14" t="s">
        <v>4685</v>
      </c>
      <c r="T20" s="348" t="s">
        <v>8167</v>
      </c>
      <c r="U20" s="361">
        <v>53662</v>
      </c>
      <c r="V20" s="346"/>
      <c r="W20" s="346"/>
      <c r="X20" s="346"/>
      <c r="Y20" s="346"/>
      <c r="Z20" s="346"/>
      <c r="AA20" s="346"/>
    </row>
    <row r="21" spans="1:27" ht="28.5" customHeight="1" x14ac:dyDescent="0.25">
      <c r="A21" s="5">
        <v>20</v>
      </c>
      <c r="B21" s="70" t="s">
        <v>8192</v>
      </c>
      <c r="C21" s="341" t="s">
        <v>8193</v>
      </c>
      <c r="D21" s="76" t="s">
        <v>977</v>
      </c>
      <c r="E21" s="70" t="s">
        <v>8194</v>
      </c>
      <c r="F21" s="75">
        <v>27191</v>
      </c>
      <c r="G21" s="89" t="s">
        <v>5094</v>
      </c>
      <c r="H21" s="75">
        <v>44520</v>
      </c>
      <c r="I21" s="31" t="s">
        <v>1991</v>
      </c>
      <c r="J21" s="74"/>
      <c r="K21" s="75"/>
      <c r="L21" s="5" t="s">
        <v>982</v>
      </c>
      <c r="M21" s="9" t="s">
        <v>8195</v>
      </c>
      <c r="N21" s="76" t="s">
        <v>8196</v>
      </c>
      <c r="O21" s="371"/>
      <c r="P21" s="151" t="s">
        <v>8197</v>
      </c>
      <c r="Q21" s="11" t="s">
        <v>1107</v>
      </c>
      <c r="R21" s="163">
        <v>44520</v>
      </c>
      <c r="S21" s="11" t="s">
        <v>2558</v>
      </c>
      <c r="T21" s="348" t="s">
        <v>8198</v>
      </c>
      <c r="U21" s="361">
        <v>50952</v>
      </c>
      <c r="V21" s="346"/>
      <c r="W21" s="346"/>
      <c r="X21" s="346"/>
      <c r="Y21" s="346"/>
      <c r="Z21" s="346"/>
      <c r="AA21" s="346"/>
    </row>
    <row r="22" spans="1:27" ht="28.5" customHeight="1" x14ac:dyDescent="0.25">
      <c r="A22" s="5">
        <v>21</v>
      </c>
      <c r="B22" s="70" t="s">
        <v>8199</v>
      </c>
      <c r="C22" s="341" t="s">
        <v>8200</v>
      </c>
      <c r="D22" s="76" t="s">
        <v>991</v>
      </c>
      <c r="E22" s="70" t="s">
        <v>4451</v>
      </c>
      <c r="F22" s="75">
        <v>34805</v>
      </c>
      <c r="G22" s="89" t="s">
        <v>1121</v>
      </c>
      <c r="H22" s="75">
        <v>45017</v>
      </c>
      <c r="I22" s="31" t="s">
        <v>1991</v>
      </c>
      <c r="J22" s="74"/>
      <c r="K22" s="75"/>
      <c r="L22" s="5" t="s">
        <v>982</v>
      </c>
      <c r="M22" s="9" t="s">
        <v>8201</v>
      </c>
      <c r="N22" s="76" t="s">
        <v>8202</v>
      </c>
      <c r="O22" s="77"/>
      <c r="P22" s="68" t="s">
        <v>8203</v>
      </c>
      <c r="Q22" s="11" t="s">
        <v>1010</v>
      </c>
      <c r="R22" s="163">
        <v>44520</v>
      </c>
      <c r="S22" s="14" t="s">
        <v>6383</v>
      </c>
      <c r="T22" s="348" t="s">
        <v>8204</v>
      </c>
      <c r="U22" s="361">
        <v>58562</v>
      </c>
      <c r="V22" s="346"/>
      <c r="W22" s="346"/>
      <c r="X22" s="346"/>
      <c r="Y22" s="346"/>
      <c r="Z22" s="346"/>
      <c r="AA22" s="346"/>
    </row>
    <row r="23" spans="1:27" ht="28.5" customHeight="1" x14ac:dyDescent="0.25">
      <c r="A23" s="5">
        <v>22</v>
      </c>
      <c r="B23" s="70" t="s">
        <v>8205</v>
      </c>
      <c r="C23" s="341" t="s">
        <v>8206</v>
      </c>
      <c r="D23" s="76" t="s">
        <v>991</v>
      </c>
      <c r="E23" s="70" t="s">
        <v>2837</v>
      </c>
      <c r="F23" s="75">
        <v>34730</v>
      </c>
      <c r="G23" s="89" t="s">
        <v>1121</v>
      </c>
      <c r="H23" s="75">
        <v>45017</v>
      </c>
      <c r="I23" s="31" t="s">
        <v>1991</v>
      </c>
      <c r="J23" s="74"/>
      <c r="K23" s="75"/>
      <c r="L23" s="5" t="s">
        <v>982</v>
      </c>
      <c r="M23" s="9" t="s">
        <v>8207</v>
      </c>
      <c r="N23" s="76">
        <v>2031019501</v>
      </c>
      <c r="O23" s="77"/>
      <c r="P23" s="68" t="s">
        <v>8208</v>
      </c>
      <c r="Q23" s="11" t="s">
        <v>1010</v>
      </c>
      <c r="R23" s="163">
        <v>44520</v>
      </c>
      <c r="S23" s="14" t="s">
        <v>6383</v>
      </c>
      <c r="T23" s="348" t="s">
        <v>8204</v>
      </c>
      <c r="U23" s="361">
        <v>58472</v>
      </c>
      <c r="V23" s="346"/>
      <c r="W23" s="346"/>
      <c r="X23" s="346"/>
      <c r="Y23" s="346"/>
      <c r="Z23" s="346"/>
      <c r="AA23" s="346"/>
    </row>
    <row r="24" spans="1:27" ht="28.5" customHeight="1" x14ac:dyDescent="0.25">
      <c r="A24" s="5">
        <v>23</v>
      </c>
      <c r="B24" s="70" t="s">
        <v>8209</v>
      </c>
      <c r="C24" s="341" t="s">
        <v>8210</v>
      </c>
      <c r="D24" s="76" t="s">
        <v>991</v>
      </c>
      <c r="E24" s="70" t="s">
        <v>4953</v>
      </c>
      <c r="F24" s="75">
        <v>34848</v>
      </c>
      <c r="G24" s="89" t="s">
        <v>1121</v>
      </c>
      <c r="H24" s="75">
        <v>45017</v>
      </c>
      <c r="I24" s="31" t="s">
        <v>1991</v>
      </c>
      <c r="J24" s="74"/>
      <c r="K24" s="75"/>
      <c r="L24" s="5" t="s">
        <v>982</v>
      </c>
      <c r="M24" s="9" t="s">
        <v>8211</v>
      </c>
      <c r="N24" s="76" t="s">
        <v>8212</v>
      </c>
      <c r="O24" s="77"/>
      <c r="P24" s="68" t="s">
        <v>8213</v>
      </c>
      <c r="Q24" s="11" t="s">
        <v>986</v>
      </c>
      <c r="R24" s="163">
        <v>44520</v>
      </c>
      <c r="S24" s="14" t="s">
        <v>1076</v>
      </c>
      <c r="T24" s="348" t="s">
        <v>8214</v>
      </c>
      <c r="U24" s="361">
        <v>58593</v>
      </c>
      <c r="V24" s="346"/>
      <c r="W24" s="346"/>
      <c r="X24" s="346"/>
      <c r="Y24" s="346"/>
      <c r="Z24" s="346"/>
      <c r="AA24" s="346"/>
    </row>
    <row r="25" spans="1:27" ht="28.5" customHeight="1" x14ac:dyDescent="0.25">
      <c r="A25" s="5">
        <v>24</v>
      </c>
      <c r="B25" s="70" t="s">
        <v>8215</v>
      </c>
      <c r="C25" s="341" t="s">
        <v>8216</v>
      </c>
      <c r="D25" s="76" t="s">
        <v>991</v>
      </c>
      <c r="E25" s="70" t="s">
        <v>8217</v>
      </c>
      <c r="F25" s="75">
        <v>34347</v>
      </c>
      <c r="G25" s="89" t="s">
        <v>1121</v>
      </c>
      <c r="H25" s="75">
        <v>45017</v>
      </c>
      <c r="I25" s="31" t="s">
        <v>1991</v>
      </c>
      <c r="J25" s="74"/>
      <c r="K25" s="75"/>
      <c r="L25" s="5" t="s">
        <v>982</v>
      </c>
      <c r="M25" s="9" t="s">
        <v>8218</v>
      </c>
      <c r="N25" s="76" t="s">
        <v>8219</v>
      </c>
      <c r="O25" s="77"/>
      <c r="P25" s="68" t="s">
        <v>8220</v>
      </c>
      <c r="Q25" s="11" t="s">
        <v>1086</v>
      </c>
      <c r="R25" s="163">
        <v>44520</v>
      </c>
      <c r="S25" s="14" t="s">
        <v>1087</v>
      </c>
      <c r="T25" s="348" t="s">
        <v>4902</v>
      </c>
      <c r="U25" s="361">
        <v>58107</v>
      </c>
      <c r="V25" s="346"/>
      <c r="W25" s="346"/>
      <c r="X25" s="346"/>
      <c r="Y25" s="346"/>
      <c r="Z25" s="346"/>
      <c r="AA25" s="346"/>
    </row>
    <row r="26" spans="1:27" ht="28.5" customHeight="1" x14ac:dyDescent="0.25">
      <c r="A26" s="5">
        <v>25</v>
      </c>
      <c r="B26" s="70" t="s">
        <v>8221</v>
      </c>
      <c r="C26" s="341" t="s">
        <v>8222</v>
      </c>
      <c r="D26" s="76" t="s">
        <v>991</v>
      </c>
      <c r="E26" s="70" t="s">
        <v>3058</v>
      </c>
      <c r="F26" s="75">
        <v>32981</v>
      </c>
      <c r="G26" s="89" t="s">
        <v>5094</v>
      </c>
      <c r="H26" s="75">
        <v>44520</v>
      </c>
      <c r="I26" s="31" t="s">
        <v>1991</v>
      </c>
      <c r="J26" s="74"/>
      <c r="K26" s="75"/>
      <c r="L26" s="5" t="s">
        <v>982</v>
      </c>
      <c r="M26" s="9" t="s">
        <v>8218</v>
      </c>
      <c r="N26" s="76">
        <v>2018049004</v>
      </c>
      <c r="O26" s="77"/>
      <c r="P26" s="68" t="s">
        <v>8223</v>
      </c>
      <c r="Q26" s="11" t="s">
        <v>1086</v>
      </c>
      <c r="R26" s="163">
        <v>44520</v>
      </c>
      <c r="S26" s="14" t="s">
        <v>1087</v>
      </c>
      <c r="T26" s="348" t="s">
        <v>4902</v>
      </c>
      <c r="U26" s="361">
        <v>56735</v>
      </c>
      <c r="V26" s="346"/>
      <c r="W26" s="346"/>
      <c r="X26" s="346"/>
      <c r="Y26" s="346"/>
      <c r="Z26" s="346"/>
      <c r="AA26" s="346"/>
    </row>
    <row r="27" spans="1:27" ht="28.5" customHeight="1" x14ac:dyDescent="0.25">
      <c r="A27" s="5">
        <v>26</v>
      </c>
      <c r="B27" s="70" t="s">
        <v>8224</v>
      </c>
      <c r="C27" s="341" t="s">
        <v>8225</v>
      </c>
      <c r="D27" s="76" t="s">
        <v>991</v>
      </c>
      <c r="E27" s="70" t="s">
        <v>2463</v>
      </c>
      <c r="F27" s="75">
        <v>34481</v>
      </c>
      <c r="G27" s="89" t="s">
        <v>1121</v>
      </c>
      <c r="H27" s="75">
        <v>45017</v>
      </c>
      <c r="I27" s="31" t="s">
        <v>1991</v>
      </c>
      <c r="J27" s="74"/>
      <c r="K27" s="75"/>
      <c r="L27" s="5" t="s">
        <v>982</v>
      </c>
      <c r="M27" s="9" t="s">
        <v>8226</v>
      </c>
      <c r="N27" s="76" t="s">
        <v>8227</v>
      </c>
      <c r="O27" s="77"/>
      <c r="P27" s="68" t="s">
        <v>8228</v>
      </c>
      <c r="Q27" s="11" t="s">
        <v>8229</v>
      </c>
      <c r="R27" s="163">
        <v>44520</v>
      </c>
      <c r="S27" s="14" t="s">
        <v>5296</v>
      </c>
      <c r="T27" s="348" t="s">
        <v>8230</v>
      </c>
      <c r="U27" s="361">
        <v>58227</v>
      </c>
      <c r="V27" s="346"/>
      <c r="W27" s="346"/>
      <c r="X27" s="346"/>
      <c r="Y27" s="346"/>
      <c r="Z27" s="346"/>
      <c r="AA27" s="346"/>
    </row>
    <row r="28" spans="1:27" ht="28.5" customHeight="1" x14ac:dyDescent="0.25">
      <c r="A28" s="5">
        <v>27</v>
      </c>
      <c r="B28" s="70" t="s">
        <v>8231</v>
      </c>
      <c r="C28" s="341" t="s">
        <v>8232</v>
      </c>
      <c r="D28" s="76" t="s">
        <v>991</v>
      </c>
      <c r="E28" s="70" t="s">
        <v>2428</v>
      </c>
      <c r="F28" s="75">
        <v>33635</v>
      </c>
      <c r="G28" s="89" t="s">
        <v>5094</v>
      </c>
      <c r="H28" s="75">
        <v>44520</v>
      </c>
      <c r="I28" s="31" t="s">
        <v>1991</v>
      </c>
      <c r="J28" s="74"/>
      <c r="K28" s="75"/>
      <c r="L28" s="5" t="s">
        <v>982</v>
      </c>
      <c r="M28" s="9" t="s">
        <v>8233</v>
      </c>
      <c r="N28" s="76">
        <v>2001029203</v>
      </c>
      <c r="O28" s="77"/>
      <c r="P28" s="68" t="s">
        <v>8234</v>
      </c>
      <c r="Q28" s="11" t="s">
        <v>8235</v>
      </c>
      <c r="R28" s="163">
        <v>44520</v>
      </c>
      <c r="S28" s="14" t="s">
        <v>5834</v>
      </c>
      <c r="T28" s="348" t="s">
        <v>8236</v>
      </c>
      <c r="U28" s="361">
        <v>57405</v>
      </c>
      <c r="V28" s="346"/>
      <c r="W28" s="346"/>
      <c r="X28" s="346"/>
      <c r="Y28" s="346"/>
      <c r="Z28" s="346"/>
      <c r="AA28" s="346"/>
    </row>
    <row r="29" spans="1:27" ht="28.5" customHeight="1" x14ac:dyDescent="0.25">
      <c r="A29" s="5">
        <v>28</v>
      </c>
      <c r="B29" s="70" t="s">
        <v>8237</v>
      </c>
      <c r="C29" s="341" t="s">
        <v>8238</v>
      </c>
      <c r="D29" s="76" t="s">
        <v>991</v>
      </c>
      <c r="E29" s="70" t="s">
        <v>1934</v>
      </c>
      <c r="F29" s="75">
        <v>35012</v>
      </c>
      <c r="G29" s="89" t="s">
        <v>1121</v>
      </c>
      <c r="H29" s="75">
        <v>45017</v>
      </c>
      <c r="I29" s="31" t="s">
        <v>1991</v>
      </c>
      <c r="J29" s="74"/>
      <c r="K29" s="75"/>
      <c r="L29" s="5" t="s">
        <v>982</v>
      </c>
      <c r="M29" s="9" t="s">
        <v>8239</v>
      </c>
      <c r="N29" s="76">
        <v>2009119501</v>
      </c>
      <c r="O29" s="77"/>
      <c r="P29" s="68" t="s">
        <v>8240</v>
      </c>
      <c r="Q29" s="11" t="s">
        <v>1010</v>
      </c>
      <c r="R29" s="163">
        <v>44520</v>
      </c>
      <c r="S29" s="14" t="s">
        <v>8241</v>
      </c>
      <c r="T29" s="348" t="s">
        <v>8242</v>
      </c>
      <c r="U29" s="361">
        <v>58776</v>
      </c>
      <c r="V29" s="346"/>
      <c r="W29" s="346"/>
      <c r="X29" s="346"/>
      <c r="Y29" s="346"/>
      <c r="Z29" s="346"/>
      <c r="AA29" s="346"/>
    </row>
    <row r="30" spans="1:27" ht="30" customHeight="1" x14ac:dyDescent="0.25">
      <c r="A30" s="5">
        <v>29</v>
      </c>
      <c r="B30" s="70" t="s">
        <v>8243</v>
      </c>
      <c r="C30" s="372" t="s">
        <v>8244</v>
      </c>
      <c r="D30" s="76" t="s">
        <v>977</v>
      </c>
      <c r="E30" s="70" t="s">
        <v>1555</v>
      </c>
      <c r="F30" s="75" t="s">
        <v>8245</v>
      </c>
      <c r="G30" s="21" t="s">
        <v>8246</v>
      </c>
      <c r="H30" s="75">
        <v>44958</v>
      </c>
      <c r="I30" s="31"/>
      <c r="J30" s="74" t="s">
        <v>1084</v>
      </c>
      <c r="K30" s="75"/>
      <c r="L30" s="5" t="s">
        <v>1028</v>
      </c>
      <c r="M30" s="9" t="s">
        <v>8247</v>
      </c>
      <c r="N30" s="76" t="s">
        <v>8248</v>
      </c>
      <c r="O30" s="77"/>
      <c r="P30" s="68" t="s">
        <v>8249</v>
      </c>
      <c r="Q30" s="11" t="s">
        <v>1086</v>
      </c>
      <c r="R30" s="163">
        <v>44959</v>
      </c>
      <c r="S30" s="14" t="s">
        <v>8248</v>
      </c>
      <c r="T30" s="348" t="s">
        <v>3734</v>
      </c>
      <c r="U30" s="373" t="s">
        <v>1084</v>
      </c>
      <c r="V30" s="13"/>
      <c r="W30" s="13"/>
      <c r="X30" s="13"/>
      <c r="Y30" s="13"/>
      <c r="Z30" s="13"/>
      <c r="AA30" s="13"/>
    </row>
    <row r="31" spans="1:27" ht="15.75" customHeight="1" x14ac:dyDescent="0.25">
      <c r="A31" s="2"/>
      <c r="B31" s="19"/>
      <c r="C31" s="374"/>
      <c r="D31" s="2"/>
      <c r="E31" s="19"/>
      <c r="F31" s="19"/>
      <c r="G31" s="19"/>
      <c r="H31" s="19"/>
      <c r="I31" s="19"/>
      <c r="J31" s="19"/>
      <c r="K31" s="19"/>
      <c r="L31" s="2"/>
      <c r="M31" s="19"/>
      <c r="N31" s="19"/>
      <c r="O31" s="84"/>
      <c r="P31" s="19"/>
      <c r="Q31" s="91"/>
      <c r="R31" s="19"/>
      <c r="S31" s="91"/>
      <c r="T31" s="19"/>
      <c r="U31" s="375"/>
    </row>
    <row r="32" spans="1:27" ht="15.75" customHeight="1" x14ac:dyDescent="0.25">
      <c r="A32" s="2"/>
      <c r="B32" s="19"/>
      <c r="C32" s="374"/>
      <c r="D32" s="2"/>
      <c r="E32" s="19"/>
      <c r="F32" s="19"/>
      <c r="G32" s="19"/>
      <c r="H32" s="19"/>
      <c r="I32" s="19"/>
      <c r="J32" s="19"/>
      <c r="K32" s="19"/>
      <c r="L32" s="2"/>
      <c r="M32" s="19"/>
      <c r="N32" s="19"/>
      <c r="O32" s="84"/>
      <c r="P32" s="19"/>
      <c r="Q32" s="91"/>
      <c r="R32" s="19"/>
      <c r="S32" s="91"/>
      <c r="T32" s="19"/>
      <c r="U32" s="375"/>
    </row>
    <row r="33" spans="1:21" ht="15.75" customHeight="1" x14ac:dyDescent="0.25">
      <c r="A33" s="2"/>
      <c r="B33" s="19"/>
      <c r="C33" s="374"/>
      <c r="D33" s="2"/>
      <c r="E33" s="19"/>
      <c r="F33" s="19"/>
      <c r="G33" s="19"/>
      <c r="H33" s="19"/>
      <c r="I33" s="19"/>
      <c r="J33" s="19"/>
      <c r="K33" s="19"/>
      <c r="L33" s="2"/>
      <c r="M33" s="19"/>
      <c r="N33" s="19"/>
      <c r="O33" s="84"/>
      <c r="P33" s="19"/>
      <c r="Q33" s="91"/>
      <c r="R33" s="19"/>
      <c r="S33" s="91"/>
      <c r="T33" s="19"/>
      <c r="U33" s="375"/>
    </row>
    <row r="34" spans="1:21" ht="15.75" customHeight="1" x14ac:dyDescent="0.25">
      <c r="A34" s="2"/>
      <c r="B34" s="19"/>
      <c r="C34" s="374"/>
      <c r="D34" s="2"/>
      <c r="E34" s="19"/>
      <c r="F34" s="19"/>
      <c r="G34" s="19"/>
      <c r="H34" s="19"/>
      <c r="I34" s="19"/>
      <c r="J34" s="19"/>
      <c r="K34" s="19"/>
      <c r="L34" s="2"/>
      <c r="M34" s="19"/>
      <c r="N34" s="19"/>
      <c r="O34" s="84"/>
      <c r="P34" s="19"/>
      <c r="Q34" s="91"/>
      <c r="R34" s="19"/>
      <c r="S34" s="91"/>
      <c r="T34" s="19"/>
      <c r="U34" s="375"/>
    </row>
    <row r="35" spans="1:21" ht="15.75" customHeight="1" x14ac:dyDescent="0.25">
      <c r="A35" s="2"/>
      <c r="B35" s="19"/>
      <c r="C35" s="374"/>
      <c r="D35" s="2"/>
      <c r="E35" s="19"/>
      <c r="F35" s="19"/>
      <c r="G35" s="19"/>
      <c r="H35" s="19"/>
      <c r="I35" s="19"/>
      <c r="J35" s="19"/>
      <c r="K35" s="19"/>
      <c r="L35" s="2"/>
      <c r="M35" s="19"/>
      <c r="N35" s="19"/>
      <c r="O35" s="84"/>
      <c r="P35" s="19"/>
      <c r="Q35" s="91"/>
      <c r="R35" s="19"/>
      <c r="S35" s="91"/>
      <c r="T35" s="19"/>
      <c r="U35" s="375"/>
    </row>
    <row r="36" spans="1:21" ht="15.75" customHeight="1" x14ac:dyDescent="0.25">
      <c r="A36" s="2"/>
      <c r="B36" s="19"/>
      <c r="C36" s="374"/>
      <c r="D36" s="2"/>
      <c r="E36" s="19"/>
      <c r="F36" s="19"/>
      <c r="G36" s="19"/>
      <c r="H36" s="19"/>
      <c r="I36" s="19"/>
      <c r="J36" s="19"/>
      <c r="K36" s="19"/>
      <c r="L36" s="2"/>
      <c r="M36" s="19"/>
      <c r="N36" s="19"/>
      <c r="O36" s="84"/>
      <c r="P36" s="19"/>
      <c r="Q36" s="91"/>
      <c r="R36" s="19"/>
      <c r="S36" s="91"/>
      <c r="T36" s="19"/>
      <c r="U36" s="375"/>
    </row>
    <row r="37" spans="1:21" ht="15.75" customHeight="1" x14ac:dyDescent="0.25">
      <c r="A37" s="2"/>
      <c r="B37" s="19"/>
      <c r="C37" s="374"/>
      <c r="D37" s="2"/>
      <c r="E37" s="19"/>
      <c r="F37" s="19"/>
      <c r="G37" s="19"/>
      <c r="H37" s="19"/>
      <c r="I37" s="19"/>
      <c r="J37" s="19"/>
      <c r="K37" s="19"/>
      <c r="L37" s="2"/>
      <c r="M37" s="19"/>
      <c r="N37" s="19"/>
      <c r="O37" s="84"/>
      <c r="P37" s="19"/>
      <c r="Q37" s="91"/>
      <c r="R37" s="19"/>
      <c r="S37" s="91"/>
      <c r="T37" s="19"/>
      <c r="U37" s="375"/>
    </row>
    <row r="38" spans="1:21" ht="15.75" customHeight="1" x14ac:dyDescent="0.25">
      <c r="A38" s="2"/>
      <c r="B38" s="19"/>
      <c r="C38" s="374"/>
      <c r="D38" s="2"/>
      <c r="E38" s="19"/>
      <c r="F38" s="19"/>
      <c r="G38" s="19"/>
      <c r="H38" s="19"/>
      <c r="I38" s="19"/>
      <c r="J38" s="19"/>
      <c r="K38" s="19"/>
      <c r="L38" s="2"/>
      <c r="M38" s="19"/>
      <c r="N38" s="19"/>
      <c r="O38" s="84"/>
      <c r="P38" s="19"/>
      <c r="Q38" s="91"/>
      <c r="R38" s="19"/>
      <c r="S38" s="91"/>
      <c r="T38" s="19"/>
      <c r="U38" s="375"/>
    </row>
    <row r="39" spans="1:21" ht="15.75" customHeight="1" x14ac:dyDescent="0.25">
      <c r="A39" s="2"/>
      <c r="B39" s="19"/>
      <c r="C39" s="374"/>
      <c r="D39" s="2"/>
      <c r="E39" s="19"/>
      <c r="F39" s="19"/>
      <c r="G39" s="19"/>
      <c r="H39" s="19"/>
      <c r="I39" s="19"/>
      <c r="J39" s="19"/>
      <c r="K39" s="19"/>
      <c r="L39" s="2"/>
      <c r="M39" s="19"/>
      <c r="N39" s="19"/>
      <c r="O39" s="84"/>
      <c r="P39" s="19"/>
      <c r="Q39" s="91"/>
      <c r="R39" s="19"/>
      <c r="S39" s="91"/>
      <c r="T39" s="19"/>
      <c r="U39" s="375"/>
    </row>
    <row r="40" spans="1:21" ht="15.75" customHeight="1" x14ac:dyDescent="0.25">
      <c r="A40" s="2"/>
      <c r="B40" s="19"/>
      <c r="C40" s="374"/>
      <c r="D40" s="2"/>
      <c r="E40" s="19"/>
      <c r="F40" s="19"/>
      <c r="G40" s="19"/>
      <c r="H40" s="19"/>
      <c r="I40" s="19"/>
      <c r="J40" s="19"/>
      <c r="K40" s="19"/>
      <c r="L40" s="2"/>
      <c r="M40" s="19"/>
      <c r="N40" s="19"/>
      <c r="O40" s="84"/>
      <c r="P40" s="19"/>
      <c r="Q40" s="91"/>
      <c r="R40" s="19"/>
      <c r="S40" s="91"/>
      <c r="T40" s="19"/>
      <c r="U40" s="375"/>
    </row>
    <row r="41" spans="1:21" ht="15.75" customHeight="1" x14ac:dyDescent="0.25">
      <c r="A41" s="2"/>
      <c r="B41" s="19"/>
      <c r="C41" s="374"/>
      <c r="D41" s="2"/>
      <c r="E41" s="19"/>
      <c r="F41" s="19"/>
      <c r="G41" s="19"/>
      <c r="H41" s="19"/>
      <c r="I41" s="19"/>
      <c r="J41" s="19"/>
      <c r="K41" s="19"/>
      <c r="L41" s="2"/>
      <c r="M41" s="19"/>
      <c r="N41" s="19"/>
      <c r="O41" s="84"/>
      <c r="P41" s="19"/>
      <c r="Q41" s="91"/>
      <c r="R41" s="19"/>
      <c r="S41" s="91"/>
      <c r="T41" s="19"/>
      <c r="U41" s="375"/>
    </row>
    <row r="42" spans="1:21" ht="15.75" customHeight="1" x14ac:dyDescent="0.25">
      <c r="A42" s="2"/>
      <c r="B42" s="19"/>
      <c r="C42" s="374"/>
      <c r="D42" s="2"/>
      <c r="E42" s="19"/>
      <c r="F42" s="19"/>
      <c r="G42" s="19"/>
      <c r="H42" s="19"/>
      <c r="I42" s="19"/>
      <c r="J42" s="19"/>
      <c r="K42" s="19"/>
      <c r="L42" s="2"/>
      <c r="M42" s="19"/>
      <c r="N42" s="19"/>
      <c r="O42" s="84"/>
      <c r="P42" s="19"/>
      <c r="Q42" s="91"/>
      <c r="R42" s="19"/>
      <c r="S42" s="91"/>
      <c r="T42" s="19"/>
      <c r="U42" s="375"/>
    </row>
    <row r="43" spans="1:21" ht="15.75" customHeight="1" x14ac:dyDescent="0.25">
      <c r="A43" s="2"/>
      <c r="B43" s="19"/>
      <c r="C43" s="374"/>
      <c r="D43" s="2"/>
      <c r="E43" s="19"/>
      <c r="F43" s="19"/>
      <c r="G43" s="19"/>
      <c r="H43" s="19"/>
      <c r="I43" s="19"/>
      <c r="J43" s="19"/>
      <c r="K43" s="19"/>
      <c r="L43" s="2"/>
      <c r="M43" s="19"/>
      <c r="N43" s="19"/>
      <c r="O43" s="84"/>
      <c r="P43" s="19"/>
      <c r="Q43" s="91"/>
      <c r="R43" s="19"/>
      <c r="S43" s="91"/>
      <c r="T43" s="19"/>
      <c r="U43" s="375"/>
    </row>
    <row r="44" spans="1:21" ht="15.75" customHeight="1" x14ac:dyDescent="0.25">
      <c r="A44" s="2"/>
      <c r="B44" s="19"/>
      <c r="C44" s="374"/>
      <c r="D44" s="2"/>
      <c r="E44" s="19"/>
      <c r="F44" s="19"/>
      <c r="G44" s="19"/>
      <c r="H44" s="19"/>
      <c r="I44" s="19"/>
      <c r="J44" s="19"/>
      <c r="K44" s="19"/>
      <c r="L44" s="2"/>
      <c r="M44" s="19"/>
      <c r="N44" s="19"/>
      <c r="O44" s="84"/>
      <c r="P44" s="19"/>
      <c r="Q44" s="91"/>
      <c r="R44" s="19"/>
      <c r="S44" s="91"/>
      <c r="T44" s="19"/>
      <c r="U44" s="375"/>
    </row>
    <row r="45" spans="1:21" ht="15.75" customHeight="1" x14ac:dyDescent="0.25">
      <c r="A45" s="2"/>
      <c r="B45" s="19"/>
      <c r="C45" s="374"/>
      <c r="D45" s="2"/>
      <c r="E45" s="19"/>
      <c r="F45" s="19"/>
      <c r="G45" s="19"/>
      <c r="H45" s="19"/>
      <c r="I45" s="19"/>
      <c r="J45" s="19"/>
      <c r="K45" s="19"/>
      <c r="L45" s="2"/>
      <c r="M45" s="19"/>
      <c r="N45" s="19"/>
      <c r="O45" s="84"/>
      <c r="P45" s="19"/>
      <c r="Q45" s="91"/>
      <c r="R45" s="19"/>
      <c r="S45" s="91"/>
      <c r="T45" s="19"/>
      <c r="U45" s="375"/>
    </row>
    <row r="46" spans="1:21" ht="15.75" customHeight="1" x14ac:dyDescent="0.25">
      <c r="A46" s="2"/>
      <c r="B46" s="19"/>
      <c r="C46" s="374"/>
      <c r="D46" s="2"/>
      <c r="E46" s="19"/>
      <c r="F46" s="19"/>
      <c r="G46" s="19"/>
      <c r="H46" s="19"/>
      <c r="I46" s="19"/>
      <c r="J46" s="19"/>
      <c r="K46" s="19"/>
      <c r="L46" s="2"/>
      <c r="M46" s="19"/>
      <c r="N46" s="19"/>
      <c r="O46" s="84"/>
      <c r="P46" s="19"/>
      <c r="Q46" s="91"/>
      <c r="R46" s="19"/>
      <c r="S46" s="91"/>
      <c r="T46" s="19"/>
      <c r="U46" s="375"/>
    </row>
    <row r="47" spans="1:21" ht="15.75" customHeight="1" x14ac:dyDescent="0.25">
      <c r="A47" s="2"/>
      <c r="B47" s="19"/>
      <c r="C47" s="374"/>
      <c r="D47" s="2"/>
      <c r="E47" s="19"/>
      <c r="F47" s="19"/>
      <c r="G47" s="19"/>
      <c r="H47" s="19"/>
      <c r="I47" s="19"/>
      <c r="J47" s="19"/>
      <c r="K47" s="19"/>
      <c r="L47" s="2"/>
      <c r="M47" s="19"/>
      <c r="N47" s="19"/>
      <c r="O47" s="84"/>
      <c r="P47" s="19"/>
      <c r="Q47" s="91"/>
      <c r="R47" s="19"/>
      <c r="S47" s="91"/>
      <c r="T47" s="19"/>
      <c r="U47" s="375"/>
    </row>
    <row r="48" spans="1:21" ht="15.75" customHeight="1" x14ac:dyDescent="0.25">
      <c r="A48" s="2"/>
      <c r="B48" s="19"/>
      <c r="C48" s="374"/>
      <c r="D48" s="2"/>
      <c r="E48" s="19"/>
      <c r="F48" s="19"/>
      <c r="G48" s="19"/>
      <c r="H48" s="19"/>
      <c r="I48" s="19"/>
      <c r="J48" s="19"/>
      <c r="K48" s="19"/>
      <c r="L48" s="2"/>
      <c r="M48" s="19"/>
      <c r="N48" s="19"/>
      <c r="O48" s="84"/>
      <c r="P48" s="19"/>
      <c r="Q48" s="91"/>
      <c r="R48" s="19"/>
      <c r="S48" s="91"/>
      <c r="T48" s="19"/>
      <c r="U48" s="375"/>
    </row>
    <row r="49" spans="1:21" ht="15.75" customHeight="1" x14ac:dyDescent="0.25">
      <c r="A49" s="2"/>
      <c r="B49" s="19"/>
      <c r="C49" s="374"/>
      <c r="D49" s="2"/>
      <c r="E49" s="19"/>
      <c r="F49" s="19"/>
      <c r="G49" s="19"/>
      <c r="H49" s="19"/>
      <c r="I49" s="19"/>
      <c r="J49" s="19"/>
      <c r="K49" s="19"/>
      <c r="L49" s="2"/>
      <c r="M49" s="19"/>
      <c r="N49" s="19"/>
      <c r="O49" s="84"/>
      <c r="P49" s="19"/>
      <c r="Q49" s="91"/>
      <c r="R49" s="19"/>
      <c r="S49" s="91"/>
      <c r="T49" s="19"/>
      <c r="U49" s="375"/>
    </row>
    <row r="50" spans="1:21" ht="15.75" customHeight="1" x14ac:dyDescent="0.25">
      <c r="A50" s="2"/>
      <c r="B50" s="19"/>
      <c r="C50" s="374"/>
      <c r="D50" s="2"/>
      <c r="E50" s="19"/>
      <c r="F50" s="19"/>
      <c r="G50" s="19"/>
      <c r="H50" s="19"/>
      <c r="I50" s="19"/>
      <c r="J50" s="19"/>
      <c r="K50" s="19"/>
      <c r="L50" s="2"/>
      <c r="M50" s="19"/>
      <c r="N50" s="19"/>
      <c r="O50" s="84"/>
      <c r="P50" s="19"/>
      <c r="Q50" s="91"/>
      <c r="R50" s="19"/>
      <c r="S50" s="91"/>
      <c r="T50" s="19"/>
      <c r="U50" s="375"/>
    </row>
    <row r="51" spans="1:21" ht="15.75" customHeight="1" x14ac:dyDescent="0.25">
      <c r="A51" s="2"/>
      <c r="B51" s="19"/>
      <c r="C51" s="374"/>
      <c r="D51" s="2"/>
      <c r="E51" s="19"/>
      <c r="F51" s="19"/>
      <c r="G51" s="19"/>
      <c r="H51" s="19"/>
      <c r="I51" s="19"/>
      <c r="J51" s="19"/>
      <c r="K51" s="19"/>
      <c r="L51" s="2"/>
      <c r="M51" s="19"/>
      <c r="N51" s="19"/>
      <c r="O51" s="84"/>
      <c r="P51" s="19"/>
      <c r="Q51" s="91"/>
      <c r="R51" s="19"/>
      <c r="S51" s="91"/>
      <c r="T51" s="19"/>
      <c r="U51" s="375"/>
    </row>
    <row r="52" spans="1:21" ht="15.75" customHeight="1" x14ac:dyDescent="0.25">
      <c r="A52" s="2"/>
      <c r="B52" s="19"/>
      <c r="C52" s="374"/>
      <c r="D52" s="2"/>
      <c r="E52" s="19"/>
      <c r="F52" s="19"/>
      <c r="G52" s="19"/>
      <c r="H52" s="19"/>
      <c r="I52" s="19"/>
      <c r="J52" s="19"/>
      <c r="K52" s="19"/>
      <c r="L52" s="2"/>
      <c r="M52" s="19"/>
      <c r="N52" s="19"/>
      <c r="O52" s="84"/>
      <c r="P52" s="19"/>
      <c r="Q52" s="91"/>
      <c r="R52" s="19"/>
      <c r="S52" s="91"/>
      <c r="T52" s="19"/>
      <c r="U52" s="375"/>
    </row>
    <row r="53" spans="1:21" ht="15.75" customHeight="1" x14ac:dyDescent="0.25">
      <c r="A53" s="2"/>
      <c r="B53" s="19"/>
      <c r="C53" s="374"/>
      <c r="D53" s="2"/>
      <c r="E53" s="19"/>
      <c r="F53" s="19"/>
      <c r="G53" s="19"/>
      <c r="H53" s="19"/>
      <c r="I53" s="19"/>
      <c r="J53" s="19"/>
      <c r="K53" s="19"/>
      <c r="L53" s="2"/>
      <c r="M53" s="19"/>
      <c r="N53" s="19"/>
      <c r="O53" s="84"/>
      <c r="P53" s="19"/>
      <c r="Q53" s="91"/>
      <c r="R53" s="19"/>
      <c r="S53" s="91"/>
      <c r="T53" s="19"/>
      <c r="U53" s="375"/>
    </row>
    <row r="54" spans="1:21" ht="15.75" customHeight="1" x14ac:dyDescent="0.25">
      <c r="A54" s="2"/>
      <c r="B54" s="19"/>
      <c r="C54" s="374"/>
      <c r="D54" s="2"/>
      <c r="E54" s="19"/>
      <c r="F54" s="19"/>
      <c r="G54" s="19"/>
      <c r="H54" s="19"/>
      <c r="I54" s="19"/>
      <c r="J54" s="19"/>
      <c r="K54" s="19"/>
      <c r="L54" s="2"/>
      <c r="M54" s="19"/>
      <c r="N54" s="19"/>
      <c r="O54" s="84"/>
      <c r="P54" s="19"/>
      <c r="Q54" s="91"/>
      <c r="R54" s="19"/>
      <c r="S54" s="91"/>
      <c r="T54" s="19"/>
      <c r="U54" s="375"/>
    </row>
    <row r="55" spans="1:21" ht="15.75" customHeight="1" x14ac:dyDescent="0.25">
      <c r="A55" s="2"/>
      <c r="B55" s="19"/>
      <c r="C55" s="374"/>
      <c r="D55" s="2"/>
      <c r="E55" s="19"/>
      <c r="F55" s="19"/>
      <c r="G55" s="19"/>
      <c r="H55" s="19"/>
      <c r="I55" s="19"/>
      <c r="J55" s="19"/>
      <c r="K55" s="19"/>
      <c r="L55" s="2"/>
      <c r="M55" s="19"/>
      <c r="N55" s="19"/>
      <c r="O55" s="84"/>
      <c r="P55" s="19"/>
      <c r="Q55" s="91"/>
      <c r="R55" s="19"/>
      <c r="S55" s="91"/>
      <c r="T55" s="19"/>
      <c r="U55" s="375"/>
    </row>
    <row r="56" spans="1:21" ht="15.75" customHeight="1" x14ac:dyDescent="0.25">
      <c r="A56" s="2"/>
      <c r="B56" s="19"/>
      <c r="C56" s="374"/>
      <c r="D56" s="2"/>
      <c r="E56" s="19"/>
      <c r="F56" s="19"/>
      <c r="G56" s="19"/>
      <c r="H56" s="19"/>
      <c r="I56" s="19"/>
      <c r="J56" s="19"/>
      <c r="K56" s="19"/>
      <c r="L56" s="2"/>
      <c r="M56" s="19"/>
      <c r="N56" s="19"/>
      <c r="O56" s="84"/>
      <c r="P56" s="19"/>
      <c r="Q56" s="91"/>
      <c r="R56" s="19"/>
      <c r="S56" s="91"/>
      <c r="T56" s="19"/>
      <c r="U56" s="375"/>
    </row>
    <row r="57" spans="1:21" ht="15.75" customHeight="1" x14ac:dyDescent="0.25">
      <c r="A57" s="2"/>
      <c r="B57" s="19"/>
      <c r="C57" s="374"/>
      <c r="D57" s="2"/>
      <c r="E57" s="19"/>
      <c r="F57" s="19"/>
      <c r="G57" s="19"/>
      <c r="H57" s="19"/>
      <c r="I57" s="19"/>
      <c r="J57" s="19"/>
      <c r="K57" s="19"/>
      <c r="L57" s="2"/>
      <c r="M57" s="19"/>
      <c r="N57" s="19"/>
      <c r="O57" s="84"/>
      <c r="P57" s="19"/>
      <c r="Q57" s="91"/>
      <c r="R57" s="19"/>
      <c r="S57" s="91"/>
      <c r="T57" s="19"/>
      <c r="U57" s="375"/>
    </row>
    <row r="58" spans="1:21" ht="15.75" customHeight="1" x14ac:dyDescent="0.25">
      <c r="A58" s="2"/>
      <c r="B58" s="19"/>
      <c r="C58" s="374"/>
      <c r="D58" s="2"/>
      <c r="E58" s="19"/>
      <c r="F58" s="19"/>
      <c r="G58" s="19"/>
      <c r="H58" s="19"/>
      <c r="I58" s="19"/>
      <c r="J58" s="19"/>
      <c r="K58" s="19"/>
      <c r="L58" s="2"/>
      <c r="M58" s="19"/>
      <c r="N58" s="19"/>
      <c r="O58" s="84"/>
      <c r="P58" s="19"/>
      <c r="Q58" s="91"/>
      <c r="R58" s="19"/>
      <c r="S58" s="91"/>
      <c r="T58" s="19"/>
      <c r="U58" s="375"/>
    </row>
    <row r="59" spans="1:21" ht="15.75" customHeight="1" x14ac:dyDescent="0.25">
      <c r="A59" s="2"/>
      <c r="B59" s="19"/>
      <c r="C59" s="374"/>
      <c r="D59" s="2"/>
      <c r="E59" s="19"/>
      <c r="F59" s="19"/>
      <c r="G59" s="19"/>
      <c r="H59" s="19"/>
      <c r="I59" s="19"/>
      <c r="J59" s="19"/>
      <c r="K59" s="19"/>
      <c r="L59" s="2"/>
      <c r="M59" s="19"/>
      <c r="N59" s="19"/>
      <c r="O59" s="84"/>
      <c r="P59" s="19"/>
      <c r="Q59" s="91"/>
      <c r="R59" s="19"/>
      <c r="S59" s="91"/>
      <c r="T59" s="19"/>
      <c r="U59" s="375"/>
    </row>
    <row r="60" spans="1:21" ht="15.75" customHeight="1" x14ac:dyDescent="0.25">
      <c r="A60" s="2"/>
      <c r="B60" s="19"/>
      <c r="C60" s="374"/>
      <c r="D60" s="2"/>
      <c r="E60" s="19"/>
      <c r="F60" s="19"/>
      <c r="G60" s="19"/>
      <c r="H60" s="19"/>
      <c r="I60" s="19"/>
      <c r="J60" s="19"/>
      <c r="K60" s="19"/>
      <c r="L60" s="2"/>
      <c r="M60" s="19"/>
      <c r="N60" s="19"/>
      <c r="O60" s="84"/>
      <c r="P60" s="19"/>
      <c r="Q60" s="91"/>
      <c r="R60" s="19"/>
      <c r="S60" s="91"/>
      <c r="T60" s="19"/>
      <c r="U60" s="375"/>
    </row>
    <row r="61" spans="1:21" ht="15.75" customHeight="1" x14ac:dyDescent="0.25">
      <c r="A61" s="2"/>
      <c r="B61" s="19"/>
      <c r="C61" s="374"/>
      <c r="D61" s="2"/>
      <c r="E61" s="19"/>
      <c r="F61" s="19"/>
      <c r="G61" s="19"/>
      <c r="H61" s="19"/>
      <c r="I61" s="19"/>
      <c r="J61" s="19"/>
      <c r="K61" s="19"/>
      <c r="L61" s="2"/>
      <c r="M61" s="19"/>
      <c r="N61" s="19"/>
      <c r="O61" s="84"/>
      <c r="P61" s="19"/>
      <c r="Q61" s="91"/>
      <c r="R61" s="19"/>
      <c r="S61" s="91"/>
      <c r="T61" s="19"/>
      <c r="U61" s="375"/>
    </row>
    <row r="62" spans="1:21" ht="15.75" customHeight="1" x14ac:dyDescent="0.25">
      <c r="A62" s="2"/>
      <c r="B62" s="19"/>
      <c r="C62" s="374"/>
      <c r="D62" s="2"/>
      <c r="E62" s="19"/>
      <c r="F62" s="19"/>
      <c r="G62" s="19"/>
      <c r="H62" s="19"/>
      <c r="I62" s="19"/>
      <c r="J62" s="19"/>
      <c r="K62" s="19"/>
      <c r="L62" s="2"/>
      <c r="M62" s="19"/>
      <c r="N62" s="19"/>
      <c r="O62" s="84"/>
      <c r="P62" s="19"/>
      <c r="Q62" s="91"/>
      <c r="R62" s="19"/>
      <c r="S62" s="91"/>
      <c r="T62" s="19"/>
      <c r="U62" s="375"/>
    </row>
    <row r="63" spans="1:21" ht="15.75" customHeight="1" x14ac:dyDescent="0.25">
      <c r="A63" s="2"/>
      <c r="B63" s="19"/>
      <c r="C63" s="374"/>
      <c r="D63" s="2"/>
      <c r="E63" s="19"/>
      <c r="F63" s="19"/>
      <c r="G63" s="19"/>
      <c r="H63" s="19"/>
      <c r="I63" s="19"/>
      <c r="J63" s="19"/>
      <c r="K63" s="19"/>
      <c r="L63" s="2"/>
      <c r="M63" s="19"/>
      <c r="N63" s="19"/>
      <c r="O63" s="84"/>
      <c r="P63" s="19"/>
      <c r="Q63" s="91"/>
      <c r="R63" s="19"/>
      <c r="S63" s="91"/>
      <c r="T63" s="19"/>
      <c r="U63" s="375"/>
    </row>
    <row r="64" spans="1:21" ht="15.75" customHeight="1" x14ac:dyDescent="0.25">
      <c r="A64" s="2"/>
      <c r="B64" s="19"/>
      <c r="C64" s="374"/>
      <c r="D64" s="2"/>
      <c r="E64" s="19"/>
      <c r="F64" s="19"/>
      <c r="G64" s="19"/>
      <c r="H64" s="19"/>
      <c r="I64" s="19"/>
      <c r="J64" s="19"/>
      <c r="K64" s="19"/>
      <c r="L64" s="2"/>
      <c r="M64" s="19"/>
      <c r="N64" s="19"/>
      <c r="O64" s="84"/>
      <c r="P64" s="19"/>
      <c r="Q64" s="91"/>
      <c r="R64" s="19"/>
      <c r="S64" s="91"/>
      <c r="T64" s="19"/>
      <c r="U64" s="375"/>
    </row>
    <row r="65" spans="1:21" ht="15.75" customHeight="1" x14ac:dyDescent="0.25">
      <c r="A65" s="2"/>
      <c r="B65" s="19"/>
      <c r="C65" s="374"/>
      <c r="D65" s="2"/>
      <c r="E65" s="19"/>
      <c r="F65" s="19"/>
      <c r="G65" s="19"/>
      <c r="H65" s="19"/>
      <c r="I65" s="19"/>
      <c r="J65" s="19"/>
      <c r="K65" s="19"/>
      <c r="L65" s="2"/>
      <c r="M65" s="19"/>
      <c r="N65" s="19"/>
      <c r="O65" s="84"/>
      <c r="P65" s="19"/>
      <c r="Q65" s="91"/>
      <c r="R65" s="19"/>
      <c r="S65" s="91"/>
      <c r="T65" s="19"/>
      <c r="U65" s="375"/>
    </row>
    <row r="66" spans="1:21" ht="15.75" customHeight="1" x14ac:dyDescent="0.25">
      <c r="A66" s="2"/>
      <c r="B66" s="19"/>
      <c r="C66" s="374"/>
      <c r="D66" s="2"/>
      <c r="E66" s="19"/>
      <c r="F66" s="19"/>
      <c r="G66" s="19"/>
      <c r="H66" s="19"/>
      <c r="I66" s="19"/>
      <c r="J66" s="19"/>
      <c r="K66" s="19"/>
      <c r="L66" s="2"/>
      <c r="M66" s="19"/>
      <c r="N66" s="19"/>
      <c r="O66" s="84"/>
      <c r="P66" s="19"/>
      <c r="Q66" s="91"/>
      <c r="R66" s="19"/>
      <c r="S66" s="91"/>
      <c r="T66" s="19"/>
      <c r="U66" s="375"/>
    </row>
    <row r="67" spans="1:21" ht="15.75" customHeight="1" x14ac:dyDescent="0.25">
      <c r="A67" s="2"/>
      <c r="B67" s="19"/>
      <c r="C67" s="374"/>
      <c r="D67" s="2"/>
      <c r="E67" s="19"/>
      <c r="F67" s="19"/>
      <c r="G67" s="19"/>
      <c r="H67" s="19"/>
      <c r="I67" s="19"/>
      <c r="J67" s="19"/>
      <c r="K67" s="19"/>
      <c r="L67" s="2"/>
      <c r="M67" s="19"/>
      <c r="N67" s="19"/>
      <c r="O67" s="84"/>
      <c r="P67" s="19"/>
      <c r="Q67" s="91"/>
      <c r="R67" s="19"/>
      <c r="S67" s="91"/>
      <c r="T67" s="19"/>
      <c r="U67" s="375"/>
    </row>
    <row r="68" spans="1:21" ht="15.75" customHeight="1" x14ac:dyDescent="0.25">
      <c r="A68" s="2"/>
      <c r="B68" s="19"/>
      <c r="C68" s="374"/>
      <c r="D68" s="2"/>
      <c r="E68" s="19"/>
      <c r="F68" s="19"/>
      <c r="G68" s="19"/>
      <c r="H68" s="19"/>
      <c r="I68" s="19"/>
      <c r="J68" s="19"/>
      <c r="K68" s="19"/>
      <c r="L68" s="2"/>
      <c r="M68" s="19"/>
      <c r="N68" s="19"/>
      <c r="O68" s="84"/>
      <c r="P68" s="19"/>
      <c r="Q68" s="91"/>
      <c r="R68" s="19"/>
      <c r="S68" s="91"/>
      <c r="T68" s="19"/>
      <c r="U68" s="375"/>
    </row>
    <row r="69" spans="1:21" ht="15.75" customHeight="1" x14ac:dyDescent="0.25">
      <c r="A69" s="2"/>
      <c r="B69" s="19"/>
      <c r="C69" s="374"/>
      <c r="D69" s="2"/>
      <c r="E69" s="19"/>
      <c r="F69" s="19"/>
      <c r="G69" s="19"/>
      <c r="H69" s="19"/>
      <c r="I69" s="19"/>
      <c r="J69" s="19"/>
      <c r="K69" s="19"/>
      <c r="L69" s="2"/>
      <c r="M69" s="19"/>
      <c r="N69" s="19"/>
      <c r="O69" s="84"/>
      <c r="P69" s="19"/>
      <c r="Q69" s="91"/>
      <c r="R69" s="19"/>
      <c r="S69" s="91"/>
      <c r="T69" s="19"/>
      <c r="U69" s="375"/>
    </row>
    <row r="70" spans="1:21" ht="15.75" customHeight="1" x14ac:dyDescent="0.25">
      <c r="A70" s="2"/>
      <c r="B70" s="19"/>
      <c r="C70" s="374"/>
      <c r="D70" s="2"/>
      <c r="E70" s="19"/>
      <c r="F70" s="19"/>
      <c r="G70" s="19"/>
      <c r="H70" s="19"/>
      <c r="I70" s="19"/>
      <c r="J70" s="19"/>
      <c r="K70" s="19"/>
      <c r="L70" s="2"/>
      <c r="M70" s="19"/>
      <c r="N70" s="19"/>
      <c r="O70" s="84"/>
      <c r="P70" s="19"/>
      <c r="Q70" s="91"/>
      <c r="R70" s="19"/>
      <c r="S70" s="91"/>
      <c r="T70" s="19"/>
      <c r="U70" s="375"/>
    </row>
    <row r="71" spans="1:21" ht="15.75" customHeight="1" x14ac:dyDescent="0.25">
      <c r="A71" s="2"/>
      <c r="B71" s="19"/>
      <c r="C71" s="374"/>
      <c r="D71" s="2"/>
      <c r="E71" s="19"/>
      <c r="F71" s="19"/>
      <c r="G71" s="19"/>
      <c r="H71" s="19"/>
      <c r="I71" s="19"/>
      <c r="J71" s="19"/>
      <c r="K71" s="19"/>
      <c r="L71" s="2"/>
      <c r="M71" s="19"/>
      <c r="N71" s="19"/>
      <c r="O71" s="84"/>
      <c r="P71" s="19"/>
      <c r="Q71" s="91"/>
      <c r="R71" s="19"/>
      <c r="S71" s="91"/>
      <c r="T71" s="19"/>
      <c r="U71" s="375"/>
    </row>
    <row r="72" spans="1:21" ht="15.75" customHeight="1" x14ac:dyDescent="0.25">
      <c r="A72" s="2"/>
      <c r="B72" s="19"/>
      <c r="C72" s="374"/>
      <c r="D72" s="2"/>
      <c r="E72" s="19"/>
      <c r="F72" s="19"/>
      <c r="G72" s="19"/>
      <c r="H72" s="19"/>
      <c r="I72" s="19"/>
      <c r="J72" s="19"/>
      <c r="K72" s="19"/>
      <c r="L72" s="2"/>
      <c r="M72" s="19"/>
      <c r="N72" s="19"/>
      <c r="O72" s="84"/>
      <c r="P72" s="19"/>
      <c r="Q72" s="91"/>
      <c r="R72" s="19"/>
      <c r="S72" s="91"/>
      <c r="T72" s="19"/>
      <c r="U72" s="375"/>
    </row>
    <row r="73" spans="1:21" ht="15.75" customHeight="1" x14ac:dyDescent="0.25">
      <c r="A73" s="2"/>
      <c r="B73" s="19"/>
      <c r="C73" s="374"/>
      <c r="D73" s="2"/>
      <c r="E73" s="19"/>
      <c r="F73" s="19"/>
      <c r="G73" s="19"/>
      <c r="H73" s="19"/>
      <c r="I73" s="19"/>
      <c r="J73" s="19"/>
      <c r="K73" s="19"/>
      <c r="L73" s="2"/>
      <c r="M73" s="19"/>
      <c r="N73" s="19"/>
      <c r="O73" s="84"/>
      <c r="P73" s="19"/>
      <c r="Q73" s="91"/>
      <c r="R73" s="19"/>
      <c r="S73" s="91"/>
      <c r="T73" s="19"/>
      <c r="U73" s="375"/>
    </row>
    <row r="74" spans="1:21" ht="15.75" customHeight="1" x14ac:dyDescent="0.25">
      <c r="A74" s="2"/>
      <c r="B74" s="19"/>
      <c r="C74" s="374"/>
      <c r="D74" s="2"/>
      <c r="E74" s="19"/>
      <c r="F74" s="19"/>
      <c r="G74" s="19"/>
      <c r="H74" s="19"/>
      <c r="I74" s="19"/>
      <c r="J74" s="19"/>
      <c r="K74" s="19"/>
      <c r="L74" s="2"/>
      <c r="M74" s="19"/>
      <c r="N74" s="19"/>
      <c r="O74" s="84"/>
      <c r="P74" s="19"/>
      <c r="Q74" s="91"/>
      <c r="R74" s="19"/>
      <c r="S74" s="91"/>
      <c r="T74" s="19"/>
      <c r="U74" s="375"/>
    </row>
    <row r="75" spans="1:21" ht="15.75" customHeight="1" x14ac:dyDescent="0.25">
      <c r="A75" s="2"/>
      <c r="B75" s="19"/>
      <c r="C75" s="374"/>
      <c r="D75" s="2"/>
      <c r="E75" s="19"/>
      <c r="F75" s="19"/>
      <c r="G75" s="19"/>
      <c r="H75" s="19"/>
      <c r="I75" s="19"/>
      <c r="J75" s="19"/>
      <c r="K75" s="19"/>
      <c r="L75" s="2"/>
      <c r="M75" s="19"/>
      <c r="N75" s="19"/>
      <c r="O75" s="84"/>
      <c r="P75" s="19"/>
      <c r="Q75" s="91"/>
      <c r="R75" s="19"/>
      <c r="S75" s="91"/>
      <c r="T75" s="19"/>
      <c r="U75" s="375"/>
    </row>
    <row r="76" spans="1:21" ht="15.75" customHeight="1" x14ac:dyDescent="0.25">
      <c r="A76" s="2"/>
      <c r="B76" s="19"/>
      <c r="C76" s="374"/>
      <c r="D76" s="2"/>
      <c r="E76" s="19"/>
      <c r="F76" s="19"/>
      <c r="G76" s="19"/>
      <c r="H76" s="19"/>
      <c r="I76" s="19"/>
      <c r="J76" s="19"/>
      <c r="K76" s="19"/>
      <c r="L76" s="2"/>
      <c r="M76" s="19"/>
      <c r="N76" s="19"/>
      <c r="O76" s="84"/>
      <c r="P76" s="19"/>
      <c r="Q76" s="91"/>
      <c r="R76" s="19"/>
      <c r="S76" s="91"/>
      <c r="T76" s="19"/>
      <c r="U76" s="375"/>
    </row>
    <row r="77" spans="1:21" ht="15.75" customHeight="1" x14ac:dyDescent="0.25">
      <c r="A77" s="2"/>
      <c r="B77" s="19"/>
      <c r="C77" s="374"/>
      <c r="D77" s="2"/>
      <c r="E77" s="19"/>
      <c r="F77" s="19"/>
      <c r="G77" s="19"/>
      <c r="H77" s="19"/>
      <c r="I77" s="19"/>
      <c r="J77" s="19"/>
      <c r="K77" s="19"/>
      <c r="L77" s="2"/>
      <c r="M77" s="19"/>
      <c r="N77" s="19"/>
      <c r="O77" s="84"/>
      <c r="P77" s="19"/>
      <c r="Q77" s="91"/>
      <c r="R77" s="19"/>
      <c r="S77" s="91"/>
      <c r="T77" s="19"/>
      <c r="U77" s="375"/>
    </row>
    <row r="78" spans="1:21" ht="15.75" customHeight="1" x14ac:dyDescent="0.25">
      <c r="A78" s="2"/>
      <c r="B78" s="19"/>
      <c r="C78" s="374"/>
      <c r="D78" s="2"/>
      <c r="E78" s="19"/>
      <c r="F78" s="19"/>
      <c r="G78" s="19"/>
      <c r="H78" s="19"/>
      <c r="I78" s="19"/>
      <c r="J78" s="19"/>
      <c r="K78" s="19"/>
      <c r="L78" s="2"/>
      <c r="M78" s="19"/>
      <c r="N78" s="19"/>
      <c r="O78" s="84"/>
      <c r="P78" s="19"/>
      <c r="Q78" s="91"/>
      <c r="R78" s="19"/>
      <c r="S78" s="91"/>
      <c r="T78" s="19"/>
      <c r="U78" s="375"/>
    </row>
    <row r="79" spans="1:21" ht="15.75" customHeight="1" x14ac:dyDescent="0.25">
      <c r="A79" s="2"/>
      <c r="B79" s="19"/>
      <c r="C79" s="374"/>
      <c r="D79" s="2"/>
      <c r="E79" s="19"/>
      <c r="F79" s="19"/>
      <c r="G79" s="19"/>
      <c r="H79" s="19"/>
      <c r="I79" s="19"/>
      <c r="J79" s="19"/>
      <c r="K79" s="19"/>
      <c r="L79" s="2"/>
      <c r="M79" s="19"/>
      <c r="N79" s="19"/>
      <c r="O79" s="84"/>
      <c r="P79" s="19"/>
      <c r="Q79" s="91"/>
      <c r="R79" s="19"/>
      <c r="S79" s="91"/>
      <c r="T79" s="19"/>
      <c r="U79" s="375"/>
    </row>
    <row r="80" spans="1:21" ht="15.75" customHeight="1" x14ac:dyDescent="0.25">
      <c r="A80" s="2"/>
      <c r="B80" s="19"/>
      <c r="C80" s="374"/>
      <c r="D80" s="2"/>
      <c r="E80" s="19"/>
      <c r="F80" s="19"/>
      <c r="G80" s="19"/>
      <c r="H80" s="19"/>
      <c r="I80" s="19"/>
      <c r="J80" s="19"/>
      <c r="K80" s="19"/>
      <c r="L80" s="2"/>
      <c r="M80" s="19"/>
      <c r="N80" s="19"/>
      <c r="O80" s="84"/>
      <c r="P80" s="19"/>
      <c r="Q80" s="91"/>
      <c r="R80" s="19"/>
      <c r="S80" s="91"/>
      <c r="T80" s="19"/>
      <c r="U80" s="375"/>
    </row>
    <row r="81" spans="1:21" ht="15.75" customHeight="1" x14ac:dyDescent="0.25">
      <c r="A81" s="2"/>
      <c r="B81" s="19"/>
      <c r="C81" s="374"/>
      <c r="D81" s="2"/>
      <c r="E81" s="19"/>
      <c r="F81" s="19"/>
      <c r="G81" s="19"/>
      <c r="H81" s="19"/>
      <c r="I81" s="19"/>
      <c r="J81" s="19"/>
      <c r="K81" s="19"/>
      <c r="L81" s="2"/>
      <c r="M81" s="19"/>
      <c r="N81" s="19"/>
      <c r="O81" s="84"/>
      <c r="P81" s="19"/>
      <c r="Q81" s="91"/>
      <c r="R81" s="19"/>
      <c r="S81" s="91"/>
      <c r="T81" s="19"/>
      <c r="U81" s="375"/>
    </row>
    <row r="82" spans="1:21" ht="15.75" customHeight="1" x14ac:dyDescent="0.25">
      <c r="A82" s="2"/>
      <c r="B82" s="19"/>
      <c r="C82" s="374"/>
      <c r="D82" s="2"/>
      <c r="E82" s="19"/>
      <c r="F82" s="19"/>
      <c r="G82" s="19"/>
      <c r="H82" s="19"/>
      <c r="I82" s="19"/>
      <c r="J82" s="19"/>
      <c r="K82" s="19"/>
      <c r="L82" s="2"/>
      <c r="M82" s="19"/>
      <c r="N82" s="19"/>
      <c r="O82" s="84"/>
      <c r="P82" s="19"/>
      <c r="Q82" s="91"/>
      <c r="R82" s="19"/>
      <c r="S82" s="91"/>
      <c r="T82" s="19"/>
      <c r="U82" s="375"/>
    </row>
    <row r="83" spans="1:21" ht="15.75" customHeight="1" x14ac:dyDescent="0.25">
      <c r="A83" s="2"/>
      <c r="B83" s="19"/>
      <c r="C83" s="374"/>
      <c r="D83" s="2"/>
      <c r="E83" s="19"/>
      <c r="F83" s="19"/>
      <c r="G83" s="19"/>
      <c r="H83" s="19"/>
      <c r="I83" s="19"/>
      <c r="J83" s="19"/>
      <c r="K83" s="19"/>
      <c r="L83" s="2"/>
      <c r="M83" s="19"/>
      <c r="N83" s="19"/>
      <c r="O83" s="84"/>
      <c r="P83" s="19"/>
      <c r="Q83" s="91"/>
      <c r="R83" s="19"/>
      <c r="S83" s="91"/>
      <c r="T83" s="19"/>
      <c r="U83" s="375"/>
    </row>
    <row r="84" spans="1:21" ht="15.75" customHeight="1" x14ac:dyDescent="0.25">
      <c r="A84" s="2"/>
      <c r="B84" s="19"/>
      <c r="C84" s="374"/>
      <c r="D84" s="2"/>
      <c r="E84" s="19"/>
      <c r="F84" s="19"/>
      <c r="G84" s="19"/>
      <c r="H84" s="19"/>
      <c r="I84" s="19"/>
      <c r="J84" s="19"/>
      <c r="K84" s="19"/>
      <c r="L84" s="2"/>
      <c r="M84" s="19"/>
      <c r="N84" s="19"/>
      <c r="O84" s="84"/>
      <c r="P84" s="19"/>
      <c r="Q84" s="91"/>
      <c r="R84" s="19"/>
      <c r="S84" s="91"/>
      <c r="T84" s="19"/>
      <c r="U84" s="375"/>
    </row>
    <row r="85" spans="1:21" ht="15.75" customHeight="1" x14ac:dyDescent="0.25">
      <c r="A85" s="2"/>
      <c r="B85" s="19"/>
      <c r="C85" s="374"/>
      <c r="D85" s="2"/>
      <c r="E85" s="19"/>
      <c r="F85" s="19"/>
      <c r="G85" s="19"/>
      <c r="H85" s="19"/>
      <c r="I85" s="19"/>
      <c r="J85" s="19"/>
      <c r="K85" s="19"/>
      <c r="L85" s="2"/>
      <c r="M85" s="19"/>
      <c r="N85" s="19"/>
      <c r="O85" s="84"/>
      <c r="P85" s="19"/>
      <c r="Q85" s="91"/>
      <c r="R85" s="19"/>
      <c r="S85" s="91"/>
      <c r="T85" s="19"/>
      <c r="U85" s="375"/>
    </row>
    <row r="86" spans="1:21" ht="15.75" customHeight="1" x14ac:dyDescent="0.25">
      <c r="A86" s="2"/>
      <c r="B86" s="19"/>
      <c r="C86" s="374"/>
      <c r="D86" s="2"/>
      <c r="E86" s="19"/>
      <c r="F86" s="19"/>
      <c r="G86" s="19"/>
      <c r="H86" s="19"/>
      <c r="I86" s="19"/>
      <c r="J86" s="19"/>
      <c r="K86" s="19"/>
      <c r="L86" s="2"/>
      <c r="M86" s="19"/>
      <c r="N86" s="19"/>
      <c r="O86" s="84"/>
      <c r="P86" s="19"/>
      <c r="Q86" s="91"/>
      <c r="R86" s="19"/>
      <c r="S86" s="91"/>
      <c r="T86" s="19"/>
      <c r="U86" s="375"/>
    </row>
    <row r="87" spans="1:21" ht="15.75" customHeight="1" x14ac:dyDescent="0.25">
      <c r="A87" s="2"/>
      <c r="B87" s="19"/>
      <c r="C87" s="374"/>
      <c r="D87" s="2"/>
      <c r="E87" s="19"/>
      <c r="F87" s="19"/>
      <c r="G87" s="19"/>
      <c r="H87" s="19"/>
      <c r="I87" s="19"/>
      <c r="J87" s="19"/>
      <c r="K87" s="19"/>
      <c r="L87" s="2"/>
      <c r="M87" s="19"/>
      <c r="N87" s="19"/>
      <c r="O87" s="84"/>
      <c r="P87" s="19"/>
      <c r="Q87" s="91"/>
      <c r="R87" s="19"/>
      <c r="S87" s="91"/>
      <c r="T87" s="19"/>
      <c r="U87" s="375"/>
    </row>
    <row r="88" spans="1:21" ht="15.75" customHeight="1" x14ac:dyDescent="0.25">
      <c r="A88" s="2"/>
      <c r="B88" s="19"/>
      <c r="C88" s="374"/>
      <c r="D88" s="2"/>
      <c r="E88" s="19"/>
      <c r="F88" s="19"/>
      <c r="G88" s="19"/>
      <c r="H88" s="19"/>
      <c r="I88" s="19"/>
      <c r="J88" s="19"/>
      <c r="K88" s="19"/>
      <c r="L88" s="2"/>
      <c r="M88" s="19"/>
      <c r="N88" s="19"/>
      <c r="O88" s="84"/>
      <c r="P88" s="19"/>
      <c r="Q88" s="91"/>
      <c r="R88" s="19"/>
      <c r="S88" s="91"/>
      <c r="T88" s="19"/>
      <c r="U88" s="375"/>
    </row>
    <row r="89" spans="1:21" ht="15.75" customHeight="1" x14ac:dyDescent="0.25">
      <c r="A89" s="2"/>
      <c r="B89" s="19"/>
      <c r="C89" s="374"/>
      <c r="D89" s="2"/>
      <c r="E89" s="19"/>
      <c r="F89" s="19"/>
      <c r="G89" s="19"/>
      <c r="H89" s="19"/>
      <c r="I89" s="19"/>
      <c r="J89" s="19"/>
      <c r="K89" s="19"/>
      <c r="L89" s="2"/>
      <c r="M89" s="19"/>
      <c r="N89" s="19"/>
      <c r="O89" s="84"/>
      <c r="P89" s="19"/>
      <c r="Q89" s="91"/>
      <c r="R89" s="19"/>
      <c r="S89" s="91"/>
      <c r="T89" s="19"/>
      <c r="U89" s="375"/>
    </row>
    <row r="90" spans="1:21" ht="15.75" customHeight="1" x14ac:dyDescent="0.25">
      <c r="A90" s="2"/>
      <c r="B90" s="19"/>
      <c r="C90" s="374"/>
      <c r="D90" s="2"/>
      <c r="E90" s="19"/>
      <c r="F90" s="19"/>
      <c r="G90" s="19"/>
      <c r="H90" s="19"/>
      <c r="I90" s="19"/>
      <c r="J90" s="19"/>
      <c r="K90" s="19"/>
      <c r="L90" s="2"/>
      <c r="M90" s="19"/>
      <c r="N90" s="19"/>
      <c r="O90" s="84"/>
      <c r="P90" s="19"/>
      <c r="Q90" s="91"/>
      <c r="R90" s="19"/>
      <c r="S90" s="91"/>
      <c r="T90" s="19"/>
      <c r="U90" s="375"/>
    </row>
    <row r="91" spans="1:21" ht="15.75" customHeight="1" x14ac:dyDescent="0.25">
      <c r="A91" s="2"/>
      <c r="B91" s="19"/>
      <c r="C91" s="374"/>
      <c r="D91" s="2"/>
      <c r="E91" s="19"/>
      <c r="F91" s="19"/>
      <c r="G91" s="19"/>
      <c r="H91" s="19"/>
      <c r="I91" s="19"/>
      <c r="J91" s="19"/>
      <c r="K91" s="19"/>
      <c r="L91" s="2"/>
      <c r="M91" s="19"/>
      <c r="N91" s="19"/>
      <c r="O91" s="84"/>
      <c r="P91" s="19"/>
      <c r="Q91" s="91"/>
      <c r="R91" s="19"/>
      <c r="S91" s="91"/>
      <c r="T91" s="19"/>
      <c r="U91" s="375"/>
    </row>
    <row r="92" spans="1:21" ht="15.75" customHeight="1" x14ac:dyDescent="0.25">
      <c r="A92" s="2"/>
      <c r="B92" s="19"/>
      <c r="C92" s="374"/>
      <c r="D92" s="2"/>
      <c r="E92" s="19"/>
      <c r="F92" s="19"/>
      <c r="G92" s="19"/>
      <c r="H92" s="19"/>
      <c r="I92" s="19"/>
      <c r="J92" s="19"/>
      <c r="K92" s="19"/>
      <c r="L92" s="2"/>
      <c r="M92" s="19"/>
      <c r="N92" s="19"/>
      <c r="O92" s="84"/>
      <c r="P92" s="19"/>
      <c r="Q92" s="91"/>
      <c r="R92" s="19"/>
      <c r="S92" s="91"/>
      <c r="T92" s="19"/>
      <c r="U92" s="375"/>
    </row>
    <row r="93" spans="1:21" ht="15.75" customHeight="1" x14ac:dyDescent="0.25">
      <c r="A93" s="2"/>
      <c r="B93" s="19"/>
      <c r="C93" s="374"/>
      <c r="D93" s="2"/>
      <c r="E93" s="19"/>
      <c r="F93" s="19"/>
      <c r="G93" s="19"/>
      <c r="H93" s="19"/>
      <c r="I93" s="19"/>
      <c r="J93" s="19"/>
      <c r="K93" s="19"/>
      <c r="L93" s="2"/>
      <c r="M93" s="19"/>
      <c r="N93" s="19"/>
      <c r="O93" s="84"/>
      <c r="P93" s="19"/>
      <c r="Q93" s="91"/>
      <c r="R93" s="19"/>
      <c r="S93" s="91"/>
      <c r="T93" s="19"/>
      <c r="U93" s="375"/>
    </row>
    <row r="94" spans="1:21" ht="15.75" customHeight="1" x14ac:dyDescent="0.25">
      <c r="A94" s="2"/>
      <c r="B94" s="19"/>
      <c r="C94" s="374"/>
      <c r="D94" s="2"/>
      <c r="E94" s="19"/>
      <c r="F94" s="19"/>
      <c r="G94" s="19"/>
      <c r="H94" s="19"/>
      <c r="I94" s="19"/>
      <c r="J94" s="19"/>
      <c r="K94" s="19"/>
      <c r="L94" s="2"/>
      <c r="M94" s="19"/>
      <c r="N94" s="19"/>
      <c r="O94" s="84"/>
      <c r="P94" s="19"/>
      <c r="Q94" s="91"/>
      <c r="R94" s="19"/>
      <c r="S94" s="91"/>
      <c r="T94" s="19"/>
      <c r="U94" s="375"/>
    </row>
    <row r="95" spans="1:21" ht="15.75" customHeight="1" x14ac:dyDescent="0.25">
      <c r="A95" s="2"/>
      <c r="B95" s="19"/>
      <c r="C95" s="374"/>
      <c r="D95" s="2"/>
      <c r="E95" s="19"/>
      <c r="F95" s="19"/>
      <c r="G95" s="19"/>
      <c r="H95" s="19"/>
      <c r="I95" s="19"/>
      <c r="J95" s="19"/>
      <c r="K95" s="19"/>
      <c r="L95" s="2"/>
      <c r="M95" s="19"/>
      <c r="N95" s="19"/>
      <c r="O95" s="84"/>
      <c r="P95" s="19"/>
      <c r="Q95" s="91"/>
      <c r="R95" s="19"/>
      <c r="S95" s="91"/>
      <c r="T95" s="19"/>
      <c r="U95" s="375"/>
    </row>
    <row r="96" spans="1:21" ht="15.75" customHeight="1" x14ac:dyDescent="0.25">
      <c r="A96" s="2"/>
      <c r="B96" s="19"/>
      <c r="C96" s="374"/>
      <c r="D96" s="2"/>
      <c r="E96" s="19"/>
      <c r="F96" s="19"/>
      <c r="G96" s="19"/>
      <c r="H96" s="19"/>
      <c r="I96" s="19"/>
      <c r="J96" s="19"/>
      <c r="K96" s="19"/>
      <c r="L96" s="2"/>
      <c r="M96" s="19"/>
      <c r="N96" s="19"/>
      <c r="O96" s="84"/>
      <c r="P96" s="19"/>
      <c r="Q96" s="91"/>
      <c r="R96" s="19"/>
      <c r="S96" s="91"/>
      <c r="T96" s="19"/>
      <c r="U96" s="375"/>
    </row>
    <row r="97" spans="1:21" ht="15.75" customHeight="1" x14ac:dyDescent="0.25">
      <c r="A97" s="2"/>
      <c r="B97" s="19"/>
      <c r="C97" s="374"/>
      <c r="D97" s="2"/>
      <c r="E97" s="19"/>
      <c r="F97" s="19"/>
      <c r="G97" s="19"/>
      <c r="H97" s="19"/>
      <c r="I97" s="19"/>
      <c r="J97" s="19"/>
      <c r="K97" s="19"/>
      <c r="L97" s="2"/>
      <c r="M97" s="19"/>
      <c r="N97" s="19"/>
      <c r="O97" s="84"/>
      <c r="P97" s="19"/>
      <c r="Q97" s="91"/>
      <c r="R97" s="19"/>
      <c r="S97" s="91"/>
      <c r="T97" s="19"/>
      <c r="U97" s="375"/>
    </row>
    <row r="98" spans="1:21" ht="15.75" customHeight="1" x14ac:dyDescent="0.25">
      <c r="A98" s="2"/>
      <c r="B98" s="19"/>
      <c r="C98" s="374"/>
      <c r="D98" s="2"/>
      <c r="E98" s="19"/>
      <c r="F98" s="19"/>
      <c r="G98" s="19"/>
      <c r="H98" s="19"/>
      <c r="I98" s="19"/>
      <c r="J98" s="19"/>
      <c r="K98" s="19"/>
      <c r="L98" s="2"/>
      <c r="M98" s="19"/>
      <c r="N98" s="19"/>
      <c r="O98" s="84"/>
      <c r="P98" s="19"/>
      <c r="Q98" s="91"/>
      <c r="R98" s="19"/>
      <c r="S98" s="91"/>
      <c r="T98" s="19"/>
      <c r="U98" s="375"/>
    </row>
    <row r="99" spans="1:21" ht="15.75" customHeight="1" x14ac:dyDescent="0.25">
      <c r="A99" s="2"/>
      <c r="B99" s="19"/>
      <c r="C99" s="374"/>
      <c r="D99" s="2"/>
      <c r="E99" s="19"/>
      <c r="F99" s="19"/>
      <c r="G99" s="19"/>
      <c r="H99" s="19"/>
      <c r="I99" s="19"/>
      <c r="J99" s="19"/>
      <c r="K99" s="19"/>
      <c r="L99" s="2"/>
      <c r="M99" s="19"/>
      <c r="N99" s="19"/>
      <c r="O99" s="84"/>
      <c r="P99" s="19"/>
      <c r="Q99" s="91"/>
      <c r="R99" s="19"/>
      <c r="S99" s="91"/>
      <c r="T99" s="19"/>
      <c r="U99" s="375"/>
    </row>
    <row r="100" spans="1:21" ht="15.75" customHeight="1" x14ac:dyDescent="0.25">
      <c r="A100" s="2"/>
      <c r="B100" s="19"/>
      <c r="C100" s="374"/>
      <c r="D100" s="2"/>
      <c r="E100" s="19"/>
      <c r="F100" s="19"/>
      <c r="G100" s="19"/>
      <c r="H100" s="19"/>
      <c r="I100" s="19"/>
      <c r="J100" s="19"/>
      <c r="K100" s="19"/>
      <c r="L100" s="2"/>
      <c r="M100" s="19"/>
      <c r="N100" s="19"/>
      <c r="O100" s="84"/>
      <c r="P100" s="19"/>
      <c r="Q100" s="91"/>
      <c r="R100" s="19"/>
      <c r="S100" s="91"/>
      <c r="T100" s="19"/>
      <c r="U100" s="375"/>
    </row>
    <row r="101" spans="1:21" ht="15.75" customHeight="1" x14ac:dyDescent="0.25">
      <c r="A101" s="2"/>
      <c r="B101" s="19"/>
      <c r="C101" s="374"/>
      <c r="D101" s="2"/>
      <c r="E101" s="19"/>
      <c r="F101" s="19"/>
      <c r="G101" s="19"/>
      <c r="H101" s="19"/>
      <c r="I101" s="19"/>
      <c r="J101" s="19"/>
      <c r="K101" s="19"/>
      <c r="L101" s="2"/>
      <c r="M101" s="19"/>
      <c r="N101" s="19"/>
      <c r="O101" s="84"/>
      <c r="P101" s="19"/>
      <c r="Q101" s="91"/>
      <c r="R101" s="19"/>
      <c r="S101" s="91"/>
      <c r="T101" s="19"/>
      <c r="U101" s="375"/>
    </row>
    <row r="102" spans="1:21" ht="15.75" customHeight="1" x14ac:dyDescent="0.25">
      <c r="A102" s="2"/>
      <c r="B102" s="19"/>
      <c r="C102" s="374"/>
      <c r="D102" s="2"/>
      <c r="E102" s="19"/>
      <c r="F102" s="19"/>
      <c r="G102" s="19"/>
      <c r="H102" s="19"/>
      <c r="I102" s="19"/>
      <c r="J102" s="19"/>
      <c r="K102" s="19"/>
      <c r="L102" s="2"/>
      <c r="M102" s="19"/>
      <c r="N102" s="19"/>
      <c r="O102" s="84"/>
      <c r="P102" s="19"/>
      <c r="Q102" s="91"/>
      <c r="R102" s="19"/>
      <c r="S102" s="91"/>
      <c r="T102" s="19"/>
      <c r="U102" s="375"/>
    </row>
    <row r="103" spans="1:21" ht="15.75" customHeight="1" x14ac:dyDescent="0.25">
      <c r="A103" s="2"/>
      <c r="B103" s="19"/>
      <c r="C103" s="374"/>
      <c r="D103" s="2"/>
      <c r="E103" s="19"/>
      <c r="F103" s="19"/>
      <c r="G103" s="19"/>
      <c r="H103" s="19"/>
      <c r="I103" s="19"/>
      <c r="J103" s="19"/>
      <c r="K103" s="19"/>
      <c r="L103" s="2"/>
      <c r="M103" s="19"/>
      <c r="N103" s="19"/>
      <c r="O103" s="84"/>
      <c r="P103" s="19"/>
      <c r="Q103" s="91"/>
      <c r="R103" s="19"/>
      <c r="S103" s="91"/>
      <c r="T103" s="19"/>
      <c r="U103" s="375"/>
    </row>
    <row r="104" spans="1:21" ht="15.75" customHeight="1" x14ac:dyDescent="0.25">
      <c r="A104" s="2"/>
      <c r="B104" s="19"/>
      <c r="C104" s="374"/>
      <c r="D104" s="2"/>
      <c r="E104" s="19"/>
      <c r="F104" s="19"/>
      <c r="G104" s="19"/>
      <c r="H104" s="19"/>
      <c r="I104" s="19"/>
      <c r="J104" s="19"/>
      <c r="K104" s="19"/>
      <c r="L104" s="2"/>
      <c r="M104" s="19"/>
      <c r="N104" s="19"/>
      <c r="O104" s="84"/>
      <c r="P104" s="19"/>
      <c r="Q104" s="91"/>
      <c r="R104" s="19"/>
      <c r="S104" s="91"/>
      <c r="T104" s="19"/>
      <c r="U104" s="375"/>
    </row>
    <row r="105" spans="1:21" ht="15.75" customHeight="1" x14ac:dyDescent="0.25">
      <c r="A105" s="2"/>
      <c r="B105" s="19"/>
      <c r="C105" s="374"/>
      <c r="D105" s="2"/>
      <c r="E105" s="19"/>
      <c r="F105" s="19"/>
      <c r="G105" s="19"/>
      <c r="H105" s="19"/>
      <c r="I105" s="19"/>
      <c r="J105" s="19"/>
      <c r="K105" s="19"/>
      <c r="L105" s="2"/>
      <c r="M105" s="19"/>
      <c r="N105" s="19"/>
      <c r="O105" s="84"/>
      <c r="P105" s="19"/>
      <c r="Q105" s="91"/>
      <c r="R105" s="19"/>
      <c r="S105" s="91"/>
      <c r="T105" s="19"/>
      <c r="U105" s="375"/>
    </row>
    <row r="106" spans="1:21" ht="15.75" customHeight="1" x14ac:dyDescent="0.25">
      <c r="A106" s="2"/>
      <c r="B106" s="19"/>
      <c r="C106" s="374"/>
      <c r="D106" s="2"/>
      <c r="E106" s="19"/>
      <c r="F106" s="19"/>
      <c r="G106" s="19"/>
      <c r="H106" s="19"/>
      <c r="I106" s="19"/>
      <c r="J106" s="19"/>
      <c r="K106" s="19"/>
      <c r="L106" s="2"/>
      <c r="M106" s="19"/>
      <c r="N106" s="19"/>
      <c r="O106" s="84"/>
      <c r="P106" s="19"/>
      <c r="Q106" s="91"/>
      <c r="R106" s="19"/>
      <c r="S106" s="91"/>
      <c r="T106" s="19"/>
      <c r="U106" s="375"/>
    </row>
    <row r="107" spans="1:21" ht="15.75" customHeight="1" x14ac:dyDescent="0.25">
      <c r="A107" s="2"/>
      <c r="B107" s="19"/>
      <c r="C107" s="374"/>
      <c r="D107" s="2"/>
      <c r="E107" s="19"/>
      <c r="F107" s="19"/>
      <c r="G107" s="19"/>
      <c r="H107" s="19"/>
      <c r="I107" s="19"/>
      <c r="J107" s="19"/>
      <c r="K107" s="19"/>
      <c r="L107" s="2"/>
      <c r="M107" s="19"/>
      <c r="N107" s="19"/>
      <c r="O107" s="84"/>
      <c r="P107" s="19"/>
      <c r="Q107" s="91"/>
      <c r="R107" s="19"/>
      <c r="S107" s="91"/>
      <c r="T107" s="19"/>
      <c r="U107" s="375"/>
    </row>
    <row r="108" spans="1:21" ht="15.75" customHeight="1" x14ac:dyDescent="0.25">
      <c r="A108" s="2"/>
      <c r="B108" s="19"/>
      <c r="C108" s="374"/>
      <c r="D108" s="2"/>
      <c r="E108" s="19"/>
      <c r="F108" s="19"/>
      <c r="G108" s="19"/>
      <c r="H108" s="19"/>
      <c r="I108" s="19"/>
      <c r="J108" s="19"/>
      <c r="K108" s="19"/>
      <c r="L108" s="2"/>
      <c r="M108" s="19"/>
      <c r="N108" s="19"/>
      <c r="O108" s="84"/>
      <c r="P108" s="19"/>
      <c r="Q108" s="91"/>
      <c r="R108" s="19"/>
      <c r="S108" s="91"/>
      <c r="T108" s="19"/>
      <c r="U108" s="375"/>
    </row>
    <row r="109" spans="1:21" ht="15.75" customHeight="1" x14ac:dyDescent="0.25">
      <c r="A109" s="2"/>
      <c r="B109" s="19"/>
      <c r="C109" s="374"/>
      <c r="D109" s="2"/>
      <c r="E109" s="19"/>
      <c r="F109" s="19"/>
      <c r="G109" s="19"/>
      <c r="H109" s="19"/>
      <c r="I109" s="19"/>
      <c r="J109" s="19"/>
      <c r="K109" s="19"/>
      <c r="L109" s="2"/>
      <c r="M109" s="19"/>
      <c r="N109" s="19"/>
      <c r="O109" s="84"/>
      <c r="P109" s="19"/>
      <c r="Q109" s="91"/>
      <c r="R109" s="19"/>
      <c r="S109" s="91"/>
      <c r="T109" s="19"/>
      <c r="U109" s="375"/>
    </row>
    <row r="110" spans="1:21" ht="15.75" customHeight="1" x14ac:dyDescent="0.25">
      <c r="A110" s="2"/>
      <c r="B110" s="19"/>
      <c r="C110" s="374"/>
      <c r="D110" s="2"/>
      <c r="E110" s="19"/>
      <c r="F110" s="19"/>
      <c r="G110" s="19"/>
      <c r="H110" s="19"/>
      <c r="I110" s="19"/>
      <c r="J110" s="19"/>
      <c r="K110" s="19"/>
      <c r="L110" s="2"/>
      <c r="M110" s="19"/>
      <c r="N110" s="19"/>
      <c r="O110" s="84"/>
      <c r="P110" s="19"/>
      <c r="Q110" s="91"/>
      <c r="R110" s="19"/>
      <c r="S110" s="91"/>
      <c r="T110" s="19"/>
      <c r="U110" s="375"/>
    </row>
    <row r="111" spans="1:21" ht="15.75" customHeight="1" x14ac:dyDescent="0.25">
      <c r="A111" s="2"/>
      <c r="B111" s="19"/>
      <c r="C111" s="374"/>
      <c r="D111" s="2"/>
      <c r="E111" s="19"/>
      <c r="F111" s="19"/>
      <c r="G111" s="19"/>
      <c r="H111" s="19"/>
      <c r="I111" s="19"/>
      <c r="J111" s="19"/>
      <c r="K111" s="19"/>
      <c r="L111" s="2"/>
      <c r="M111" s="19"/>
      <c r="N111" s="19"/>
      <c r="O111" s="84"/>
      <c r="P111" s="19"/>
      <c r="Q111" s="91"/>
      <c r="R111" s="19"/>
      <c r="S111" s="91"/>
      <c r="T111" s="19"/>
      <c r="U111" s="375"/>
    </row>
    <row r="112" spans="1:21" ht="15.75" customHeight="1" x14ac:dyDescent="0.25">
      <c r="A112" s="2"/>
      <c r="B112" s="19"/>
      <c r="C112" s="374"/>
      <c r="D112" s="2"/>
      <c r="E112" s="19"/>
      <c r="F112" s="19"/>
      <c r="G112" s="19"/>
      <c r="H112" s="19"/>
      <c r="I112" s="19"/>
      <c r="J112" s="19"/>
      <c r="K112" s="19"/>
      <c r="L112" s="2"/>
      <c r="M112" s="19"/>
      <c r="N112" s="19"/>
      <c r="O112" s="84"/>
      <c r="P112" s="19"/>
      <c r="Q112" s="91"/>
      <c r="R112" s="19"/>
      <c r="S112" s="91"/>
      <c r="T112" s="19"/>
      <c r="U112" s="375"/>
    </row>
    <row r="113" spans="1:21" ht="15.75" customHeight="1" x14ac:dyDescent="0.25">
      <c r="A113" s="2"/>
      <c r="B113" s="19"/>
      <c r="C113" s="374"/>
      <c r="D113" s="2"/>
      <c r="E113" s="19"/>
      <c r="F113" s="19"/>
      <c r="G113" s="19"/>
      <c r="H113" s="19"/>
      <c r="I113" s="19"/>
      <c r="J113" s="19"/>
      <c r="K113" s="19"/>
      <c r="L113" s="2"/>
      <c r="M113" s="19"/>
      <c r="N113" s="19"/>
      <c r="O113" s="84"/>
      <c r="P113" s="19"/>
      <c r="Q113" s="91"/>
      <c r="R113" s="19"/>
      <c r="S113" s="91"/>
      <c r="T113" s="19"/>
      <c r="U113" s="375"/>
    </row>
    <row r="114" spans="1:21" ht="15.75" customHeight="1" x14ac:dyDescent="0.25">
      <c r="A114" s="2"/>
      <c r="B114" s="19"/>
      <c r="C114" s="374"/>
      <c r="D114" s="2"/>
      <c r="E114" s="19"/>
      <c r="F114" s="19"/>
      <c r="G114" s="19"/>
      <c r="H114" s="19"/>
      <c r="I114" s="19"/>
      <c r="J114" s="19"/>
      <c r="K114" s="19"/>
      <c r="L114" s="2"/>
      <c r="M114" s="19"/>
      <c r="N114" s="19"/>
      <c r="O114" s="84"/>
      <c r="P114" s="19"/>
      <c r="Q114" s="91"/>
      <c r="R114" s="19"/>
      <c r="S114" s="91"/>
      <c r="T114" s="19"/>
      <c r="U114" s="375"/>
    </row>
    <row r="115" spans="1:21" ht="15.75" customHeight="1" x14ac:dyDescent="0.25">
      <c r="A115" s="2"/>
      <c r="B115" s="19"/>
      <c r="C115" s="374"/>
      <c r="D115" s="2"/>
      <c r="E115" s="19"/>
      <c r="F115" s="19"/>
      <c r="G115" s="19"/>
      <c r="H115" s="19"/>
      <c r="I115" s="19"/>
      <c r="J115" s="19"/>
      <c r="K115" s="19"/>
      <c r="L115" s="2"/>
      <c r="M115" s="19"/>
      <c r="N115" s="19"/>
      <c r="O115" s="84"/>
      <c r="P115" s="19"/>
      <c r="Q115" s="91"/>
      <c r="R115" s="19"/>
      <c r="S115" s="91"/>
      <c r="T115" s="19"/>
      <c r="U115" s="375"/>
    </row>
    <row r="116" spans="1:21" ht="15.75" customHeight="1" x14ac:dyDescent="0.25">
      <c r="A116" s="2"/>
      <c r="B116" s="19"/>
      <c r="C116" s="374"/>
      <c r="D116" s="2"/>
      <c r="E116" s="19"/>
      <c r="F116" s="19"/>
      <c r="G116" s="19"/>
      <c r="H116" s="19"/>
      <c r="I116" s="19"/>
      <c r="J116" s="19"/>
      <c r="K116" s="19"/>
      <c r="L116" s="2"/>
      <c r="M116" s="19"/>
      <c r="N116" s="19"/>
      <c r="O116" s="84"/>
      <c r="P116" s="19"/>
      <c r="Q116" s="91"/>
      <c r="R116" s="19"/>
      <c r="S116" s="91"/>
      <c r="T116" s="19"/>
      <c r="U116" s="375"/>
    </row>
    <row r="117" spans="1:21" ht="15.75" customHeight="1" x14ac:dyDescent="0.25">
      <c r="A117" s="2"/>
      <c r="B117" s="19"/>
      <c r="C117" s="374"/>
      <c r="D117" s="2"/>
      <c r="E117" s="19"/>
      <c r="F117" s="19"/>
      <c r="G117" s="19"/>
      <c r="H117" s="19"/>
      <c r="I117" s="19"/>
      <c r="J117" s="19"/>
      <c r="K117" s="19"/>
      <c r="L117" s="2"/>
      <c r="M117" s="19"/>
      <c r="N117" s="19"/>
      <c r="O117" s="84"/>
      <c r="P117" s="19"/>
      <c r="Q117" s="91"/>
      <c r="R117" s="19"/>
      <c r="S117" s="91"/>
      <c r="T117" s="19"/>
      <c r="U117" s="375"/>
    </row>
    <row r="118" spans="1:21" ht="15.75" customHeight="1" x14ac:dyDescent="0.25">
      <c r="A118" s="2"/>
      <c r="B118" s="19"/>
      <c r="C118" s="374"/>
      <c r="D118" s="2"/>
      <c r="E118" s="19"/>
      <c r="F118" s="19"/>
      <c r="G118" s="19"/>
      <c r="H118" s="19"/>
      <c r="I118" s="19"/>
      <c r="J118" s="19"/>
      <c r="K118" s="19"/>
      <c r="L118" s="2"/>
      <c r="M118" s="19"/>
      <c r="N118" s="19"/>
      <c r="O118" s="84"/>
      <c r="P118" s="19"/>
      <c r="Q118" s="91"/>
      <c r="R118" s="19"/>
      <c r="S118" s="91"/>
      <c r="T118" s="19"/>
      <c r="U118" s="375"/>
    </row>
    <row r="119" spans="1:21" ht="15.75" customHeight="1" x14ac:dyDescent="0.25">
      <c r="A119" s="2"/>
      <c r="B119" s="19"/>
      <c r="C119" s="374"/>
      <c r="D119" s="2"/>
      <c r="E119" s="19"/>
      <c r="F119" s="19"/>
      <c r="G119" s="19"/>
      <c r="H119" s="19"/>
      <c r="I119" s="19"/>
      <c r="J119" s="19"/>
      <c r="K119" s="19"/>
      <c r="L119" s="2"/>
      <c r="M119" s="19"/>
      <c r="N119" s="19"/>
      <c r="O119" s="84"/>
      <c r="P119" s="19"/>
      <c r="Q119" s="91"/>
      <c r="R119" s="19"/>
      <c r="S119" s="91"/>
      <c r="T119" s="19"/>
      <c r="U119" s="375"/>
    </row>
    <row r="120" spans="1:21" ht="15.75" customHeight="1" x14ac:dyDescent="0.25">
      <c r="A120" s="2"/>
      <c r="B120" s="19"/>
      <c r="C120" s="374"/>
      <c r="D120" s="2"/>
      <c r="E120" s="19"/>
      <c r="F120" s="19"/>
      <c r="G120" s="19"/>
      <c r="H120" s="19"/>
      <c r="I120" s="19"/>
      <c r="J120" s="19"/>
      <c r="K120" s="19"/>
      <c r="L120" s="2"/>
      <c r="M120" s="19"/>
      <c r="N120" s="19"/>
      <c r="O120" s="84"/>
      <c r="P120" s="19"/>
      <c r="Q120" s="91"/>
      <c r="R120" s="19"/>
      <c r="S120" s="91"/>
      <c r="T120" s="19"/>
      <c r="U120" s="375"/>
    </row>
    <row r="121" spans="1:21" ht="15.75" customHeight="1" x14ac:dyDescent="0.25">
      <c r="A121" s="2"/>
      <c r="B121" s="19"/>
      <c r="C121" s="374"/>
      <c r="D121" s="2"/>
      <c r="E121" s="19"/>
      <c r="F121" s="19"/>
      <c r="G121" s="19"/>
      <c r="H121" s="19"/>
      <c r="I121" s="19"/>
      <c r="J121" s="19"/>
      <c r="K121" s="19"/>
      <c r="L121" s="2"/>
      <c r="M121" s="19"/>
      <c r="N121" s="19"/>
      <c r="O121" s="84"/>
      <c r="P121" s="19"/>
      <c r="Q121" s="91"/>
      <c r="R121" s="19"/>
      <c r="S121" s="91"/>
      <c r="T121" s="19"/>
      <c r="U121" s="375"/>
    </row>
    <row r="122" spans="1:21" ht="15.75" customHeight="1" x14ac:dyDescent="0.25">
      <c r="A122" s="2"/>
      <c r="B122" s="19"/>
      <c r="C122" s="374"/>
      <c r="D122" s="2"/>
      <c r="E122" s="19"/>
      <c r="F122" s="19"/>
      <c r="G122" s="19"/>
      <c r="H122" s="19"/>
      <c r="I122" s="19"/>
      <c r="J122" s="19"/>
      <c r="K122" s="19"/>
      <c r="L122" s="2"/>
      <c r="M122" s="19"/>
      <c r="N122" s="19"/>
      <c r="O122" s="84"/>
      <c r="P122" s="19"/>
      <c r="Q122" s="91"/>
      <c r="R122" s="19"/>
      <c r="S122" s="91"/>
      <c r="T122" s="19"/>
      <c r="U122" s="375"/>
    </row>
    <row r="123" spans="1:21" ht="15.75" customHeight="1" x14ac:dyDescent="0.25">
      <c r="A123" s="2"/>
      <c r="B123" s="19"/>
      <c r="C123" s="374"/>
      <c r="D123" s="2"/>
      <c r="E123" s="19"/>
      <c r="F123" s="19"/>
      <c r="G123" s="19"/>
      <c r="H123" s="19"/>
      <c r="I123" s="19"/>
      <c r="J123" s="19"/>
      <c r="K123" s="19"/>
      <c r="L123" s="2"/>
      <c r="M123" s="19"/>
      <c r="N123" s="19"/>
      <c r="O123" s="84"/>
      <c r="P123" s="19"/>
      <c r="Q123" s="91"/>
      <c r="R123" s="19"/>
      <c r="S123" s="91"/>
      <c r="T123" s="19"/>
      <c r="U123" s="375"/>
    </row>
    <row r="124" spans="1:21" ht="15.75" customHeight="1" x14ac:dyDescent="0.25">
      <c r="A124" s="2"/>
      <c r="B124" s="19"/>
      <c r="C124" s="374"/>
      <c r="D124" s="2"/>
      <c r="E124" s="19"/>
      <c r="F124" s="19"/>
      <c r="G124" s="19"/>
      <c r="H124" s="19"/>
      <c r="I124" s="19"/>
      <c r="J124" s="19"/>
      <c r="K124" s="19"/>
      <c r="L124" s="2"/>
      <c r="M124" s="19"/>
      <c r="N124" s="19"/>
      <c r="O124" s="84"/>
      <c r="P124" s="19"/>
      <c r="Q124" s="91"/>
      <c r="R124" s="19"/>
      <c r="S124" s="91"/>
      <c r="T124" s="19"/>
      <c r="U124" s="375"/>
    </row>
    <row r="125" spans="1:21" ht="15.75" customHeight="1" x14ac:dyDescent="0.25">
      <c r="A125" s="2"/>
      <c r="B125" s="19"/>
      <c r="C125" s="374"/>
      <c r="D125" s="2"/>
      <c r="E125" s="19"/>
      <c r="F125" s="19"/>
      <c r="G125" s="19"/>
      <c r="H125" s="19"/>
      <c r="I125" s="19"/>
      <c r="J125" s="19"/>
      <c r="K125" s="19"/>
      <c r="L125" s="2"/>
      <c r="M125" s="19"/>
      <c r="N125" s="19"/>
      <c r="O125" s="84"/>
      <c r="P125" s="19"/>
      <c r="Q125" s="91"/>
      <c r="R125" s="19"/>
      <c r="S125" s="91"/>
      <c r="T125" s="19"/>
      <c r="U125" s="375"/>
    </row>
    <row r="126" spans="1:21" ht="15.75" customHeight="1" x14ac:dyDescent="0.25">
      <c r="A126" s="2"/>
      <c r="B126" s="19"/>
      <c r="C126" s="374"/>
      <c r="D126" s="2"/>
      <c r="E126" s="19"/>
      <c r="F126" s="19"/>
      <c r="G126" s="19"/>
      <c r="H126" s="19"/>
      <c r="I126" s="19"/>
      <c r="J126" s="19"/>
      <c r="K126" s="19"/>
      <c r="L126" s="2"/>
      <c r="M126" s="19"/>
      <c r="N126" s="19"/>
      <c r="O126" s="84"/>
      <c r="P126" s="19"/>
      <c r="Q126" s="91"/>
      <c r="R126" s="19"/>
      <c r="S126" s="91"/>
      <c r="T126" s="19"/>
      <c r="U126" s="375"/>
    </row>
    <row r="127" spans="1:21" ht="15.75" customHeight="1" x14ac:dyDescent="0.25">
      <c r="A127" s="2"/>
      <c r="B127" s="19"/>
      <c r="C127" s="374"/>
      <c r="D127" s="2"/>
      <c r="E127" s="19"/>
      <c r="F127" s="19"/>
      <c r="G127" s="19"/>
      <c r="H127" s="19"/>
      <c r="I127" s="19"/>
      <c r="J127" s="19"/>
      <c r="K127" s="19"/>
      <c r="L127" s="2"/>
      <c r="M127" s="19"/>
      <c r="N127" s="19"/>
      <c r="O127" s="84"/>
      <c r="P127" s="19"/>
      <c r="Q127" s="91"/>
      <c r="R127" s="19"/>
      <c r="S127" s="91"/>
      <c r="T127" s="19"/>
      <c r="U127" s="375"/>
    </row>
    <row r="128" spans="1:21" ht="15.75" customHeight="1" x14ac:dyDescent="0.25">
      <c r="A128" s="2"/>
      <c r="B128" s="19"/>
      <c r="C128" s="374"/>
      <c r="D128" s="2"/>
      <c r="E128" s="19"/>
      <c r="F128" s="19"/>
      <c r="G128" s="19"/>
      <c r="H128" s="19"/>
      <c r="I128" s="19"/>
      <c r="J128" s="19"/>
      <c r="K128" s="19"/>
      <c r="L128" s="2"/>
      <c r="M128" s="19"/>
      <c r="N128" s="19"/>
      <c r="O128" s="84"/>
      <c r="P128" s="19"/>
      <c r="Q128" s="91"/>
      <c r="R128" s="19"/>
      <c r="S128" s="91"/>
      <c r="T128" s="19"/>
      <c r="U128" s="375"/>
    </row>
    <row r="129" spans="1:21" ht="15.75" customHeight="1" x14ac:dyDescent="0.25">
      <c r="A129" s="2"/>
      <c r="B129" s="19"/>
      <c r="C129" s="374"/>
      <c r="D129" s="2"/>
      <c r="E129" s="19"/>
      <c r="F129" s="19"/>
      <c r="G129" s="19"/>
      <c r="H129" s="19"/>
      <c r="I129" s="19"/>
      <c r="J129" s="19"/>
      <c r="K129" s="19"/>
      <c r="L129" s="2"/>
      <c r="M129" s="19"/>
      <c r="N129" s="19"/>
      <c r="O129" s="84"/>
      <c r="P129" s="19"/>
      <c r="Q129" s="91"/>
      <c r="R129" s="19"/>
      <c r="S129" s="91"/>
      <c r="T129" s="19"/>
      <c r="U129" s="375"/>
    </row>
    <row r="130" spans="1:21" ht="15.75" customHeight="1" x14ac:dyDescent="0.25">
      <c r="A130" s="2"/>
      <c r="B130" s="19"/>
      <c r="C130" s="374"/>
      <c r="D130" s="2"/>
      <c r="E130" s="19"/>
      <c r="F130" s="19"/>
      <c r="G130" s="19"/>
      <c r="H130" s="19"/>
      <c r="I130" s="19"/>
      <c r="J130" s="19"/>
      <c r="K130" s="19"/>
      <c r="L130" s="2"/>
      <c r="M130" s="19"/>
      <c r="N130" s="19"/>
      <c r="O130" s="84"/>
      <c r="P130" s="19"/>
      <c r="Q130" s="91"/>
      <c r="R130" s="19"/>
      <c r="S130" s="91"/>
      <c r="T130" s="19"/>
      <c r="U130" s="375"/>
    </row>
    <row r="131" spans="1:21" ht="15.75" customHeight="1" x14ac:dyDescent="0.25">
      <c r="A131" s="2"/>
      <c r="B131" s="19"/>
      <c r="C131" s="374"/>
      <c r="D131" s="2"/>
      <c r="E131" s="19"/>
      <c r="F131" s="19"/>
      <c r="G131" s="19"/>
      <c r="H131" s="19"/>
      <c r="I131" s="19"/>
      <c r="J131" s="19"/>
      <c r="K131" s="19"/>
      <c r="L131" s="2"/>
      <c r="M131" s="19"/>
      <c r="N131" s="19"/>
      <c r="O131" s="84"/>
      <c r="P131" s="19"/>
      <c r="Q131" s="91"/>
      <c r="R131" s="19"/>
      <c r="S131" s="91"/>
      <c r="T131" s="19"/>
      <c r="U131" s="375"/>
    </row>
    <row r="132" spans="1:21" ht="15.75" customHeight="1" x14ac:dyDescent="0.25">
      <c r="A132" s="2"/>
      <c r="B132" s="19"/>
      <c r="C132" s="374"/>
      <c r="D132" s="2"/>
      <c r="E132" s="19"/>
      <c r="F132" s="19"/>
      <c r="G132" s="19"/>
      <c r="H132" s="19"/>
      <c r="I132" s="19"/>
      <c r="J132" s="19"/>
      <c r="K132" s="19"/>
      <c r="L132" s="2"/>
      <c r="M132" s="19"/>
      <c r="N132" s="19"/>
      <c r="O132" s="84"/>
      <c r="P132" s="19"/>
      <c r="Q132" s="91"/>
      <c r="R132" s="19"/>
      <c r="S132" s="91"/>
      <c r="T132" s="19"/>
      <c r="U132" s="375"/>
    </row>
    <row r="133" spans="1:21" ht="15.75" customHeight="1" x14ac:dyDescent="0.25">
      <c r="A133" s="2"/>
      <c r="B133" s="19"/>
      <c r="C133" s="374"/>
      <c r="D133" s="2"/>
      <c r="E133" s="19"/>
      <c r="F133" s="19"/>
      <c r="G133" s="19"/>
      <c r="H133" s="19"/>
      <c r="I133" s="19"/>
      <c r="J133" s="19"/>
      <c r="K133" s="19"/>
      <c r="L133" s="2"/>
      <c r="M133" s="19"/>
      <c r="N133" s="19"/>
      <c r="O133" s="84"/>
      <c r="P133" s="19"/>
      <c r="Q133" s="91"/>
      <c r="R133" s="19"/>
      <c r="S133" s="91"/>
      <c r="T133" s="19"/>
      <c r="U133" s="375"/>
    </row>
    <row r="134" spans="1:21" ht="15.75" customHeight="1" x14ac:dyDescent="0.25">
      <c r="A134" s="2"/>
      <c r="B134" s="19"/>
      <c r="C134" s="374"/>
      <c r="D134" s="2"/>
      <c r="E134" s="19"/>
      <c r="F134" s="19"/>
      <c r="G134" s="19"/>
      <c r="H134" s="19"/>
      <c r="I134" s="19"/>
      <c r="J134" s="19"/>
      <c r="K134" s="19"/>
      <c r="L134" s="2"/>
      <c r="M134" s="19"/>
      <c r="N134" s="19"/>
      <c r="O134" s="84"/>
      <c r="P134" s="19"/>
      <c r="Q134" s="91"/>
      <c r="R134" s="19"/>
      <c r="S134" s="91"/>
      <c r="T134" s="19"/>
      <c r="U134" s="375"/>
    </row>
    <row r="135" spans="1:21" ht="15.75" customHeight="1" x14ac:dyDescent="0.25">
      <c r="A135" s="2"/>
      <c r="B135" s="19"/>
      <c r="C135" s="374"/>
      <c r="D135" s="2"/>
      <c r="E135" s="19"/>
      <c r="F135" s="19"/>
      <c r="G135" s="19"/>
      <c r="H135" s="19"/>
      <c r="I135" s="19"/>
      <c r="J135" s="19"/>
      <c r="K135" s="19"/>
      <c r="L135" s="2"/>
      <c r="M135" s="19"/>
      <c r="N135" s="19"/>
      <c r="O135" s="84"/>
      <c r="P135" s="19"/>
      <c r="Q135" s="91"/>
      <c r="R135" s="19"/>
      <c r="S135" s="91"/>
      <c r="T135" s="19"/>
      <c r="U135" s="375"/>
    </row>
    <row r="136" spans="1:21" ht="15.75" customHeight="1" x14ac:dyDescent="0.25">
      <c r="A136" s="2"/>
      <c r="B136" s="19"/>
      <c r="C136" s="374"/>
      <c r="D136" s="2"/>
      <c r="E136" s="19"/>
      <c r="F136" s="19"/>
      <c r="G136" s="19"/>
      <c r="H136" s="19"/>
      <c r="I136" s="19"/>
      <c r="J136" s="19"/>
      <c r="K136" s="19"/>
      <c r="L136" s="2"/>
      <c r="M136" s="19"/>
      <c r="N136" s="19"/>
      <c r="O136" s="84"/>
      <c r="P136" s="19"/>
      <c r="Q136" s="91"/>
      <c r="R136" s="19"/>
      <c r="S136" s="91"/>
      <c r="T136" s="19"/>
      <c r="U136" s="375"/>
    </row>
    <row r="137" spans="1:21" ht="15.75" customHeight="1" x14ac:dyDescent="0.25">
      <c r="A137" s="2"/>
      <c r="B137" s="19"/>
      <c r="C137" s="374"/>
      <c r="D137" s="2"/>
      <c r="E137" s="19"/>
      <c r="F137" s="19"/>
      <c r="G137" s="19"/>
      <c r="H137" s="19"/>
      <c r="I137" s="19"/>
      <c r="J137" s="19"/>
      <c r="K137" s="19"/>
      <c r="L137" s="2"/>
      <c r="M137" s="19"/>
      <c r="N137" s="19"/>
      <c r="O137" s="84"/>
      <c r="P137" s="19"/>
      <c r="Q137" s="91"/>
      <c r="R137" s="19"/>
      <c r="S137" s="91"/>
      <c r="T137" s="19"/>
      <c r="U137" s="375"/>
    </row>
    <row r="138" spans="1:21" ht="15.75" customHeight="1" x14ac:dyDescent="0.25">
      <c r="A138" s="2"/>
      <c r="B138" s="19"/>
      <c r="C138" s="374"/>
      <c r="D138" s="2"/>
      <c r="E138" s="19"/>
      <c r="F138" s="19"/>
      <c r="G138" s="19"/>
      <c r="H138" s="19"/>
      <c r="I138" s="19"/>
      <c r="J138" s="19"/>
      <c r="K138" s="19"/>
      <c r="L138" s="2"/>
      <c r="M138" s="19"/>
      <c r="N138" s="19"/>
      <c r="O138" s="84"/>
      <c r="P138" s="19"/>
      <c r="Q138" s="91"/>
      <c r="R138" s="19"/>
      <c r="S138" s="91"/>
      <c r="T138" s="19"/>
      <c r="U138" s="375"/>
    </row>
    <row r="139" spans="1:21" ht="15.75" customHeight="1" x14ac:dyDescent="0.25">
      <c r="A139" s="2"/>
      <c r="B139" s="19"/>
      <c r="C139" s="374"/>
      <c r="D139" s="2"/>
      <c r="E139" s="19"/>
      <c r="F139" s="19"/>
      <c r="G139" s="19"/>
      <c r="H139" s="19"/>
      <c r="I139" s="19"/>
      <c r="J139" s="19"/>
      <c r="K139" s="19"/>
      <c r="L139" s="2"/>
      <c r="M139" s="19"/>
      <c r="N139" s="19"/>
      <c r="O139" s="84"/>
      <c r="P139" s="19"/>
      <c r="Q139" s="91"/>
      <c r="R139" s="19"/>
      <c r="S139" s="91"/>
      <c r="T139" s="19"/>
      <c r="U139" s="375"/>
    </row>
    <row r="140" spans="1:21" ht="15.75" customHeight="1" x14ac:dyDescent="0.25">
      <c r="A140" s="2"/>
      <c r="B140" s="19"/>
      <c r="C140" s="374"/>
      <c r="D140" s="2"/>
      <c r="E140" s="19"/>
      <c r="F140" s="19"/>
      <c r="G140" s="19"/>
      <c r="H140" s="19"/>
      <c r="I140" s="19"/>
      <c r="J140" s="19"/>
      <c r="K140" s="19"/>
      <c r="L140" s="2"/>
      <c r="M140" s="19"/>
      <c r="N140" s="19"/>
      <c r="O140" s="84"/>
      <c r="P140" s="19"/>
      <c r="Q140" s="91"/>
      <c r="R140" s="19"/>
      <c r="S140" s="91"/>
      <c r="T140" s="19"/>
      <c r="U140" s="375"/>
    </row>
    <row r="141" spans="1:21" ht="15.75" customHeight="1" x14ac:dyDescent="0.25">
      <c r="A141" s="2"/>
      <c r="B141" s="19"/>
      <c r="C141" s="374"/>
      <c r="D141" s="2"/>
      <c r="E141" s="19"/>
      <c r="F141" s="19"/>
      <c r="G141" s="19"/>
      <c r="H141" s="19"/>
      <c r="I141" s="19"/>
      <c r="J141" s="19"/>
      <c r="K141" s="19"/>
      <c r="L141" s="2"/>
      <c r="M141" s="19"/>
      <c r="N141" s="19"/>
      <c r="O141" s="84"/>
      <c r="P141" s="19"/>
      <c r="Q141" s="91"/>
      <c r="R141" s="19"/>
      <c r="S141" s="91"/>
      <c r="T141" s="19"/>
      <c r="U141" s="375"/>
    </row>
    <row r="142" spans="1:21" ht="15.75" customHeight="1" x14ac:dyDescent="0.25">
      <c r="A142" s="2"/>
      <c r="B142" s="19"/>
      <c r="C142" s="374"/>
      <c r="D142" s="2"/>
      <c r="E142" s="19"/>
      <c r="F142" s="19"/>
      <c r="G142" s="19"/>
      <c r="H142" s="19"/>
      <c r="I142" s="19"/>
      <c r="J142" s="19"/>
      <c r="K142" s="19"/>
      <c r="L142" s="2"/>
      <c r="M142" s="19"/>
      <c r="N142" s="19"/>
      <c r="O142" s="84"/>
      <c r="P142" s="19"/>
      <c r="Q142" s="91"/>
      <c r="R142" s="19"/>
      <c r="S142" s="91"/>
      <c r="T142" s="19"/>
      <c r="U142" s="375"/>
    </row>
    <row r="143" spans="1:21" ht="15.75" customHeight="1" x14ac:dyDescent="0.25">
      <c r="A143" s="2"/>
      <c r="B143" s="19"/>
      <c r="C143" s="374"/>
      <c r="D143" s="2"/>
      <c r="E143" s="19"/>
      <c r="F143" s="19"/>
      <c r="G143" s="19"/>
      <c r="H143" s="19"/>
      <c r="I143" s="19"/>
      <c r="J143" s="19"/>
      <c r="K143" s="19"/>
      <c r="L143" s="2"/>
      <c r="M143" s="19"/>
      <c r="N143" s="19"/>
      <c r="O143" s="84"/>
      <c r="P143" s="19"/>
      <c r="Q143" s="91"/>
      <c r="R143" s="19"/>
      <c r="S143" s="91"/>
      <c r="T143" s="19"/>
      <c r="U143" s="375"/>
    </row>
    <row r="144" spans="1:21" ht="15.75" customHeight="1" x14ac:dyDescent="0.25">
      <c r="A144" s="2"/>
      <c r="B144" s="19"/>
      <c r="C144" s="374"/>
      <c r="D144" s="2"/>
      <c r="E144" s="19"/>
      <c r="F144" s="19"/>
      <c r="G144" s="19"/>
      <c r="H144" s="19"/>
      <c r="I144" s="19"/>
      <c r="J144" s="19"/>
      <c r="K144" s="19"/>
      <c r="L144" s="2"/>
      <c r="M144" s="19"/>
      <c r="N144" s="19"/>
      <c r="O144" s="84"/>
      <c r="P144" s="19"/>
      <c r="Q144" s="91"/>
      <c r="R144" s="19"/>
      <c r="S144" s="91"/>
      <c r="T144" s="19"/>
      <c r="U144" s="375"/>
    </row>
    <row r="145" spans="1:21" ht="15.75" customHeight="1" x14ac:dyDescent="0.25">
      <c r="A145" s="2"/>
      <c r="B145" s="19"/>
      <c r="C145" s="374"/>
      <c r="D145" s="2"/>
      <c r="E145" s="19"/>
      <c r="F145" s="19"/>
      <c r="G145" s="19"/>
      <c r="H145" s="19"/>
      <c r="I145" s="19"/>
      <c r="J145" s="19"/>
      <c r="K145" s="19"/>
      <c r="L145" s="2"/>
      <c r="M145" s="19"/>
      <c r="N145" s="19"/>
      <c r="O145" s="84"/>
      <c r="P145" s="19"/>
      <c r="Q145" s="91"/>
      <c r="R145" s="19"/>
      <c r="S145" s="91"/>
      <c r="T145" s="19"/>
      <c r="U145" s="375"/>
    </row>
    <row r="146" spans="1:21" ht="15.75" customHeight="1" x14ac:dyDescent="0.25">
      <c r="A146" s="2"/>
      <c r="B146" s="19"/>
      <c r="C146" s="374"/>
      <c r="D146" s="2"/>
      <c r="E146" s="19"/>
      <c r="F146" s="19"/>
      <c r="G146" s="19"/>
      <c r="H146" s="19"/>
      <c r="I146" s="19"/>
      <c r="J146" s="19"/>
      <c r="K146" s="19"/>
      <c r="L146" s="2"/>
      <c r="M146" s="19"/>
      <c r="N146" s="19"/>
      <c r="O146" s="84"/>
      <c r="P146" s="19"/>
      <c r="Q146" s="91"/>
      <c r="R146" s="19"/>
      <c r="S146" s="91"/>
      <c r="T146" s="19"/>
      <c r="U146" s="375"/>
    </row>
    <row r="147" spans="1:21" ht="15.75" customHeight="1" x14ac:dyDescent="0.25">
      <c r="A147" s="2"/>
      <c r="B147" s="19"/>
      <c r="C147" s="374"/>
      <c r="D147" s="2"/>
      <c r="E147" s="19"/>
      <c r="F147" s="19"/>
      <c r="G147" s="19"/>
      <c r="H147" s="19"/>
      <c r="I147" s="19"/>
      <c r="J147" s="19"/>
      <c r="K147" s="19"/>
      <c r="L147" s="2"/>
      <c r="M147" s="19"/>
      <c r="N147" s="19"/>
      <c r="O147" s="84"/>
      <c r="P147" s="19"/>
      <c r="Q147" s="91"/>
      <c r="R147" s="19"/>
      <c r="S147" s="91"/>
      <c r="T147" s="19"/>
      <c r="U147" s="375"/>
    </row>
    <row r="148" spans="1:21" ht="15.75" customHeight="1" x14ac:dyDescent="0.25">
      <c r="A148" s="2"/>
      <c r="B148" s="19"/>
      <c r="C148" s="374"/>
      <c r="D148" s="2"/>
      <c r="E148" s="19"/>
      <c r="F148" s="19"/>
      <c r="G148" s="19"/>
      <c r="H148" s="19"/>
      <c r="I148" s="19"/>
      <c r="J148" s="19"/>
      <c r="K148" s="19"/>
      <c r="L148" s="2"/>
      <c r="M148" s="19"/>
      <c r="N148" s="19"/>
      <c r="O148" s="84"/>
      <c r="P148" s="19"/>
      <c r="Q148" s="91"/>
      <c r="R148" s="19"/>
      <c r="S148" s="91"/>
      <c r="T148" s="19"/>
      <c r="U148" s="375"/>
    </row>
    <row r="149" spans="1:21" ht="15.75" customHeight="1" x14ac:dyDescent="0.25">
      <c r="A149" s="2"/>
      <c r="B149" s="19"/>
      <c r="C149" s="374"/>
      <c r="D149" s="2"/>
      <c r="E149" s="19"/>
      <c r="F149" s="19"/>
      <c r="G149" s="19"/>
      <c r="H149" s="19"/>
      <c r="I149" s="19"/>
      <c r="J149" s="19"/>
      <c r="K149" s="19"/>
      <c r="L149" s="2"/>
      <c r="M149" s="19"/>
      <c r="N149" s="19"/>
      <c r="O149" s="84"/>
      <c r="P149" s="19"/>
      <c r="Q149" s="91"/>
      <c r="R149" s="19"/>
      <c r="S149" s="91"/>
      <c r="T149" s="19"/>
      <c r="U149" s="375"/>
    </row>
    <row r="150" spans="1:21" ht="15.75" customHeight="1" x14ac:dyDescent="0.25">
      <c r="A150" s="2"/>
      <c r="B150" s="19"/>
      <c r="C150" s="374"/>
      <c r="D150" s="2"/>
      <c r="E150" s="19"/>
      <c r="F150" s="19"/>
      <c r="G150" s="19"/>
      <c r="H150" s="19"/>
      <c r="I150" s="19"/>
      <c r="J150" s="19"/>
      <c r="K150" s="19"/>
      <c r="L150" s="2"/>
      <c r="M150" s="19"/>
      <c r="N150" s="19"/>
      <c r="O150" s="84"/>
      <c r="P150" s="19"/>
      <c r="Q150" s="91"/>
      <c r="R150" s="19"/>
      <c r="S150" s="91"/>
      <c r="T150" s="19"/>
      <c r="U150" s="375"/>
    </row>
    <row r="151" spans="1:21" ht="15.75" customHeight="1" x14ac:dyDescent="0.25">
      <c r="A151" s="2"/>
      <c r="B151" s="19"/>
      <c r="C151" s="374"/>
      <c r="D151" s="2"/>
      <c r="E151" s="19"/>
      <c r="F151" s="19"/>
      <c r="G151" s="19"/>
      <c r="H151" s="19"/>
      <c r="I151" s="19"/>
      <c r="J151" s="19"/>
      <c r="K151" s="19"/>
      <c r="L151" s="2"/>
      <c r="M151" s="19"/>
      <c r="N151" s="19"/>
      <c r="O151" s="84"/>
      <c r="P151" s="19"/>
      <c r="Q151" s="91"/>
      <c r="R151" s="19"/>
      <c r="S151" s="91"/>
      <c r="T151" s="19"/>
      <c r="U151" s="375"/>
    </row>
    <row r="152" spans="1:21" ht="15.75" customHeight="1" x14ac:dyDescent="0.25">
      <c r="A152" s="2"/>
      <c r="B152" s="19"/>
      <c r="C152" s="374"/>
      <c r="D152" s="2"/>
      <c r="E152" s="19"/>
      <c r="F152" s="19"/>
      <c r="G152" s="19"/>
      <c r="H152" s="19"/>
      <c r="I152" s="19"/>
      <c r="J152" s="19"/>
      <c r="K152" s="19"/>
      <c r="L152" s="2"/>
      <c r="M152" s="19"/>
      <c r="N152" s="19"/>
      <c r="O152" s="84"/>
      <c r="P152" s="19"/>
      <c r="Q152" s="91"/>
      <c r="R152" s="19"/>
      <c r="S152" s="91"/>
      <c r="T152" s="19"/>
      <c r="U152" s="375"/>
    </row>
    <row r="153" spans="1:21" ht="15.75" customHeight="1" x14ac:dyDescent="0.25">
      <c r="A153" s="2"/>
      <c r="B153" s="19"/>
      <c r="C153" s="374"/>
      <c r="D153" s="2"/>
      <c r="E153" s="19"/>
      <c r="F153" s="19"/>
      <c r="G153" s="19"/>
      <c r="H153" s="19"/>
      <c r="I153" s="19"/>
      <c r="J153" s="19"/>
      <c r="K153" s="19"/>
      <c r="L153" s="2"/>
      <c r="M153" s="19"/>
      <c r="N153" s="19"/>
      <c r="O153" s="84"/>
      <c r="P153" s="19"/>
      <c r="Q153" s="91"/>
      <c r="R153" s="19"/>
      <c r="S153" s="91"/>
      <c r="T153" s="19"/>
      <c r="U153" s="375"/>
    </row>
    <row r="154" spans="1:21" ht="15.75" customHeight="1" x14ac:dyDescent="0.25">
      <c r="A154" s="2"/>
      <c r="B154" s="19"/>
      <c r="C154" s="374"/>
      <c r="D154" s="2"/>
      <c r="E154" s="19"/>
      <c r="F154" s="19"/>
      <c r="G154" s="19"/>
      <c r="H154" s="19"/>
      <c r="I154" s="19"/>
      <c r="J154" s="19"/>
      <c r="K154" s="19"/>
      <c r="L154" s="2"/>
      <c r="M154" s="19"/>
      <c r="N154" s="19"/>
      <c r="O154" s="84"/>
      <c r="P154" s="19"/>
      <c r="Q154" s="91"/>
      <c r="R154" s="19"/>
      <c r="S154" s="91"/>
      <c r="T154" s="19"/>
      <c r="U154" s="375"/>
    </row>
    <row r="155" spans="1:21" ht="15.75" customHeight="1" x14ac:dyDescent="0.25">
      <c r="A155" s="2"/>
      <c r="B155" s="19"/>
      <c r="C155" s="374"/>
      <c r="D155" s="2"/>
      <c r="E155" s="19"/>
      <c r="F155" s="19"/>
      <c r="G155" s="19"/>
      <c r="H155" s="19"/>
      <c r="I155" s="19"/>
      <c r="J155" s="19"/>
      <c r="K155" s="19"/>
      <c r="L155" s="2"/>
      <c r="M155" s="19"/>
      <c r="N155" s="19"/>
      <c r="O155" s="84"/>
      <c r="P155" s="19"/>
      <c r="Q155" s="91"/>
      <c r="R155" s="19"/>
      <c r="S155" s="91"/>
      <c r="T155" s="19"/>
      <c r="U155" s="375"/>
    </row>
    <row r="156" spans="1:21" ht="15.75" customHeight="1" x14ac:dyDescent="0.25">
      <c r="A156" s="2"/>
      <c r="B156" s="19"/>
      <c r="C156" s="374"/>
      <c r="D156" s="2"/>
      <c r="E156" s="19"/>
      <c r="F156" s="19"/>
      <c r="G156" s="19"/>
      <c r="H156" s="19"/>
      <c r="I156" s="19"/>
      <c r="J156" s="19"/>
      <c r="K156" s="19"/>
      <c r="L156" s="2"/>
      <c r="M156" s="19"/>
      <c r="N156" s="19"/>
      <c r="O156" s="84"/>
      <c r="P156" s="19"/>
      <c r="Q156" s="91"/>
      <c r="R156" s="19"/>
      <c r="S156" s="91"/>
      <c r="T156" s="19"/>
      <c r="U156" s="375"/>
    </row>
    <row r="157" spans="1:21" ht="15.75" customHeight="1" x14ac:dyDescent="0.25">
      <c r="A157" s="2"/>
      <c r="B157" s="19"/>
      <c r="C157" s="374"/>
      <c r="D157" s="2"/>
      <c r="E157" s="19"/>
      <c r="F157" s="19"/>
      <c r="G157" s="19"/>
      <c r="H157" s="19"/>
      <c r="I157" s="19"/>
      <c r="J157" s="19"/>
      <c r="K157" s="19"/>
      <c r="L157" s="2"/>
      <c r="M157" s="19"/>
      <c r="N157" s="19"/>
      <c r="O157" s="84"/>
      <c r="P157" s="19"/>
      <c r="Q157" s="91"/>
      <c r="R157" s="19"/>
      <c r="S157" s="91"/>
      <c r="T157" s="19"/>
      <c r="U157" s="375"/>
    </row>
    <row r="158" spans="1:21" ht="15.75" customHeight="1" x14ac:dyDescent="0.25">
      <c r="A158" s="2"/>
      <c r="B158" s="19"/>
      <c r="C158" s="374"/>
      <c r="D158" s="2"/>
      <c r="E158" s="19"/>
      <c r="F158" s="19"/>
      <c r="G158" s="19"/>
      <c r="H158" s="19"/>
      <c r="I158" s="19"/>
      <c r="J158" s="19"/>
      <c r="K158" s="19"/>
      <c r="L158" s="2"/>
      <c r="M158" s="19"/>
      <c r="N158" s="19"/>
      <c r="O158" s="84"/>
      <c r="P158" s="19"/>
      <c r="Q158" s="91"/>
      <c r="R158" s="19"/>
      <c r="S158" s="91"/>
      <c r="T158" s="19"/>
      <c r="U158" s="375"/>
    </row>
    <row r="159" spans="1:21" ht="15.75" customHeight="1" x14ac:dyDescent="0.25">
      <c r="A159" s="2"/>
      <c r="B159" s="19"/>
      <c r="C159" s="374"/>
      <c r="D159" s="2"/>
      <c r="E159" s="19"/>
      <c r="F159" s="19"/>
      <c r="G159" s="19"/>
      <c r="H159" s="19"/>
      <c r="I159" s="19"/>
      <c r="J159" s="19"/>
      <c r="K159" s="19"/>
      <c r="L159" s="2"/>
      <c r="M159" s="19"/>
      <c r="N159" s="19"/>
      <c r="O159" s="84"/>
      <c r="P159" s="19"/>
      <c r="Q159" s="91"/>
      <c r="R159" s="19"/>
      <c r="S159" s="91"/>
      <c r="T159" s="19"/>
      <c r="U159" s="375"/>
    </row>
    <row r="160" spans="1:21" ht="15.75" customHeight="1" x14ac:dyDescent="0.25">
      <c r="A160" s="2"/>
      <c r="B160" s="19"/>
      <c r="C160" s="374"/>
      <c r="D160" s="2"/>
      <c r="E160" s="19"/>
      <c r="F160" s="19"/>
      <c r="G160" s="19"/>
      <c r="H160" s="19"/>
      <c r="I160" s="19"/>
      <c r="J160" s="19"/>
      <c r="K160" s="19"/>
      <c r="L160" s="2"/>
      <c r="M160" s="19"/>
      <c r="N160" s="19"/>
      <c r="O160" s="84"/>
      <c r="P160" s="19"/>
      <c r="Q160" s="91"/>
      <c r="R160" s="19"/>
      <c r="S160" s="91"/>
      <c r="T160" s="19"/>
      <c r="U160" s="375"/>
    </row>
    <row r="161" spans="1:21" ht="15.75" customHeight="1" x14ac:dyDescent="0.25">
      <c r="A161" s="2"/>
      <c r="B161" s="19"/>
      <c r="C161" s="374"/>
      <c r="D161" s="2"/>
      <c r="E161" s="19"/>
      <c r="F161" s="19"/>
      <c r="G161" s="19"/>
      <c r="H161" s="19"/>
      <c r="I161" s="19"/>
      <c r="J161" s="19"/>
      <c r="K161" s="19"/>
      <c r="L161" s="2"/>
      <c r="M161" s="19"/>
      <c r="N161" s="19"/>
      <c r="O161" s="84"/>
      <c r="P161" s="19"/>
      <c r="Q161" s="91"/>
      <c r="R161" s="19"/>
      <c r="S161" s="91"/>
      <c r="T161" s="19"/>
      <c r="U161" s="375"/>
    </row>
    <row r="162" spans="1:21" ht="15.75" customHeight="1" x14ac:dyDescent="0.25">
      <c r="A162" s="2"/>
      <c r="B162" s="19"/>
      <c r="C162" s="374"/>
      <c r="D162" s="2"/>
      <c r="E162" s="19"/>
      <c r="F162" s="19"/>
      <c r="G162" s="19"/>
      <c r="H162" s="19"/>
      <c r="I162" s="19"/>
      <c r="J162" s="19"/>
      <c r="K162" s="19"/>
      <c r="L162" s="2"/>
      <c r="M162" s="19"/>
      <c r="N162" s="19"/>
      <c r="O162" s="84"/>
      <c r="P162" s="19"/>
      <c r="Q162" s="91"/>
      <c r="R162" s="19"/>
      <c r="S162" s="91"/>
      <c r="T162" s="19"/>
      <c r="U162" s="375"/>
    </row>
    <row r="163" spans="1:21" ht="15.75" customHeight="1" x14ac:dyDescent="0.25">
      <c r="A163" s="2"/>
      <c r="B163" s="19"/>
      <c r="C163" s="374"/>
      <c r="D163" s="2"/>
      <c r="E163" s="19"/>
      <c r="F163" s="19"/>
      <c r="G163" s="19"/>
      <c r="H163" s="19"/>
      <c r="I163" s="19"/>
      <c r="J163" s="19"/>
      <c r="K163" s="19"/>
      <c r="L163" s="2"/>
      <c r="M163" s="19"/>
      <c r="N163" s="19"/>
      <c r="O163" s="84"/>
      <c r="P163" s="19"/>
      <c r="Q163" s="91"/>
      <c r="R163" s="19"/>
      <c r="S163" s="91"/>
      <c r="T163" s="19"/>
      <c r="U163" s="375"/>
    </row>
    <row r="164" spans="1:21" ht="15.75" customHeight="1" x14ac:dyDescent="0.25">
      <c r="A164" s="2"/>
      <c r="B164" s="19"/>
      <c r="C164" s="374"/>
      <c r="D164" s="2"/>
      <c r="E164" s="19"/>
      <c r="F164" s="19"/>
      <c r="G164" s="19"/>
      <c r="H164" s="19"/>
      <c r="I164" s="19"/>
      <c r="J164" s="19"/>
      <c r="K164" s="19"/>
      <c r="L164" s="2"/>
      <c r="M164" s="19"/>
      <c r="N164" s="19"/>
      <c r="O164" s="84"/>
      <c r="P164" s="19"/>
      <c r="Q164" s="91"/>
      <c r="R164" s="19"/>
      <c r="S164" s="91"/>
      <c r="T164" s="19"/>
      <c r="U164" s="375"/>
    </row>
    <row r="165" spans="1:21" ht="15.75" customHeight="1" x14ac:dyDescent="0.25">
      <c r="A165" s="2"/>
      <c r="B165" s="19"/>
      <c r="C165" s="374"/>
      <c r="D165" s="2"/>
      <c r="E165" s="19"/>
      <c r="F165" s="19"/>
      <c r="G165" s="19"/>
      <c r="H165" s="19"/>
      <c r="I165" s="19"/>
      <c r="J165" s="19"/>
      <c r="K165" s="19"/>
      <c r="L165" s="2"/>
      <c r="M165" s="19"/>
      <c r="N165" s="19"/>
      <c r="O165" s="84"/>
      <c r="P165" s="19"/>
      <c r="Q165" s="91"/>
      <c r="R165" s="19"/>
      <c r="S165" s="91"/>
      <c r="T165" s="19"/>
      <c r="U165" s="375"/>
    </row>
    <row r="166" spans="1:21" ht="15.75" customHeight="1" x14ac:dyDescent="0.25">
      <c r="A166" s="2"/>
      <c r="B166" s="19"/>
      <c r="C166" s="374"/>
      <c r="D166" s="2"/>
      <c r="E166" s="19"/>
      <c r="F166" s="19"/>
      <c r="G166" s="19"/>
      <c r="H166" s="19"/>
      <c r="I166" s="19"/>
      <c r="J166" s="19"/>
      <c r="K166" s="19"/>
      <c r="L166" s="2"/>
      <c r="M166" s="19"/>
      <c r="N166" s="19"/>
      <c r="O166" s="84"/>
      <c r="P166" s="19"/>
      <c r="Q166" s="91"/>
      <c r="R166" s="19"/>
      <c r="S166" s="91"/>
      <c r="T166" s="19"/>
      <c r="U166" s="375"/>
    </row>
    <row r="167" spans="1:21" ht="15.75" customHeight="1" x14ac:dyDescent="0.25">
      <c r="A167" s="2"/>
      <c r="B167" s="19"/>
      <c r="C167" s="374"/>
      <c r="D167" s="2"/>
      <c r="E167" s="19"/>
      <c r="F167" s="19"/>
      <c r="G167" s="19"/>
      <c r="H167" s="19"/>
      <c r="I167" s="19"/>
      <c r="J167" s="19"/>
      <c r="K167" s="19"/>
      <c r="L167" s="2"/>
      <c r="M167" s="19"/>
      <c r="N167" s="19"/>
      <c r="O167" s="84"/>
      <c r="P167" s="19"/>
      <c r="Q167" s="91"/>
      <c r="R167" s="19"/>
      <c r="S167" s="91"/>
      <c r="T167" s="19"/>
      <c r="U167" s="375"/>
    </row>
    <row r="168" spans="1:21" ht="15.75" customHeight="1" x14ac:dyDescent="0.25">
      <c r="A168" s="2"/>
      <c r="B168" s="19"/>
      <c r="C168" s="374"/>
      <c r="D168" s="2"/>
      <c r="E168" s="19"/>
      <c r="F168" s="19"/>
      <c r="G168" s="19"/>
      <c r="H168" s="19"/>
      <c r="I168" s="19"/>
      <c r="J168" s="19"/>
      <c r="K168" s="19"/>
      <c r="L168" s="2"/>
      <c r="M168" s="19"/>
      <c r="N168" s="19"/>
      <c r="O168" s="84"/>
      <c r="P168" s="19"/>
      <c r="Q168" s="91"/>
      <c r="R168" s="19"/>
      <c r="S168" s="91"/>
      <c r="T168" s="19"/>
      <c r="U168" s="375"/>
    </row>
    <row r="169" spans="1:21" ht="15.75" customHeight="1" x14ac:dyDescent="0.25">
      <c r="A169" s="2"/>
      <c r="B169" s="19"/>
      <c r="C169" s="374"/>
      <c r="D169" s="2"/>
      <c r="E169" s="19"/>
      <c r="F169" s="19"/>
      <c r="G169" s="19"/>
      <c r="H169" s="19"/>
      <c r="I169" s="19"/>
      <c r="J169" s="19"/>
      <c r="K169" s="19"/>
      <c r="L169" s="2"/>
      <c r="M169" s="19"/>
      <c r="N169" s="19"/>
      <c r="O169" s="84"/>
      <c r="P169" s="19"/>
      <c r="Q169" s="91"/>
      <c r="R169" s="19"/>
      <c r="S169" s="91"/>
      <c r="T169" s="19"/>
      <c r="U169" s="375"/>
    </row>
    <row r="170" spans="1:21" ht="15.75" customHeight="1" x14ac:dyDescent="0.25">
      <c r="A170" s="2"/>
      <c r="B170" s="19"/>
      <c r="C170" s="374"/>
      <c r="D170" s="2"/>
      <c r="E170" s="19"/>
      <c r="F170" s="19"/>
      <c r="G170" s="19"/>
      <c r="H170" s="19"/>
      <c r="I170" s="19"/>
      <c r="J170" s="19"/>
      <c r="K170" s="19"/>
      <c r="L170" s="2"/>
      <c r="M170" s="19"/>
      <c r="N170" s="19"/>
      <c r="O170" s="84"/>
      <c r="P170" s="19"/>
      <c r="Q170" s="91"/>
      <c r="R170" s="19"/>
      <c r="S170" s="91"/>
      <c r="T170" s="19"/>
      <c r="U170" s="375"/>
    </row>
    <row r="171" spans="1:21" ht="15.75" customHeight="1" x14ac:dyDescent="0.25">
      <c r="A171" s="2"/>
      <c r="B171" s="19"/>
      <c r="C171" s="374"/>
      <c r="D171" s="2"/>
      <c r="E171" s="19"/>
      <c r="F171" s="19"/>
      <c r="G171" s="19"/>
      <c r="H171" s="19"/>
      <c r="I171" s="19"/>
      <c r="J171" s="19"/>
      <c r="K171" s="19"/>
      <c r="L171" s="2"/>
      <c r="M171" s="19"/>
      <c r="N171" s="19"/>
      <c r="O171" s="84"/>
      <c r="P171" s="19"/>
      <c r="Q171" s="91"/>
      <c r="R171" s="19"/>
      <c r="S171" s="91"/>
      <c r="T171" s="19"/>
      <c r="U171" s="375"/>
    </row>
    <row r="172" spans="1:21" ht="15.75" customHeight="1" x14ac:dyDescent="0.25">
      <c r="A172" s="2"/>
      <c r="B172" s="19"/>
      <c r="C172" s="374"/>
      <c r="D172" s="2"/>
      <c r="E172" s="19"/>
      <c r="F172" s="19"/>
      <c r="G172" s="19"/>
      <c r="H172" s="19"/>
      <c r="I172" s="19"/>
      <c r="J172" s="19"/>
      <c r="K172" s="19"/>
      <c r="L172" s="2"/>
      <c r="M172" s="19"/>
      <c r="N172" s="19"/>
      <c r="O172" s="84"/>
      <c r="P172" s="19"/>
      <c r="Q172" s="91"/>
      <c r="R172" s="19"/>
      <c r="S172" s="91"/>
      <c r="T172" s="19"/>
      <c r="U172" s="375"/>
    </row>
    <row r="173" spans="1:21" ht="15.75" customHeight="1" x14ac:dyDescent="0.25">
      <c r="A173" s="2"/>
      <c r="B173" s="19"/>
      <c r="C173" s="374"/>
      <c r="D173" s="2"/>
      <c r="E173" s="19"/>
      <c r="F173" s="19"/>
      <c r="G173" s="19"/>
      <c r="H173" s="19"/>
      <c r="I173" s="19"/>
      <c r="J173" s="19"/>
      <c r="K173" s="19"/>
      <c r="L173" s="2"/>
      <c r="M173" s="19"/>
      <c r="N173" s="19"/>
      <c r="O173" s="84"/>
      <c r="P173" s="19"/>
      <c r="Q173" s="91"/>
      <c r="R173" s="19"/>
      <c r="S173" s="91"/>
      <c r="T173" s="19"/>
      <c r="U173" s="375"/>
    </row>
    <row r="174" spans="1:21" ht="15.75" customHeight="1" x14ac:dyDescent="0.25">
      <c r="A174" s="2"/>
      <c r="B174" s="19"/>
      <c r="C174" s="374"/>
      <c r="D174" s="2"/>
      <c r="E174" s="19"/>
      <c r="F174" s="19"/>
      <c r="G174" s="19"/>
      <c r="H174" s="19"/>
      <c r="I174" s="19"/>
      <c r="J174" s="19"/>
      <c r="K174" s="19"/>
      <c r="L174" s="2"/>
      <c r="M174" s="19"/>
      <c r="N174" s="19"/>
      <c r="O174" s="84"/>
      <c r="P174" s="19"/>
      <c r="Q174" s="91"/>
      <c r="R174" s="19"/>
      <c r="S174" s="91"/>
      <c r="T174" s="19"/>
      <c r="U174" s="375"/>
    </row>
    <row r="175" spans="1:21" ht="15.75" customHeight="1" x14ac:dyDescent="0.25">
      <c r="A175" s="2"/>
      <c r="B175" s="19"/>
      <c r="C175" s="374"/>
      <c r="D175" s="2"/>
      <c r="E175" s="19"/>
      <c r="F175" s="19"/>
      <c r="G175" s="19"/>
      <c r="H175" s="19"/>
      <c r="I175" s="19"/>
      <c r="J175" s="19"/>
      <c r="K175" s="19"/>
      <c r="L175" s="2"/>
      <c r="M175" s="19"/>
      <c r="N175" s="19"/>
      <c r="O175" s="84"/>
      <c r="P175" s="19"/>
      <c r="Q175" s="91"/>
      <c r="R175" s="19"/>
      <c r="S175" s="91"/>
      <c r="T175" s="19"/>
      <c r="U175" s="375"/>
    </row>
    <row r="176" spans="1:21" ht="15.75" customHeight="1" x14ac:dyDescent="0.25">
      <c r="A176" s="2"/>
      <c r="B176" s="19"/>
      <c r="C176" s="374"/>
      <c r="D176" s="2"/>
      <c r="E176" s="19"/>
      <c r="F176" s="19"/>
      <c r="G176" s="19"/>
      <c r="H176" s="19"/>
      <c r="I176" s="19"/>
      <c r="J176" s="19"/>
      <c r="K176" s="19"/>
      <c r="L176" s="2"/>
      <c r="M176" s="19"/>
      <c r="N176" s="19"/>
      <c r="O176" s="84"/>
      <c r="P176" s="19"/>
      <c r="Q176" s="91"/>
      <c r="R176" s="19"/>
      <c r="S176" s="91"/>
      <c r="T176" s="19"/>
      <c r="U176" s="375"/>
    </row>
    <row r="177" spans="1:21" ht="15.75" customHeight="1" x14ac:dyDescent="0.25">
      <c r="A177" s="2"/>
      <c r="B177" s="19"/>
      <c r="C177" s="374"/>
      <c r="D177" s="2"/>
      <c r="E177" s="19"/>
      <c r="F177" s="19"/>
      <c r="G177" s="19"/>
      <c r="H177" s="19"/>
      <c r="I177" s="19"/>
      <c r="J177" s="19"/>
      <c r="K177" s="19"/>
      <c r="L177" s="2"/>
      <c r="M177" s="19"/>
      <c r="N177" s="19"/>
      <c r="O177" s="84"/>
      <c r="P177" s="19"/>
      <c r="Q177" s="91"/>
      <c r="R177" s="19"/>
      <c r="S177" s="91"/>
      <c r="T177" s="19"/>
      <c r="U177" s="375"/>
    </row>
    <row r="178" spans="1:21" ht="15.75" customHeight="1" x14ac:dyDescent="0.25">
      <c r="A178" s="2"/>
      <c r="B178" s="19"/>
      <c r="C178" s="374"/>
      <c r="D178" s="2"/>
      <c r="E178" s="19"/>
      <c r="F178" s="19"/>
      <c r="G178" s="19"/>
      <c r="H178" s="19"/>
      <c r="I178" s="19"/>
      <c r="J178" s="19"/>
      <c r="K178" s="19"/>
      <c r="L178" s="2"/>
      <c r="M178" s="19"/>
      <c r="N178" s="19"/>
      <c r="O178" s="84"/>
      <c r="P178" s="19"/>
      <c r="Q178" s="91"/>
      <c r="R178" s="19"/>
      <c r="S178" s="91"/>
      <c r="T178" s="19"/>
      <c r="U178" s="375"/>
    </row>
    <row r="179" spans="1:21" ht="15.75" customHeight="1" x14ac:dyDescent="0.25">
      <c r="A179" s="2"/>
      <c r="B179" s="19"/>
      <c r="C179" s="374"/>
      <c r="D179" s="2"/>
      <c r="E179" s="19"/>
      <c r="F179" s="19"/>
      <c r="G179" s="19"/>
      <c r="H179" s="19"/>
      <c r="I179" s="19"/>
      <c r="J179" s="19"/>
      <c r="K179" s="19"/>
      <c r="L179" s="2"/>
      <c r="M179" s="19"/>
      <c r="N179" s="19"/>
      <c r="O179" s="84"/>
      <c r="P179" s="19"/>
      <c r="Q179" s="91"/>
      <c r="R179" s="19"/>
      <c r="S179" s="91"/>
      <c r="T179" s="19"/>
      <c r="U179" s="375"/>
    </row>
    <row r="180" spans="1:21" ht="15.75" customHeight="1" x14ac:dyDescent="0.25">
      <c r="A180" s="2"/>
      <c r="B180" s="19"/>
      <c r="C180" s="374"/>
      <c r="D180" s="2"/>
      <c r="E180" s="19"/>
      <c r="F180" s="19"/>
      <c r="G180" s="19"/>
      <c r="H180" s="19"/>
      <c r="I180" s="19"/>
      <c r="J180" s="19"/>
      <c r="K180" s="19"/>
      <c r="L180" s="2"/>
      <c r="M180" s="19"/>
      <c r="N180" s="19"/>
      <c r="O180" s="84"/>
      <c r="P180" s="19"/>
      <c r="Q180" s="91"/>
      <c r="R180" s="19"/>
      <c r="S180" s="91"/>
      <c r="T180" s="19"/>
      <c r="U180" s="375"/>
    </row>
    <row r="181" spans="1:21" ht="15.75" customHeight="1" x14ac:dyDescent="0.25">
      <c r="A181" s="2"/>
      <c r="B181" s="19"/>
      <c r="C181" s="374"/>
      <c r="D181" s="2"/>
      <c r="E181" s="19"/>
      <c r="F181" s="19"/>
      <c r="G181" s="19"/>
      <c r="H181" s="19"/>
      <c r="I181" s="19"/>
      <c r="J181" s="19"/>
      <c r="K181" s="19"/>
      <c r="L181" s="2"/>
      <c r="M181" s="19"/>
      <c r="N181" s="19"/>
      <c r="O181" s="84"/>
      <c r="P181" s="19"/>
      <c r="Q181" s="91"/>
      <c r="R181" s="19"/>
      <c r="S181" s="91"/>
      <c r="T181" s="19"/>
      <c r="U181" s="375"/>
    </row>
    <row r="182" spans="1:21" ht="15.75" customHeight="1" x14ac:dyDescent="0.25">
      <c r="A182" s="2"/>
      <c r="B182" s="19"/>
      <c r="C182" s="374"/>
      <c r="D182" s="2"/>
      <c r="E182" s="19"/>
      <c r="F182" s="19"/>
      <c r="G182" s="19"/>
      <c r="H182" s="19"/>
      <c r="I182" s="19"/>
      <c r="J182" s="19"/>
      <c r="K182" s="19"/>
      <c r="L182" s="2"/>
      <c r="M182" s="19"/>
      <c r="N182" s="19"/>
      <c r="O182" s="84"/>
      <c r="P182" s="19"/>
      <c r="Q182" s="91"/>
      <c r="R182" s="19"/>
      <c r="S182" s="91"/>
      <c r="T182" s="19"/>
      <c r="U182" s="375"/>
    </row>
    <row r="183" spans="1:21" ht="15.75" customHeight="1" x14ac:dyDescent="0.25">
      <c r="A183" s="2"/>
      <c r="B183" s="19"/>
      <c r="C183" s="374"/>
      <c r="D183" s="2"/>
      <c r="E183" s="19"/>
      <c r="F183" s="19"/>
      <c r="G183" s="19"/>
      <c r="H183" s="19"/>
      <c r="I183" s="19"/>
      <c r="J183" s="19"/>
      <c r="K183" s="19"/>
      <c r="L183" s="2"/>
      <c r="M183" s="19"/>
      <c r="N183" s="19"/>
      <c r="O183" s="84"/>
      <c r="P183" s="19"/>
      <c r="Q183" s="91"/>
      <c r="R183" s="19"/>
      <c r="S183" s="91"/>
      <c r="T183" s="19"/>
      <c r="U183" s="375"/>
    </row>
    <row r="184" spans="1:21" ht="15.75" customHeight="1" x14ac:dyDescent="0.25">
      <c r="A184" s="2"/>
      <c r="B184" s="19"/>
      <c r="C184" s="374"/>
      <c r="D184" s="2"/>
      <c r="E184" s="19"/>
      <c r="F184" s="19"/>
      <c r="G184" s="19"/>
      <c r="H184" s="19"/>
      <c r="I184" s="19"/>
      <c r="J184" s="19"/>
      <c r="K184" s="19"/>
      <c r="L184" s="2"/>
      <c r="M184" s="19"/>
      <c r="N184" s="19"/>
      <c r="O184" s="84"/>
      <c r="P184" s="19"/>
      <c r="Q184" s="91"/>
      <c r="R184" s="19"/>
      <c r="S184" s="91"/>
      <c r="T184" s="19"/>
      <c r="U184" s="375"/>
    </row>
    <row r="185" spans="1:21" ht="15.75" customHeight="1" x14ac:dyDescent="0.25">
      <c r="A185" s="2"/>
      <c r="B185" s="19"/>
      <c r="C185" s="374"/>
      <c r="D185" s="2"/>
      <c r="E185" s="19"/>
      <c r="F185" s="19"/>
      <c r="G185" s="19"/>
      <c r="H185" s="19"/>
      <c r="I185" s="19"/>
      <c r="J185" s="19"/>
      <c r="K185" s="19"/>
      <c r="L185" s="2"/>
      <c r="M185" s="19"/>
      <c r="N185" s="19"/>
      <c r="O185" s="84"/>
      <c r="P185" s="19"/>
      <c r="Q185" s="91"/>
      <c r="R185" s="19"/>
      <c r="S185" s="91"/>
      <c r="T185" s="19"/>
      <c r="U185" s="375"/>
    </row>
    <row r="186" spans="1:21" ht="15.75" customHeight="1" x14ac:dyDescent="0.25">
      <c r="A186" s="2"/>
      <c r="B186" s="19"/>
      <c r="C186" s="374"/>
      <c r="D186" s="2"/>
      <c r="E186" s="19"/>
      <c r="F186" s="19"/>
      <c r="G186" s="19"/>
      <c r="H186" s="19"/>
      <c r="I186" s="19"/>
      <c r="J186" s="19"/>
      <c r="K186" s="19"/>
      <c r="L186" s="2"/>
      <c r="M186" s="19"/>
      <c r="N186" s="19"/>
      <c r="O186" s="84"/>
      <c r="P186" s="19"/>
      <c r="Q186" s="91"/>
      <c r="R186" s="19"/>
      <c r="S186" s="91"/>
      <c r="T186" s="19"/>
      <c r="U186" s="375"/>
    </row>
    <row r="187" spans="1:21" ht="15.75" customHeight="1" x14ac:dyDescent="0.25">
      <c r="A187" s="2"/>
      <c r="B187" s="19"/>
      <c r="C187" s="374"/>
      <c r="D187" s="2"/>
      <c r="E187" s="19"/>
      <c r="F187" s="19"/>
      <c r="G187" s="19"/>
      <c r="H187" s="19"/>
      <c r="I187" s="19"/>
      <c r="J187" s="19"/>
      <c r="K187" s="19"/>
      <c r="L187" s="2"/>
      <c r="M187" s="19"/>
      <c r="N187" s="19"/>
      <c r="O187" s="84"/>
      <c r="P187" s="19"/>
      <c r="Q187" s="91"/>
      <c r="R187" s="19"/>
      <c r="S187" s="91"/>
      <c r="T187" s="19"/>
      <c r="U187" s="375"/>
    </row>
    <row r="188" spans="1:21" ht="15.75" customHeight="1" x14ac:dyDescent="0.25">
      <c r="A188" s="2"/>
      <c r="B188" s="19"/>
      <c r="C188" s="374"/>
      <c r="D188" s="2"/>
      <c r="E188" s="19"/>
      <c r="F188" s="19"/>
      <c r="G188" s="19"/>
      <c r="H188" s="19"/>
      <c r="I188" s="19"/>
      <c r="J188" s="19"/>
      <c r="K188" s="19"/>
      <c r="L188" s="2"/>
      <c r="M188" s="19"/>
      <c r="N188" s="19"/>
      <c r="O188" s="84"/>
      <c r="P188" s="19"/>
      <c r="Q188" s="91"/>
      <c r="R188" s="19"/>
      <c r="S188" s="91"/>
      <c r="T188" s="19"/>
      <c r="U188" s="375"/>
    </row>
    <row r="189" spans="1:21" ht="15.75" customHeight="1" x14ac:dyDescent="0.25">
      <c r="A189" s="2"/>
      <c r="B189" s="19"/>
      <c r="C189" s="374"/>
      <c r="D189" s="2"/>
      <c r="E189" s="19"/>
      <c r="F189" s="19"/>
      <c r="G189" s="19"/>
      <c r="H189" s="19"/>
      <c r="I189" s="19"/>
      <c r="J189" s="19"/>
      <c r="K189" s="19"/>
      <c r="L189" s="2"/>
      <c r="M189" s="19"/>
      <c r="N189" s="19"/>
      <c r="O189" s="84"/>
      <c r="P189" s="19"/>
      <c r="Q189" s="91"/>
      <c r="R189" s="19"/>
      <c r="S189" s="91"/>
      <c r="T189" s="19"/>
      <c r="U189" s="375"/>
    </row>
    <row r="190" spans="1:21" ht="15.75" customHeight="1" x14ac:dyDescent="0.25">
      <c r="A190" s="2"/>
      <c r="B190" s="19"/>
      <c r="C190" s="374"/>
      <c r="D190" s="2"/>
      <c r="E190" s="19"/>
      <c r="F190" s="19"/>
      <c r="G190" s="19"/>
      <c r="H190" s="19"/>
      <c r="I190" s="19"/>
      <c r="J190" s="19"/>
      <c r="K190" s="19"/>
      <c r="L190" s="2"/>
      <c r="M190" s="19"/>
      <c r="N190" s="19"/>
      <c r="O190" s="84"/>
      <c r="P190" s="19"/>
      <c r="Q190" s="91"/>
      <c r="R190" s="19"/>
      <c r="S190" s="91"/>
      <c r="T190" s="19"/>
      <c r="U190" s="375"/>
    </row>
    <row r="191" spans="1:21" ht="15.75" customHeight="1" x14ac:dyDescent="0.25">
      <c r="A191" s="2"/>
      <c r="B191" s="19"/>
      <c r="C191" s="374"/>
      <c r="D191" s="2"/>
      <c r="E191" s="19"/>
      <c r="F191" s="19"/>
      <c r="G191" s="19"/>
      <c r="H191" s="19"/>
      <c r="I191" s="19"/>
      <c r="J191" s="19"/>
      <c r="K191" s="19"/>
      <c r="L191" s="2"/>
      <c r="M191" s="19"/>
      <c r="N191" s="19"/>
      <c r="O191" s="84"/>
      <c r="P191" s="19"/>
      <c r="Q191" s="91"/>
      <c r="R191" s="19"/>
      <c r="S191" s="91"/>
      <c r="T191" s="19"/>
      <c r="U191" s="375"/>
    </row>
    <row r="192" spans="1:21" ht="15.75" customHeight="1" x14ac:dyDescent="0.25">
      <c r="A192" s="2"/>
      <c r="B192" s="19"/>
      <c r="C192" s="374"/>
      <c r="D192" s="2"/>
      <c r="E192" s="19"/>
      <c r="F192" s="19"/>
      <c r="G192" s="19"/>
      <c r="H192" s="19"/>
      <c r="I192" s="19"/>
      <c r="J192" s="19"/>
      <c r="K192" s="19"/>
      <c r="L192" s="2"/>
      <c r="M192" s="19"/>
      <c r="N192" s="19"/>
      <c r="O192" s="84"/>
      <c r="P192" s="19"/>
      <c r="Q192" s="91"/>
      <c r="R192" s="19"/>
      <c r="S192" s="91"/>
      <c r="T192" s="19"/>
      <c r="U192" s="375"/>
    </row>
    <row r="193" spans="1:21" ht="15.75" customHeight="1" x14ac:dyDescent="0.25">
      <c r="A193" s="2"/>
      <c r="B193" s="19"/>
      <c r="C193" s="374"/>
      <c r="D193" s="2"/>
      <c r="E193" s="19"/>
      <c r="F193" s="19"/>
      <c r="G193" s="19"/>
      <c r="H193" s="19"/>
      <c r="I193" s="19"/>
      <c r="J193" s="19"/>
      <c r="K193" s="19"/>
      <c r="L193" s="2"/>
      <c r="M193" s="19"/>
      <c r="N193" s="19"/>
      <c r="O193" s="84"/>
      <c r="P193" s="19"/>
      <c r="Q193" s="91"/>
      <c r="R193" s="19"/>
      <c r="S193" s="91"/>
      <c r="T193" s="19"/>
      <c r="U193" s="375"/>
    </row>
    <row r="194" spans="1:21" ht="15.75" customHeight="1" x14ac:dyDescent="0.25">
      <c r="A194" s="2"/>
      <c r="B194" s="19"/>
      <c r="C194" s="374"/>
      <c r="D194" s="2"/>
      <c r="E194" s="19"/>
      <c r="F194" s="19"/>
      <c r="G194" s="19"/>
      <c r="H194" s="19"/>
      <c r="I194" s="19"/>
      <c r="J194" s="19"/>
      <c r="K194" s="19"/>
      <c r="L194" s="2"/>
      <c r="M194" s="19"/>
      <c r="N194" s="19"/>
      <c r="O194" s="84"/>
      <c r="P194" s="19"/>
      <c r="Q194" s="91"/>
      <c r="R194" s="19"/>
      <c r="S194" s="91"/>
      <c r="T194" s="19"/>
      <c r="U194" s="375"/>
    </row>
    <row r="195" spans="1:21" ht="15.75" customHeight="1" x14ac:dyDescent="0.25">
      <c r="A195" s="2"/>
      <c r="B195" s="19"/>
      <c r="C195" s="374"/>
      <c r="D195" s="2"/>
      <c r="E195" s="19"/>
      <c r="F195" s="19"/>
      <c r="G195" s="19"/>
      <c r="H195" s="19"/>
      <c r="I195" s="19"/>
      <c r="J195" s="19"/>
      <c r="K195" s="19"/>
      <c r="L195" s="2"/>
      <c r="M195" s="19"/>
      <c r="N195" s="19"/>
      <c r="O195" s="84"/>
      <c r="P195" s="19"/>
      <c r="Q195" s="91"/>
      <c r="R195" s="19"/>
      <c r="S195" s="91"/>
      <c r="T195" s="19"/>
      <c r="U195" s="375"/>
    </row>
    <row r="196" spans="1:21" ht="15.75" customHeight="1" x14ac:dyDescent="0.25">
      <c r="A196" s="2"/>
      <c r="B196" s="19"/>
      <c r="C196" s="374"/>
      <c r="D196" s="2"/>
      <c r="E196" s="19"/>
      <c r="F196" s="19"/>
      <c r="G196" s="19"/>
      <c r="H196" s="19"/>
      <c r="I196" s="19"/>
      <c r="J196" s="19"/>
      <c r="K196" s="19"/>
      <c r="L196" s="2"/>
      <c r="M196" s="19"/>
      <c r="N196" s="19"/>
      <c r="O196" s="84"/>
      <c r="P196" s="19"/>
      <c r="Q196" s="91"/>
      <c r="R196" s="19"/>
      <c r="S196" s="91"/>
      <c r="T196" s="19"/>
      <c r="U196" s="375"/>
    </row>
    <row r="197" spans="1:21" ht="15.75" customHeight="1" x14ac:dyDescent="0.25">
      <c r="A197" s="2"/>
      <c r="B197" s="19"/>
      <c r="C197" s="374"/>
      <c r="D197" s="2"/>
      <c r="E197" s="19"/>
      <c r="F197" s="19"/>
      <c r="G197" s="19"/>
      <c r="H197" s="19"/>
      <c r="I197" s="19"/>
      <c r="J197" s="19"/>
      <c r="K197" s="19"/>
      <c r="L197" s="2"/>
      <c r="M197" s="19"/>
      <c r="N197" s="19"/>
      <c r="O197" s="84"/>
      <c r="P197" s="19"/>
      <c r="Q197" s="91"/>
      <c r="R197" s="19"/>
      <c r="S197" s="91"/>
      <c r="T197" s="19"/>
      <c r="U197" s="375"/>
    </row>
    <row r="198" spans="1:21" ht="15.75" customHeight="1" x14ac:dyDescent="0.25">
      <c r="A198" s="2"/>
      <c r="B198" s="19"/>
      <c r="C198" s="374"/>
      <c r="D198" s="2"/>
      <c r="E198" s="19"/>
      <c r="F198" s="19"/>
      <c r="G198" s="19"/>
      <c r="H198" s="19"/>
      <c r="I198" s="19"/>
      <c r="J198" s="19"/>
      <c r="K198" s="19"/>
      <c r="L198" s="2"/>
      <c r="M198" s="19"/>
      <c r="N198" s="19"/>
      <c r="O198" s="84"/>
      <c r="P198" s="19"/>
      <c r="Q198" s="91"/>
      <c r="R198" s="19"/>
      <c r="S198" s="91"/>
      <c r="T198" s="19"/>
      <c r="U198" s="375"/>
    </row>
    <row r="199" spans="1:21" ht="15.75" customHeight="1" x14ac:dyDescent="0.25">
      <c r="A199" s="2"/>
      <c r="B199" s="19"/>
      <c r="C199" s="374"/>
      <c r="D199" s="2"/>
      <c r="E199" s="19"/>
      <c r="F199" s="19"/>
      <c r="G199" s="19"/>
      <c r="H199" s="19"/>
      <c r="I199" s="19"/>
      <c r="J199" s="19"/>
      <c r="K199" s="19"/>
      <c r="L199" s="2"/>
      <c r="M199" s="19"/>
      <c r="N199" s="19"/>
      <c r="O199" s="84"/>
      <c r="P199" s="19"/>
      <c r="Q199" s="91"/>
      <c r="R199" s="19"/>
      <c r="S199" s="91"/>
      <c r="T199" s="19"/>
      <c r="U199" s="375"/>
    </row>
    <row r="200" spans="1:21" ht="15.75" customHeight="1" x14ac:dyDescent="0.25">
      <c r="A200" s="2"/>
      <c r="B200" s="19"/>
      <c r="C200" s="374"/>
      <c r="D200" s="2"/>
      <c r="E200" s="19"/>
      <c r="F200" s="19"/>
      <c r="G200" s="19"/>
      <c r="H200" s="19"/>
      <c r="I200" s="19"/>
      <c r="J200" s="19"/>
      <c r="K200" s="19"/>
      <c r="L200" s="2"/>
      <c r="M200" s="19"/>
      <c r="N200" s="19"/>
      <c r="O200" s="84"/>
      <c r="P200" s="19"/>
      <c r="Q200" s="91"/>
      <c r="R200" s="19"/>
      <c r="S200" s="91"/>
      <c r="T200" s="19"/>
      <c r="U200" s="375"/>
    </row>
    <row r="201" spans="1:21" ht="15.75" customHeight="1" x14ac:dyDescent="0.25">
      <c r="A201" s="2"/>
      <c r="B201" s="19"/>
      <c r="C201" s="374"/>
      <c r="D201" s="2"/>
      <c r="E201" s="19"/>
      <c r="F201" s="19"/>
      <c r="G201" s="19"/>
      <c r="H201" s="19"/>
      <c r="I201" s="19"/>
      <c r="J201" s="19"/>
      <c r="K201" s="19"/>
      <c r="L201" s="2"/>
      <c r="M201" s="19"/>
      <c r="N201" s="19"/>
      <c r="O201" s="84"/>
      <c r="P201" s="19"/>
      <c r="Q201" s="91"/>
      <c r="R201" s="19"/>
      <c r="S201" s="91"/>
      <c r="T201" s="19"/>
      <c r="U201" s="375"/>
    </row>
    <row r="202" spans="1:21" ht="15.75" customHeight="1" x14ac:dyDescent="0.25">
      <c r="A202" s="2"/>
      <c r="B202" s="19"/>
      <c r="C202" s="374"/>
      <c r="D202" s="2"/>
      <c r="E202" s="19"/>
      <c r="F202" s="19"/>
      <c r="G202" s="19"/>
      <c r="H202" s="19"/>
      <c r="I202" s="19"/>
      <c r="J202" s="19"/>
      <c r="K202" s="19"/>
      <c r="L202" s="2"/>
      <c r="M202" s="19"/>
      <c r="N202" s="19"/>
      <c r="O202" s="84"/>
      <c r="P202" s="19"/>
      <c r="Q202" s="91"/>
      <c r="R202" s="19"/>
      <c r="S202" s="91"/>
      <c r="T202" s="19"/>
      <c r="U202" s="375"/>
    </row>
    <row r="203" spans="1:21" ht="15.75" customHeight="1" x14ac:dyDescent="0.25">
      <c r="A203" s="2"/>
      <c r="B203" s="19"/>
      <c r="C203" s="374"/>
      <c r="D203" s="2"/>
      <c r="E203" s="19"/>
      <c r="F203" s="19"/>
      <c r="G203" s="19"/>
      <c r="H203" s="19"/>
      <c r="I203" s="19"/>
      <c r="J203" s="19"/>
      <c r="K203" s="19"/>
      <c r="L203" s="2"/>
      <c r="M203" s="19"/>
      <c r="N203" s="19"/>
      <c r="O203" s="84"/>
      <c r="P203" s="19"/>
      <c r="Q203" s="91"/>
      <c r="R203" s="19"/>
      <c r="S203" s="91"/>
      <c r="T203" s="19"/>
      <c r="U203" s="375"/>
    </row>
    <row r="204" spans="1:21" ht="15.75" customHeight="1" x14ac:dyDescent="0.25">
      <c r="A204" s="2"/>
      <c r="B204" s="19"/>
      <c r="C204" s="374"/>
      <c r="D204" s="2"/>
      <c r="E204" s="19"/>
      <c r="F204" s="19"/>
      <c r="G204" s="19"/>
      <c r="H204" s="19"/>
      <c r="I204" s="19"/>
      <c r="J204" s="19"/>
      <c r="K204" s="19"/>
      <c r="L204" s="2"/>
      <c r="M204" s="19"/>
      <c r="N204" s="19"/>
      <c r="O204" s="84"/>
      <c r="P204" s="19"/>
      <c r="Q204" s="91"/>
      <c r="R204" s="19"/>
      <c r="S204" s="91"/>
      <c r="T204" s="19"/>
      <c r="U204" s="375"/>
    </row>
    <row r="205" spans="1:21" ht="15.75" customHeight="1" x14ac:dyDescent="0.25">
      <c r="A205" s="2"/>
      <c r="B205" s="19"/>
      <c r="C205" s="374"/>
      <c r="D205" s="2"/>
      <c r="E205" s="19"/>
      <c r="F205" s="19"/>
      <c r="G205" s="19"/>
      <c r="H205" s="19"/>
      <c r="I205" s="19"/>
      <c r="J205" s="19"/>
      <c r="K205" s="19"/>
      <c r="L205" s="2"/>
      <c r="M205" s="19"/>
      <c r="N205" s="19"/>
      <c r="O205" s="84"/>
      <c r="P205" s="19"/>
      <c r="Q205" s="91"/>
      <c r="R205" s="19"/>
      <c r="S205" s="91"/>
      <c r="T205" s="19"/>
      <c r="U205" s="375"/>
    </row>
    <row r="206" spans="1:21" ht="15.75" customHeight="1" x14ac:dyDescent="0.25">
      <c r="A206" s="2"/>
      <c r="B206" s="19"/>
      <c r="C206" s="374"/>
      <c r="D206" s="2"/>
      <c r="E206" s="19"/>
      <c r="F206" s="19"/>
      <c r="G206" s="19"/>
      <c r="H206" s="19"/>
      <c r="I206" s="19"/>
      <c r="J206" s="19"/>
      <c r="K206" s="19"/>
      <c r="L206" s="2"/>
      <c r="M206" s="19"/>
      <c r="N206" s="19"/>
      <c r="O206" s="84"/>
      <c r="P206" s="19"/>
      <c r="Q206" s="91"/>
      <c r="R206" s="19"/>
      <c r="S206" s="91"/>
      <c r="T206" s="19"/>
      <c r="U206" s="375"/>
    </row>
    <row r="207" spans="1:21" ht="15.75" customHeight="1" x14ac:dyDescent="0.25">
      <c r="A207" s="2"/>
      <c r="B207" s="19"/>
      <c r="C207" s="374"/>
      <c r="D207" s="2"/>
      <c r="E207" s="19"/>
      <c r="F207" s="19"/>
      <c r="G207" s="19"/>
      <c r="H207" s="19"/>
      <c r="I207" s="19"/>
      <c r="J207" s="19"/>
      <c r="K207" s="19"/>
      <c r="L207" s="2"/>
      <c r="M207" s="19"/>
      <c r="N207" s="19"/>
      <c r="O207" s="84"/>
      <c r="P207" s="19"/>
      <c r="Q207" s="91"/>
      <c r="R207" s="19"/>
      <c r="S207" s="91"/>
      <c r="T207" s="19"/>
      <c r="U207" s="375"/>
    </row>
    <row r="208" spans="1:21" ht="15.75" customHeight="1" x14ac:dyDescent="0.25">
      <c r="A208" s="2"/>
      <c r="B208" s="19"/>
      <c r="C208" s="374"/>
      <c r="D208" s="2"/>
      <c r="E208" s="19"/>
      <c r="F208" s="19"/>
      <c r="G208" s="19"/>
      <c r="H208" s="19"/>
      <c r="I208" s="19"/>
      <c r="J208" s="19"/>
      <c r="K208" s="19"/>
      <c r="L208" s="2"/>
      <c r="M208" s="19"/>
      <c r="N208" s="19"/>
      <c r="O208" s="84"/>
      <c r="P208" s="19"/>
      <c r="Q208" s="91"/>
      <c r="R208" s="19"/>
      <c r="S208" s="91"/>
      <c r="T208" s="19"/>
      <c r="U208" s="375"/>
    </row>
    <row r="209" spans="1:21" ht="15.75" customHeight="1" x14ac:dyDescent="0.25">
      <c r="A209" s="2"/>
      <c r="B209" s="19"/>
      <c r="C209" s="374"/>
      <c r="D209" s="2"/>
      <c r="E209" s="19"/>
      <c r="F209" s="19"/>
      <c r="G209" s="19"/>
      <c r="H209" s="19"/>
      <c r="I209" s="19"/>
      <c r="J209" s="19"/>
      <c r="K209" s="19"/>
      <c r="L209" s="2"/>
      <c r="M209" s="19"/>
      <c r="N209" s="19"/>
      <c r="O209" s="84"/>
      <c r="P209" s="19"/>
      <c r="Q209" s="91"/>
      <c r="R209" s="19"/>
      <c r="S209" s="91"/>
      <c r="T209" s="19"/>
      <c r="U209" s="375"/>
    </row>
    <row r="210" spans="1:21" ht="15.75" customHeight="1" x14ac:dyDescent="0.25">
      <c r="A210" s="2"/>
      <c r="B210" s="19"/>
      <c r="C210" s="374"/>
      <c r="D210" s="2"/>
      <c r="E210" s="19"/>
      <c r="F210" s="19"/>
      <c r="G210" s="19"/>
      <c r="H210" s="19"/>
      <c r="I210" s="19"/>
      <c r="J210" s="19"/>
      <c r="K210" s="19"/>
      <c r="L210" s="2"/>
      <c r="M210" s="19"/>
      <c r="N210" s="19"/>
      <c r="O210" s="84"/>
      <c r="P210" s="19"/>
      <c r="Q210" s="91"/>
      <c r="R210" s="19"/>
      <c r="S210" s="91"/>
      <c r="T210" s="19"/>
      <c r="U210" s="375"/>
    </row>
    <row r="211" spans="1:21" ht="15.75" customHeight="1" x14ac:dyDescent="0.25">
      <c r="A211" s="2"/>
      <c r="B211" s="19"/>
      <c r="C211" s="374"/>
      <c r="D211" s="2"/>
      <c r="E211" s="19"/>
      <c r="F211" s="19"/>
      <c r="G211" s="19"/>
      <c r="H211" s="19"/>
      <c r="I211" s="19"/>
      <c r="J211" s="19"/>
      <c r="K211" s="19"/>
      <c r="L211" s="2"/>
      <c r="M211" s="19"/>
      <c r="N211" s="19"/>
      <c r="O211" s="84"/>
      <c r="P211" s="19"/>
      <c r="Q211" s="91"/>
      <c r="R211" s="19"/>
      <c r="S211" s="91"/>
      <c r="T211" s="19"/>
      <c r="U211" s="375"/>
    </row>
    <row r="212" spans="1:21" ht="15.75" customHeight="1" x14ac:dyDescent="0.25">
      <c r="A212" s="2"/>
      <c r="B212" s="19"/>
      <c r="C212" s="374"/>
      <c r="D212" s="2"/>
      <c r="E212" s="19"/>
      <c r="F212" s="19"/>
      <c r="G212" s="19"/>
      <c r="H212" s="19"/>
      <c r="I212" s="19"/>
      <c r="J212" s="19"/>
      <c r="K212" s="19"/>
      <c r="L212" s="2"/>
      <c r="M212" s="19"/>
      <c r="N212" s="19"/>
      <c r="O212" s="84"/>
      <c r="P212" s="19"/>
      <c r="Q212" s="91"/>
      <c r="R212" s="19"/>
      <c r="S212" s="91"/>
      <c r="T212" s="19"/>
      <c r="U212" s="375"/>
    </row>
    <row r="213" spans="1:21" ht="15.75" customHeight="1" x14ac:dyDescent="0.25">
      <c r="A213" s="2"/>
      <c r="B213" s="19"/>
      <c r="C213" s="374"/>
      <c r="D213" s="2"/>
      <c r="E213" s="19"/>
      <c r="F213" s="19"/>
      <c r="G213" s="19"/>
      <c r="H213" s="19"/>
      <c r="I213" s="19"/>
      <c r="J213" s="19"/>
      <c r="K213" s="19"/>
      <c r="L213" s="2"/>
      <c r="M213" s="19"/>
      <c r="N213" s="19"/>
      <c r="O213" s="84"/>
      <c r="P213" s="19"/>
      <c r="Q213" s="91"/>
      <c r="R213" s="19"/>
      <c r="S213" s="91"/>
      <c r="T213" s="19"/>
      <c r="U213" s="375"/>
    </row>
    <row r="214" spans="1:21" ht="15.75" customHeight="1" x14ac:dyDescent="0.25">
      <c r="A214" s="2"/>
      <c r="B214" s="19"/>
      <c r="C214" s="374"/>
      <c r="D214" s="2"/>
      <c r="E214" s="19"/>
      <c r="F214" s="19"/>
      <c r="G214" s="19"/>
      <c r="H214" s="19"/>
      <c r="I214" s="19"/>
      <c r="J214" s="19"/>
      <c r="K214" s="19"/>
      <c r="L214" s="2"/>
      <c r="M214" s="19"/>
      <c r="N214" s="19"/>
      <c r="O214" s="84"/>
      <c r="P214" s="19"/>
      <c r="Q214" s="91"/>
      <c r="R214" s="19"/>
      <c r="S214" s="91"/>
      <c r="T214" s="19"/>
      <c r="U214" s="375"/>
    </row>
    <row r="215" spans="1:21" ht="15.75" customHeight="1" x14ac:dyDescent="0.25">
      <c r="A215" s="2"/>
      <c r="B215" s="19"/>
      <c r="C215" s="374"/>
      <c r="D215" s="2"/>
      <c r="E215" s="19"/>
      <c r="F215" s="19"/>
      <c r="G215" s="19"/>
      <c r="H215" s="19"/>
      <c r="I215" s="19"/>
      <c r="J215" s="19"/>
      <c r="K215" s="19"/>
      <c r="L215" s="2"/>
      <c r="M215" s="19"/>
      <c r="N215" s="19"/>
      <c r="O215" s="84"/>
      <c r="P215" s="19"/>
      <c r="Q215" s="91"/>
      <c r="R215" s="19"/>
      <c r="S215" s="91"/>
      <c r="T215" s="19"/>
      <c r="U215" s="375"/>
    </row>
    <row r="216" spans="1:21" ht="15.75" customHeight="1" x14ac:dyDescent="0.25">
      <c r="A216" s="2"/>
      <c r="B216" s="19"/>
      <c r="C216" s="374"/>
      <c r="D216" s="2"/>
      <c r="E216" s="19"/>
      <c r="F216" s="19"/>
      <c r="G216" s="19"/>
      <c r="H216" s="19"/>
      <c r="I216" s="19"/>
      <c r="J216" s="19"/>
      <c r="K216" s="19"/>
      <c r="L216" s="2"/>
      <c r="M216" s="19"/>
      <c r="N216" s="19"/>
      <c r="O216" s="84"/>
      <c r="P216" s="19"/>
      <c r="Q216" s="91"/>
      <c r="R216" s="19"/>
      <c r="S216" s="91"/>
      <c r="T216" s="19"/>
      <c r="U216" s="375"/>
    </row>
    <row r="217" spans="1:21" ht="15.75" customHeight="1" x14ac:dyDescent="0.25">
      <c r="A217" s="2"/>
      <c r="B217" s="19"/>
      <c r="C217" s="374"/>
      <c r="D217" s="2"/>
      <c r="E217" s="19"/>
      <c r="F217" s="19"/>
      <c r="G217" s="19"/>
      <c r="H217" s="19"/>
      <c r="I217" s="19"/>
      <c r="J217" s="19"/>
      <c r="K217" s="19"/>
      <c r="L217" s="2"/>
      <c r="M217" s="19"/>
      <c r="N217" s="19"/>
      <c r="O217" s="84"/>
      <c r="P217" s="19"/>
      <c r="Q217" s="91"/>
      <c r="R217" s="19"/>
      <c r="S217" s="91"/>
      <c r="T217" s="19"/>
      <c r="U217" s="375"/>
    </row>
    <row r="218" spans="1:21" ht="15.75" customHeight="1" x14ac:dyDescent="0.25">
      <c r="A218" s="2"/>
      <c r="B218" s="19"/>
      <c r="C218" s="374"/>
      <c r="D218" s="2"/>
      <c r="E218" s="19"/>
      <c r="F218" s="19"/>
      <c r="G218" s="19"/>
      <c r="H218" s="19"/>
      <c r="I218" s="19"/>
      <c r="J218" s="19"/>
      <c r="K218" s="19"/>
      <c r="L218" s="2"/>
      <c r="M218" s="19"/>
      <c r="N218" s="19"/>
      <c r="O218" s="84"/>
      <c r="P218" s="19"/>
      <c r="Q218" s="91"/>
      <c r="R218" s="19"/>
      <c r="S218" s="91"/>
      <c r="T218" s="19"/>
      <c r="U218" s="375"/>
    </row>
    <row r="219" spans="1:21" ht="15.75" customHeight="1" x14ac:dyDescent="0.25">
      <c r="A219" s="2"/>
      <c r="B219" s="19"/>
      <c r="C219" s="374"/>
      <c r="D219" s="2"/>
      <c r="E219" s="19"/>
      <c r="F219" s="19"/>
      <c r="G219" s="19"/>
      <c r="H219" s="19"/>
      <c r="I219" s="19"/>
      <c r="J219" s="19"/>
      <c r="K219" s="19"/>
      <c r="L219" s="2"/>
      <c r="M219" s="19"/>
      <c r="N219" s="19"/>
      <c r="O219" s="84"/>
      <c r="P219" s="19"/>
      <c r="Q219" s="91"/>
      <c r="R219" s="19"/>
      <c r="S219" s="91"/>
      <c r="T219" s="19"/>
      <c r="U219" s="375"/>
    </row>
    <row r="220" spans="1:21" ht="15.75" customHeight="1" x14ac:dyDescent="0.25">
      <c r="A220" s="2"/>
      <c r="B220" s="19"/>
      <c r="C220" s="374"/>
      <c r="D220" s="2"/>
      <c r="E220" s="19"/>
      <c r="F220" s="19"/>
      <c r="G220" s="19"/>
      <c r="H220" s="19"/>
      <c r="I220" s="19"/>
      <c r="J220" s="19"/>
      <c r="K220" s="19"/>
      <c r="L220" s="2"/>
      <c r="M220" s="19"/>
      <c r="N220" s="19"/>
      <c r="O220" s="84"/>
      <c r="P220" s="19"/>
      <c r="Q220" s="91"/>
      <c r="R220" s="19"/>
      <c r="S220" s="91"/>
      <c r="T220" s="19"/>
      <c r="U220" s="375"/>
    </row>
    <row r="221" spans="1:21" ht="15.75" customHeight="1" x14ac:dyDescent="0.25">
      <c r="A221" s="2"/>
      <c r="B221" s="19"/>
      <c r="C221" s="374"/>
      <c r="D221" s="2"/>
      <c r="E221" s="19"/>
      <c r="F221" s="19"/>
      <c r="G221" s="19"/>
      <c r="H221" s="19"/>
      <c r="I221" s="19"/>
      <c r="J221" s="19"/>
      <c r="K221" s="19"/>
      <c r="L221" s="2"/>
      <c r="M221" s="19"/>
      <c r="N221" s="19"/>
      <c r="O221" s="84"/>
      <c r="P221" s="19"/>
      <c r="Q221" s="91"/>
      <c r="R221" s="19"/>
      <c r="S221" s="91"/>
      <c r="T221" s="19"/>
      <c r="U221" s="375"/>
    </row>
    <row r="222" spans="1:21" ht="15.75" customHeight="1" x14ac:dyDescent="0.25">
      <c r="A222" s="2"/>
      <c r="B222" s="19"/>
      <c r="C222" s="374"/>
      <c r="D222" s="2"/>
      <c r="E222" s="19"/>
      <c r="F222" s="19"/>
      <c r="G222" s="19"/>
      <c r="H222" s="19"/>
      <c r="I222" s="19"/>
      <c r="J222" s="19"/>
      <c r="K222" s="19"/>
      <c r="L222" s="2"/>
      <c r="M222" s="19"/>
      <c r="N222" s="19"/>
      <c r="O222" s="84"/>
      <c r="P222" s="19"/>
      <c r="Q222" s="91"/>
      <c r="R222" s="19"/>
      <c r="S222" s="91"/>
      <c r="T222" s="19"/>
      <c r="U222" s="375"/>
    </row>
    <row r="223" spans="1:21" ht="15.75" customHeight="1" x14ac:dyDescent="0.25">
      <c r="A223" s="2"/>
      <c r="B223" s="19"/>
      <c r="C223" s="374"/>
      <c r="D223" s="2"/>
      <c r="E223" s="19"/>
      <c r="F223" s="19"/>
      <c r="G223" s="19"/>
      <c r="H223" s="19"/>
      <c r="I223" s="19"/>
      <c r="J223" s="19"/>
      <c r="K223" s="19"/>
      <c r="L223" s="2"/>
      <c r="M223" s="19"/>
      <c r="N223" s="19"/>
      <c r="O223" s="84"/>
      <c r="P223" s="19"/>
      <c r="Q223" s="91"/>
      <c r="R223" s="19"/>
      <c r="S223" s="91"/>
      <c r="T223" s="19"/>
      <c r="U223" s="375"/>
    </row>
    <row r="224" spans="1:21" ht="15.75" customHeight="1" x14ac:dyDescent="0.25">
      <c r="A224" s="2"/>
      <c r="B224" s="19"/>
      <c r="C224" s="374"/>
      <c r="D224" s="2"/>
      <c r="E224" s="19"/>
      <c r="F224" s="19"/>
      <c r="G224" s="19"/>
      <c r="H224" s="19"/>
      <c r="I224" s="19"/>
      <c r="J224" s="19"/>
      <c r="K224" s="19"/>
      <c r="L224" s="2"/>
      <c r="M224" s="19"/>
      <c r="N224" s="19"/>
      <c r="O224" s="84"/>
      <c r="P224" s="19"/>
      <c r="Q224" s="91"/>
      <c r="R224" s="19"/>
      <c r="S224" s="91"/>
      <c r="T224" s="19"/>
      <c r="U224" s="375"/>
    </row>
    <row r="225" spans="1:21" ht="15.75" customHeight="1" x14ac:dyDescent="0.25">
      <c r="A225" s="2"/>
      <c r="B225" s="19"/>
      <c r="C225" s="374"/>
      <c r="D225" s="2"/>
      <c r="E225" s="19"/>
      <c r="F225" s="19"/>
      <c r="G225" s="19"/>
      <c r="H225" s="19"/>
      <c r="I225" s="19"/>
      <c r="J225" s="19"/>
      <c r="K225" s="19"/>
      <c r="L225" s="2"/>
      <c r="M225" s="19"/>
      <c r="N225" s="19"/>
      <c r="O225" s="84"/>
      <c r="P225" s="19"/>
      <c r="Q225" s="91"/>
      <c r="R225" s="19"/>
      <c r="S225" s="91"/>
      <c r="T225" s="19"/>
      <c r="U225" s="375"/>
    </row>
    <row r="226" spans="1:21" ht="15.75" customHeight="1" x14ac:dyDescent="0.25">
      <c r="A226" s="2"/>
      <c r="B226" s="19"/>
      <c r="C226" s="374"/>
      <c r="D226" s="2"/>
      <c r="E226" s="19"/>
      <c r="F226" s="19"/>
      <c r="G226" s="19"/>
      <c r="H226" s="19"/>
      <c r="I226" s="19"/>
      <c r="J226" s="19"/>
      <c r="K226" s="19"/>
      <c r="L226" s="2"/>
      <c r="M226" s="19"/>
      <c r="N226" s="19"/>
      <c r="O226" s="84"/>
      <c r="P226" s="19"/>
      <c r="Q226" s="91"/>
      <c r="R226" s="19"/>
      <c r="S226" s="91"/>
      <c r="T226" s="19"/>
      <c r="U226" s="375"/>
    </row>
    <row r="227" spans="1:21" ht="15.75" customHeight="1" x14ac:dyDescent="0.25">
      <c r="A227" s="2"/>
      <c r="B227" s="19"/>
      <c r="C227" s="374"/>
      <c r="D227" s="2"/>
      <c r="E227" s="19"/>
      <c r="F227" s="19"/>
      <c r="G227" s="19"/>
      <c r="H227" s="19"/>
      <c r="I227" s="19"/>
      <c r="J227" s="19"/>
      <c r="K227" s="19"/>
      <c r="L227" s="2"/>
      <c r="M227" s="19"/>
      <c r="N227" s="19"/>
      <c r="O227" s="84"/>
      <c r="P227" s="19"/>
      <c r="Q227" s="91"/>
      <c r="R227" s="19"/>
      <c r="S227" s="91"/>
      <c r="T227" s="19"/>
      <c r="U227" s="375"/>
    </row>
    <row r="228" spans="1:21" ht="15.75" customHeight="1" x14ac:dyDescent="0.25">
      <c r="A228" s="2"/>
      <c r="B228" s="19"/>
      <c r="C228" s="374"/>
      <c r="D228" s="2"/>
      <c r="E228" s="19"/>
      <c r="F228" s="19"/>
      <c r="G228" s="19"/>
      <c r="H228" s="19"/>
      <c r="I228" s="19"/>
      <c r="J228" s="19"/>
      <c r="K228" s="19"/>
      <c r="L228" s="2"/>
      <c r="M228" s="19"/>
      <c r="N228" s="19"/>
      <c r="O228" s="84"/>
      <c r="P228" s="19"/>
      <c r="Q228" s="91"/>
      <c r="R228" s="19"/>
      <c r="S228" s="91"/>
      <c r="T228" s="19"/>
      <c r="U228" s="375"/>
    </row>
    <row r="229" spans="1:21" ht="15.75" customHeight="1" x14ac:dyDescent="0.25">
      <c r="A229" s="2"/>
      <c r="B229" s="19"/>
      <c r="C229" s="374"/>
      <c r="D229" s="2"/>
      <c r="E229" s="19"/>
      <c r="F229" s="19"/>
      <c r="G229" s="19"/>
      <c r="H229" s="19"/>
      <c r="I229" s="19"/>
      <c r="J229" s="19"/>
      <c r="K229" s="19"/>
      <c r="L229" s="2"/>
      <c r="M229" s="19"/>
      <c r="N229" s="19"/>
      <c r="O229" s="84"/>
      <c r="P229" s="19"/>
      <c r="Q229" s="91"/>
      <c r="R229" s="19"/>
      <c r="S229" s="91"/>
      <c r="T229" s="19"/>
      <c r="U229" s="375"/>
    </row>
    <row r="230" spans="1:21" ht="15.75" customHeight="1" x14ac:dyDescent="0.25">
      <c r="A230" s="2"/>
      <c r="B230" s="19"/>
      <c r="C230" s="374"/>
      <c r="D230" s="2"/>
      <c r="E230" s="19"/>
      <c r="F230" s="19"/>
      <c r="G230" s="19"/>
      <c r="H230" s="19"/>
      <c r="I230" s="19"/>
      <c r="J230" s="19"/>
      <c r="K230" s="19"/>
      <c r="L230" s="2"/>
      <c r="M230" s="19"/>
      <c r="N230" s="19"/>
      <c r="O230" s="84"/>
      <c r="P230" s="19"/>
      <c r="Q230" s="91"/>
      <c r="R230" s="19"/>
      <c r="S230" s="91"/>
      <c r="T230" s="19"/>
      <c r="U230" s="375"/>
    </row>
    <row r="231" spans="1:21" ht="15.75" customHeight="1" x14ac:dyDescent="0.25">
      <c r="A231" s="2"/>
      <c r="B231" s="19"/>
      <c r="C231" s="374"/>
      <c r="D231" s="2"/>
      <c r="E231" s="19"/>
      <c r="F231" s="19"/>
      <c r="G231" s="19"/>
      <c r="H231" s="19"/>
      <c r="I231" s="19"/>
      <c r="J231" s="19"/>
      <c r="K231" s="19"/>
      <c r="L231" s="2"/>
      <c r="M231" s="19"/>
      <c r="N231" s="19"/>
      <c r="O231" s="84"/>
      <c r="P231" s="19"/>
      <c r="Q231" s="91"/>
      <c r="R231" s="19"/>
      <c r="S231" s="91"/>
      <c r="T231" s="19"/>
      <c r="U231" s="375"/>
    </row>
    <row r="232" spans="1:21" ht="15.75" customHeight="1" x14ac:dyDescent="0.25">
      <c r="A232" s="2"/>
      <c r="B232" s="19"/>
      <c r="C232" s="374"/>
      <c r="D232" s="2"/>
      <c r="E232" s="19"/>
      <c r="F232" s="19"/>
      <c r="G232" s="19"/>
      <c r="H232" s="19"/>
      <c r="I232" s="19"/>
      <c r="J232" s="19"/>
      <c r="K232" s="19"/>
      <c r="L232" s="2"/>
      <c r="M232" s="19"/>
      <c r="N232" s="19"/>
      <c r="O232" s="84"/>
      <c r="P232" s="19"/>
      <c r="Q232" s="91"/>
      <c r="R232" s="19"/>
      <c r="S232" s="91"/>
      <c r="T232" s="19"/>
      <c r="U232" s="375"/>
    </row>
    <row r="233" spans="1:21" ht="15.75" customHeight="1" x14ac:dyDescent="0.25">
      <c r="A233" s="2"/>
      <c r="B233" s="19"/>
      <c r="C233" s="374"/>
      <c r="D233" s="2"/>
      <c r="E233" s="19"/>
      <c r="F233" s="19"/>
      <c r="G233" s="19"/>
      <c r="H233" s="19"/>
      <c r="I233" s="19"/>
      <c r="J233" s="19"/>
      <c r="K233" s="19"/>
      <c r="L233" s="2"/>
      <c r="M233" s="19"/>
      <c r="N233" s="19"/>
      <c r="O233" s="84"/>
      <c r="P233" s="19"/>
      <c r="Q233" s="91"/>
      <c r="R233" s="19"/>
      <c r="S233" s="91"/>
      <c r="T233" s="19"/>
      <c r="U233" s="375"/>
    </row>
    <row r="234" spans="1:21" ht="15.75" customHeight="1" x14ac:dyDescent="0.25">
      <c r="A234" s="2"/>
      <c r="B234" s="19"/>
      <c r="C234" s="374"/>
      <c r="D234" s="2"/>
      <c r="E234" s="19"/>
      <c r="F234" s="19"/>
      <c r="G234" s="19"/>
      <c r="H234" s="19"/>
      <c r="I234" s="19"/>
      <c r="J234" s="19"/>
      <c r="K234" s="19"/>
      <c r="L234" s="2"/>
      <c r="M234" s="19"/>
      <c r="N234" s="19"/>
      <c r="O234" s="84"/>
      <c r="P234" s="19"/>
      <c r="Q234" s="91"/>
      <c r="R234" s="19"/>
      <c r="S234" s="91"/>
      <c r="T234" s="19"/>
      <c r="U234" s="375"/>
    </row>
    <row r="235" spans="1:21" ht="15.75" customHeight="1" x14ac:dyDescent="0.25">
      <c r="A235" s="2"/>
      <c r="B235" s="19"/>
      <c r="C235" s="374"/>
      <c r="D235" s="2"/>
      <c r="E235" s="19"/>
      <c r="F235" s="19"/>
      <c r="G235" s="19"/>
      <c r="H235" s="19"/>
      <c r="I235" s="19"/>
      <c r="J235" s="19"/>
      <c r="K235" s="19"/>
      <c r="L235" s="2"/>
      <c r="M235" s="19"/>
      <c r="N235" s="19"/>
      <c r="O235" s="84"/>
      <c r="P235" s="19"/>
      <c r="Q235" s="91"/>
      <c r="R235" s="19"/>
      <c r="S235" s="91"/>
      <c r="T235" s="19"/>
      <c r="U235" s="375"/>
    </row>
    <row r="236" spans="1:21" ht="15.75" customHeight="1" x14ac:dyDescent="0.25">
      <c r="A236" s="2"/>
      <c r="B236" s="19"/>
      <c r="C236" s="374"/>
      <c r="D236" s="2"/>
      <c r="E236" s="19"/>
      <c r="F236" s="19"/>
      <c r="G236" s="19"/>
      <c r="H236" s="19"/>
      <c r="I236" s="19"/>
      <c r="J236" s="19"/>
      <c r="K236" s="19"/>
      <c r="L236" s="2"/>
      <c r="M236" s="19"/>
      <c r="N236" s="19"/>
      <c r="O236" s="84"/>
      <c r="P236" s="19"/>
      <c r="Q236" s="91"/>
      <c r="R236" s="19"/>
      <c r="S236" s="91"/>
      <c r="T236" s="19"/>
      <c r="U236" s="375"/>
    </row>
    <row r="237" spans="1:21" ht="15.75" customHeight="1" x14ac:dyDescent="0.25">
      <c r="A237" s="2"/>
      <c r="B237" s="19"/>
      <c r="C237" s="374"/>
      <c r="D237" s="2"/>
      <c r="E237" s="19"/>
      <c r="F237" s="19"/>
      <c r="G237" s="19"/>
      <c r="H237" s="19"/>
      <c r="I237" s="19"/>
      <c r="J237" s="19"/>
      <c r="K237" s="19"/>
      <c r="L237" s="2"/>
      <c r="M237" s="19"/>
      <c r="N237" s="19"/>
      <c r="O237" s="84"/>
      <c r="P237" s="19"/>
      <c r="Q237" s="91"/>
      <c r="R237" s="19"/>
      <c r="S237" s="91"/>
      <c r="T237" s="19"/>
      <c r="U237" s="375"/>
    </row>
    <row r="238" spans="1:21" ht="15.75" customHeight="1" x14ac:dyDescent="0.25">
      <c r="A238" s="2"/>
      <c r="B238" s="19"/>
      <c r="C238" s="374"/>
      <c r="D238" s="2"/>
      <c r="E238" s="19"/>
      <c r="F238" s="19"/>
      <c r="G238" s="19"/>
      <c r="H238" s="19"/>
      <c r="I238" s="19"/>
      <c r="J238" s="19"/>
      <c r="K238" s="19"/>
      <c r="L238" s="2"/>
      <c r="M238" s="19"/>
      <c r="N238" s="19"/>
      <c r="O238" s="84"/>
      <c r="P238" s="19"/>
      <c r="Q238" s="91"/>
      <c r="R238" s="19"/>
      <c r="S238" s="91"/>
      <c r="T238" s="19"/>
      <c r="U238" s="375"/>
    </row>
    <row r="239" spans="1:21" ht="15.75" customHeight="1" x14ac:dyDescent="0.25">
      <c r="A239" s="2"/>
      <c r="B239" s="19"/>
      <c r="C239" s="374"/>
      <c r="D239" s="2"/>
      <c r="E239" s="19"/>
      <c r="F239" s="19"/>
      <c r="G239" s="19"/>
      <c r="H239" s="19"/>
      <c r="I239" s="19"/>
      <c r="J239" s="19"/>
      <c r="K239" s="19"/>
      <c r="L239" s="2"/>
      <c r="M239" s="19"/>
      <c r="N239" s="19"/>
      <c r="O239" s="84"/>
      <c r="P239" s="19"/>
      <c r="Q239" s="91"/>
      <c r="R239" s="19"/>
      <c r="S239" s="91"/>
      <c r="T239" s="19"/>
      <c r="U239" s="375"/>
    </row>
    <row r="240" spans="1:21" ht="15.75" customHeight="1" x14ac:dyDescent="0.25">
      <c r="A240" s="2"/>
      <c r="B240" s="19"/>
      <c r="C240" s="374"/>
      <c r="D240" s="2"/>
      <c r="E240" s="19"/>
      <c r="F240" s="19"/>
      <c r="G240" s="19"/>
      <c r="H240" s="19"/>
      <c r="I240" s="19"/>
      <c r="J240" s="19"/>
      <c r="K240" s="19"/>
      <c r="L240" s="2"/>
      <c r="M240" s="19"/>
      <c r="N240" s="19"/>
      <c r="O240" s="84"/>
      <c r="P240" s="19"/>
      <c r="Q240" s="91"/>
      <c r="R240" s="19"/>
      <c r="S240" s="91"/>
      <c r="T240" s="19"/>
      <c r="U240" s="375"/>
    </row>
    <row r="241" spans="1:21" ht="15.75" customHeight="1" x14ac:dyDescent="0.25">
      <c r="A241" s="2"/>
      <c r="B241" s="19"/>
      <c r="C241" s="374"/>
      <c r="D241" s="2"/>
      <c r="E241" s="19"/>
      <c r="F241" s="19"/>
      <c r="G241" s="19"/>
      <c r="H241" s="19"/>
      <c r="I241" s="19"/>
      <c r="J241" s="19"/>
      <c r="K241" s="19"/>
      <c r="L241" s="2"/>
      <c r="M241" s="19"/>
      <c r="N241" s="19"/>
      <c r="O241" s="84"/>
      <c r="P241" s="19"/>
      <c r="Q241" s="91"/>
      <c r="R241" s="19"/>
      <c r="S241" s="91"/>
      <c r="T241" s="19"/>
      <c r="U241" s="375"/>
    </row>
    <row r="242" spans="1:21" ht="15.75" customHeight="1" x14ac:dyDescent="0.25">
      <c r="A242" s="2"/>
      <c r="B242" s="19"/>
      <c r="C242" s="374"/>
      <c r="D242" s="2"/>
      <c r="E242" s="19"/>
      <c r="F242" s="19"/>
      <c r="G242" s="19"/>
      <c r="H242" s="19"/>
      <c r="I242" s="19"/>
      <c r="J242" s="19"/>
      <c r="K242" s="19"/>
      <c r="L242" s="2"/>
      <c r="M242" s="19"/>
      <c r="N242" s="19"/>
      <c r="O242" s="84"/>
      <c r="P242" s="19"/>
      <c r="Q242" s="91"/>
      <c r="R242" s="19"/>
      <c r="S242" s="91"/>
      <c r="T242" s="19"/>
      <c r="U242" s="375"/>
    </row>
    <row r="243" spans="1:21" ht="15.75" customHeight="1" x14ac:dyDescent="0.25">
      <c r="A243" s="2"/>
      <c r="B243" s="19"/>
      <c r="C243" s="374"/>
      <c r="D243" s="2"/>
      <c r="E243" s="19"/>
      <c r="F243" s="19"/>
      <c r="G243" s="19"/>
      <c r="H243" s="19"/>
      <c r="I243" s="19"/>
      <c r="J243" s="19"/>
      <c r="K243" s="19"/>
      <c r="L243" s="2"/>
      <c r="M243" s="19"/>
      <c r="N243" s="19"/>
      <c r="O243" s="84"/>
      <c r="P243" s="19"/>
      <c r="Q243" s="91"/>
      <c r="R243" s="19"/>
      <c r="S243" s="91"/>
      <c r="T243" s="19"/>
      <c r="U243" s="375"/>
    </row>
    <row r="244" spans="1:21" ht="15.75" customHeight="1" x14ac:dyDescent="0.25">
      <c r="A244" s="2"/>
      <c r="B244" s="19"/>
      <c r="C244" s="374"/>
      <c r="D244" s="2"/>
      <c r="E244" s="19"/>
      <c r="F244" s="19"/>
      <c r="G244" s="19"/>
      <c r="H244" s="19"/>
      <c r="I244" s="19"/>
      <c r="J244" s="19"/>
      <c r="K244" s="19"/>
      <c r="L244" s="2"/>
      <c r="M244" s="19"/>
      <c r="N244" s="19"/>
      <c r="O244" s="84"/>
      <c r="P244" s="19"/>
      <c r="Q244" s="91"/>
      <c r="R244" s="19"/>
      <c r="S244" s="91"/>
      <c r="T244" s="19"/>
      <c r="U244" s="375"/>
    </row>
    <row r="245" spans="1:21" ht="15.75" customHeight="1" x14ac:dyDescent="0.25">
      <c r="A245" s="2"/>
      <c r="B245" s="19"/>
      <c r="C245" s="374"/>
      <c r="D245" s="2"/>
      <c r="E245" s="19"/>
      <c r="F245" s="19"/>
      <c r="G245" s="19"/>
      <c r="H245" s="19"/>
      <c r="I245" s="19"/>
      <c r="J245" s="19"/>
      <c r="K245" s="19"/>
      <c r="L245" s="2"/>
      <c r="M245" s="19"/>
      <c r="N245" s="19"/>
      <c r="O245" s="84"/>
      <c r="P245" s="19"/>
      <c r="Q245" s="91"/>
      <c r="R245" s="19"/>
      <c r="S245" s="91"/>
      <c r="T245" s="19"/>
      <c r="U245" s="375"/>
    </row>
    <row r="246" spans="1:21" ht="15.75" customHeight="1" x14ac:dyDescent="0.25">
      <c r="A246" s="2"/>
      <c r="B246" s="19"/>
      <c r="C246" s="374"/>
      <c r="D246" s="2"/>
      <c r="E246" s="19"/>
      <c r="F246" s="19"/>
      <c r="G246" s="19"/>
      <c r="H246" s="19"/>
      <c r="I246" s="19"/>
      <c r="J246" s="19"/>
      <c r="K246" s="19"/>
      <c r="L246" s="2"/>
      <c r="M246" s="19"/>
      <c r="N246" s="19"/>
      <c r="O246" s="84"/>
      <c r="P246" s="19"/>
      <c r="Q246" s="91"/>
      <c r="R246" s="19"/>
      <c r="S246" s="91"/>
      <c r="T246" s="19"/>
      <c r="U246" s="375"/>
    </row>
    <row r="247" spans="1:21" ht="15.75" customHeight="1" x14ac:dyDescent="0.25">
      <c r="A247" s="2"/>
      <c r="B247" s="19"/>
      <c r="C247" s="374"/>
      <c r="D247" s="2"/>
      <c r="E247" s="19"/>
      <c r="F247" s="19"/>
      <c r="G247" s="19"/>
      <c r="H247" s="19"/>
      <c r="I247" s="19"/>
      <c r="J247" s="19"/>
      <c r="K247" s="19"/>
      <c r="L247" s="2"/>
      <c r="M247" s="19"/>
      <c r="N247" s="19"/>
      <c r="O247" s="84"/>
      <c r="P247" s="19"/>
      <c r="Q247" s="91"/>
      <c r="R247" s="19"/>
      <c r="S247" s="91"/>
      <c r="T247" s="19"/>
      <c r="U247" s="375"/>
    </row>
    <row r="248" spans="1:21" ht="15.75" customHeight="1" x14ac:dyDescent="0.25">
      <c r="A248" s="2"/>
      <c r="B248" s="19"/>
      <c r="C248" s="374"/>
      <c r="D248" s="2"/>
      <c r="E248" s="19"/>
      <c r="F248" s="19"/>
      <c r="G248" s="19"/>
      <c r="H248" s="19"/>
      <c r="I248" s="19"/>
      <c r="J248" s="19"/>
      <c r="K248" s="19"/>
      <c r="L248" s="2"/>
      <c r="M248" s="19"/>
      <c r="N248" s="19"/>
      <c r="O248" s="84"/>
      <c r="P248" s="19"/>
      <c r="Q248" s="91"/>
      <c r="R248" s="19"/>
      <c r="S248" s="91"/>
      <c r="T248" s="19"/>
      <c r="U248" s="375"/>
    </row>
    <row r="249" spans="1:21" ht="15.75" customHeight="1" x14ac:dyDescent="0.25">
      <c r="A249" s="2"/>
      <c r="B249" s="19"/>
      <c r="C249" s="374"/>
      <c r="D249" s="2"/>
      <c r="E249" s="19"/>
      <c r="F249" s="19"/>
      <c r="G249" s="19"/>
      <c r="H249" s="19"/>
      <c r="I249" s="19"/>
      <c r="J249" s="19"/>
      <c r="K249" s="19"/>
      <c r="L249" s="2"/>
      <c r="M249" s="19"/>
      <c r="N249" s="19"/>
      <c r="O249" s="84"/>
      <c r="P249" s="19"/>
      <c r="Q249" s="91"/>
      <c r="R249" s="19"/>
      <c r="S249" s="91"/>
      <c r="T249" s="19"/>
      <c r="U249" s="375"/>
    </row>
    <row r="250" spans="1:21" ht="15.75" customHeight="1" x14ac:dyDescent="0.25">
      <c r="A250" s="2"/>
      <c r="B250" s="19"/>
      <c r="C250" s="374"/>
      <c r="D250" s="2"/>
      <c r="E250" s="19"/>
      <c r="F250" s="19"/>
      <c r="G250" s="19"/>
      <c r="H250" s="19"/>
      <c r="I250" s="19"/>
      <c r="J250" s="19"/>
      <c r="K250" s="19"/>
      <c r="L250" s="2"/>
      <c r="M250" s="19"/>
      <c r="N250" s="19"/>
      <c r="O250" s="84"/>
      <c r="P250" s="19"/>
      <c r="Q250" s="91"/>
      <c r="R250" s="19"/>
      <c r="S250" s="91"/>
      <c r="T250" s="19"/>
      <c r="U250" s="375"/>
    </row>
    <row r="251" spans="1:21" ht="15.75" customHeight="1" x14ac:dyDescent="0.25">
      <c r="A251" s="2"/>
      <c r="B251" s="19"/>
      <c r="C251" s="374"/>
      <c r="D251" s="2"/>
      <c r="E251" s="19"/>
      <c r="F251" s="19"/>
      <c r="G251" s="19"/>
      <c r="H251" s="19"/>
      <c r="I251" s="19"/>
      <c r="J251" s="19"/>
      <c r="K251" s="19"/>
      <c r="L251" s="2"/>
      <c r="M251" s="19"/>
      <c r="N251" s="19"/>
      <c r="O251" s="84"/>
      <c r="P251" s="19"/>
      <c r="Q251" s="91"/>
      <c r="R251" s="19"/>
      <c r="S251" s="91"/>
      <c r="T251" s="19"/>
      <c r="U251" s="375"/>
    </row>
    <row r="252" spans="1:21" ht="15.75" customHeight="1" x14ac:dyDescent="0.25">
      <c r="A252" s="2"/>
      <c r="B252" s="19"/>
      <c r="C252" s="374"/>
      <c r="D252" s="2"/>
      <c r="E252" s="19"/>
      <c r="F252" s="19"/>
      <c r="G252" s="19"/>
      <c r="H252" s="19"/>
      <c r="I252" s="19"/>
      <c r="J252" s="19"/>
      <c r="K252" s="19"/>
      <c r="L252" s="2"/>
      <c r="M252" s="19"/>
      <c r="N252" s="19"/>
      <c r="O252" s="84"/>
      <c r="P252" s="19"/>
      <c r="Q252" s="91"/>
      <c r="R252" s="19"/>
      <c r="S252" s="91"/>
      <c r="T252" s="19"/>
      <c r="U252" s="375"/>
    </row>
    <row r="253" spans="1:21" ht="15.75" customHeight="1" x14ac:dyDescent="0.25">
      <c r="A253" s="2"/>
      <c r="B253" s="19"/>
      <c r="C253" s="374"/>
      <c r="D253" s="2"/>
      <c r="E253" s="19"/>
      <c r="F253" s="19"/>
      <c r="G253" s="19"/>
      <c r="H253" s="19"/>
      <c r="I253" s="19"/>
      <c r="J253" s="19"/>
      <c r="K253" s="19"/>
      <c r="L253" s="2"/>
      <c r="M253" s="19"/>
      <c r="N253" s="19"/>
      <c r="O253" s="84"/>
      <c r="P253" s="19"/>
      <c r="Q253" s="91"/>
      <c r="R253" s="19"/>
      <c r="S253" s="91"/>
      <c r="T253" s="19"/>
      <c r="U253" s="375"/>
    </row>
    <row r="254" spans="1:21" ht="15.75" customHeight="1" x14ac:dyDescent="0.25">
      <c r="A254" s="2"/>
      <c r="B254" s="19"/>
      <c r="C254" s="374"/>
      <c r="D254" s="2"/>
      <c r="E254" s="19"/>
      <c r="F254" s="19"/>
      <c r="G254" s="19"/>
      <c r="H254" s="19"/>
      <c r="I254" s="19"/>
      <c r="J254" s="19"/>
      <c r="K254" s="19"/>
      <c r="L254" s="2"/>
      <c r="M254" s="19"/>
      <c r="N254" s="19"/>
      <c r="O254" s="84"/>
      <c r="P254" s="19"/>
      <c r="Q254" s="91"/>
      <c r="R254" s="19"/>
      <c r="S254" s="91"/>
      <c r="T254" s="19"/>
      <c r="U254" s="375"/>
    </row>
    <row r="255" spans="1:21" ht="15.75" customHeight="1" x14ac:dyDescent="0.25">
      <c r="A255" s="2"/>
      <c r="B255" s="19"/>
      <c r="C255" s="374"/>
      <c r="D255" s="2"/>
      <c r="E255" s="19"/>
      <c r="F255" s="19"/>
      <c r="G255" s="19"/>
      <c r="H255" s="19"/>
      <c r="I255" s="19"/>
      <c r="J255" s="19"/>
      <c r="K255" s="19"/>
      <c r="L255" s="2"/>
      <c r="M255" s="19"/>
      <c r="N255" s="19"/>
      <c r="O255" s="84"/>
      <c r="P255" s="19"/>
      <c r="Q255" s="91"/>
      <c r="R255" s="19"/>
      <c r="S255" s="91"/>
      <c r="T255" s="19"/>
      <c r="U255" s="375"/>
    </row>
    <row r="256" spans="1:21" ht="15.75" customHeight="1" x14ac:dyDescent="0.25">
      <c r="A256" s="2"/>
      <c r="B256" s="19"/>
      <c r="C256" s="374"/>
      <c r="D256" s="2"/>
      <c r="E256" s="19"/>
      <c r="F256" s="19"/>
      <c r="G256" s="19"/>
      <c r="H256" s="19"/>
      <c r="I256" s="19"/>
      <c r="J256" s="19"/>
      <c r="K256" s="19"/>
      <c r="L256" s="2"/>
      <c r="M256" s="19"/>
      <c r="N256" s="19"/>
      <c r="O256" s="84"/>
      <c r="P256" s="19"/>
      <c r="Q256" s="91"/>
      <c r="R256" s="19"/>
      <c r="S256" s="91"/>
      <c r="T256" s="19"/>
      <c r="U256" s="375"/>
    </row>
    <row r="257" spans="1:21" ht="15.75" customHeight="1" x14ac:dyDescent="0.25">
      <c r="A257" s="2"/>
      <c r="B257" s="19"/>
      <c r="C257" s="374"/>
      <c r="D257" s="2"/>
      <c r="E257" s="19"/>
      <c r="F257" s="19"/>
      <c r="G257" s="19"/>
      <c r="H257" s="19"/>
      <c r="I257" s="19"/>
      <c r="J257" s="19"/>
      <c r="K257" s="19"/>
      <c r="L257" s="2"/>
      <c r="M257" s="19"/>
      <c r="N257" s="19"/>
      <c r="O257" s="84"/>
      <c r="P257" s="19"/>
      <c r="Q257" s="91"/>
      <c r="R257" s="19"/>
      <c r="S257" s="91"/>
      <c r="T257" s="19"/>
      <c r="U257" s="375"/>
    </row>
    <row r="258" spans="1:21" ht="15.75" customHeight="1" x14ac:dyDescent="0.25">
      <c r="A258" s="2"/>
      <c r="B258" s="19"/>
      <c r="C258" s="374"/>
      <c r="D258" s="2"/>
      <c r="E258" s="19"/>
      <c r="F258" s="19"/>
      <c r="G258" s="19"/>
      <c r="H258" s="19"/>
      <c r="I258" s="19"/>
      <c r="J258" s="19"/>
      <c r="K258" s="19"/>
      <c r="L258" s="2"/>
      <c r="M258" s="19"/>
      <c r="N258" s="19"/>
      <c r="O258" s="84"/>
      <c r="P258" s="19"/>
      <c r="Q258" s="91"/>
      <c r="R258" s="19"/>
      <c r="S258" s="91"/>
      <c r="T258" s="19"/>
      <c r="U258" s="375"/>
    </row>
    <row r="259" spans="1:21" ht="15.75" customHeight="1" x14ac:dyDescent="0.25">
      <c r="A259" s="2"/>
      <c r="B259" s="19"/>
      <c r="C259" s="374"/>
      <c r="D259" s="2"/>
      <c r="E259" s="19"/>
      <c r="F259" s="19"/>
      <c r="G259" s="19"/>
      <c r="H259" s="19"/>
      <c r="I259" s="19"/>
      <c r="J259" s="19"/>
      <c r="K259" s="19"/>
      <c r="L259" s="2"/>
      <c r="M259" s="19"/>
      <c r="N259" s="19"/>
      <c r="O259" s="84"/>
      <c r="P259" s="19"/>
      <c r="Q259" s="91"/>
      <c r="R259" s="19"/>
      <c r="S259" s="91"/>
      <c r="T259" s="19"/>
      <c r="U259" s="375"/>
    </row>
    <row r="260" spans="1:21" ht="15.75" customHeight="1" x14ac:dyDescent="0.25">
      <c r="A260" s="2"/>
      <c r="B260" s="19"/>
      <c r="C260" s="374"/>
      <c r="D260" s="2"/>
      <c r="E260" s="19"/>
      <c r="F260" s="19"/>
      <c r="G260" s="19"/>
      <c r="H260" s="19"/>
      <c r="I260" s="19"/>
      <c r="J260" s="19"/>
      <c r="K260" s="19"/>
      <c r="L260" s="2"/>
      <c r="M260" s="19"/>
      <c r="N260" s="19"/>
      <c r="O260" s="84"/>
      <c r="P260" s="19"/>
      <c r="Q260" s="91"/>
      <c r="R260" s="19"/>
      <c r="S260" s="91"/>
      <c r="T260" s="19"/>
      <c r="U260" s="375"/>
    </row>
    <row r="261" spans="1:21" ht="15.75" customHeight="1" x14ac:dyDescent="0.25">
      <c r="A261" s="2"/>
      <c r="B261" s="19"/>
      <c r="C261" s="374"/>
      <c r="D261" s="2"/>
      <c r="E261" s="19"/>
      <c r="F261" s="19"/>
      <c r="G261" s="19"/>
      <c r="H261" s="19"/>
      <c r="I261" s="19"/>
      <c r="J261" s="19"/>
      <c r="K261" s="19"/>
      <c r="L261" s="2"/>
      <c r="M261" s="19"/>
      <c r="N261" s="19"/>
      <c r="O261" s="84"/>
      <c r="P261" s="19"/>
      <c r="Q261" s="91"/>
      <c r="R261" s="19"/>
      <c r="S261" s="91"/>
      <c r="T261" s="19"/>
      <c r="U261" s="375"/>
    </row>
    <row r="262" spans="1:21" ht="15.75" customHeight="1" x14ac:dyDescent="0.25">
      <c r="A262" s="2"/>
      <c r="B262" s="19"/>
      <c r="C262" s="374"/>
      <c r="D262" s="2"/>
      <c r="E262" s="19"/>
      <c r="F262" s="19"/>
      <c r="G262" s="19"/>
      <c r="H262" s="19"/>
      <c r="I262" s="19"/>
      <c r="J262" s="19"/>
      <c r="K262" s="19"/>
      <c r="L262" s="2"/>
      <c r="M262" s="19"/>
      <c r="N262" s="19"/>
      <c r="O262" s="84"/>
      <c r="P262" s="19"/>
      <c r="Q262" s="91"/>
      <c r="R262" s="19"/>
      <c r="S262" s="91"/>
      <c r="T262" s="19"/>
      <c r="U262" s="375"/>
    </row>
    <row r="263" spans="1:21" ht="15.75" customHeight="1" x14ac:dyDescent="0.25">
      <c r="A263" s="2"/>
      <c r="B263" s="19"/>
      <c r="C263" s="374"/>
      <c r="D263" s="2"/>
      <c r="E263" s="19"/>
      <c r="F263" s="19"/>
      <c r="G263" s="19"/>
      <c r="H263" s="19"/>
      <c r="I263" s="19"/>
      <c r="J263" s="19"/>
      <c r="K263" s="19"/>
      <c r="L263" s="2"/>
      <c r="M263" s="19"/>
      <c r="N263" s="19"/>
      <c r="O263" s="84"/>
      <c r="P263" s="19"/>
      <c r="Q263" s="91"/>
      <c r="R263" s="19"/>
      <c r="S263" s="91"/>
      <c r="T263" s="19"/>
      <c r="U263" s="375"/>
    </row>
    <row r="264" spans="1:21" ht="15.75" customHeight="1" x14ac:dyDescent="0.25">
      <c r="A264" s="2"/>
      <c r="B264" s="19"/>
      <c r="C264" s="374"/>
      <c r="D264" s="2"/>
      <c r="E264" s="19"/>
      <c r="F264" s="19"/>
      <c r="G264" s="19"/>
      <c r="H264" s="19"/>
      <c r="I264" s="19"/>
      <c r="J264" s="19"/>
      <c r="K264" s="19"/>
      <c r="L264" s="2"/>
      <c r="M264" s="19"/>
      <c r="N264" s="19"/>
      <c r="O264" s="84"/>
      <c r="P264" s="19"/>
      <c r="Q264" s="91"/>
      <c r="R264" s="19"/>
      <c r="S264" s="91"/>
      <c r="T264" s="19"/>
      <c r="U264" s="375"/>
    </row>
    <row r="265" spans="1:21" ht="15.75" customHeight="1" x14ac:dyDescent="0.25">
      <c r="A265" s="2"/>
      <c r="B265" s="19"/>
      <c r="C265" s="374"/>
      <c r="D265" s="2"/>
      <c r="E265" s="19"/>
      <c r="F265" s="19"/>
      <c r="G265" s="19"/>
      <c r="H265" s="19"/>
      <c r="I265" s="19"/>
      <c r="J265" s="19"/>
      <c r="K265" s="19"/>
      <c r="L265" s="2"/>
      <c r="M265" s="19"/>
      <c r="N265" s="19"/>
      <c r="O265" s="84"/>
      <c r="P265" s="19"/>
      <c r="Q265" s="91"/>
      <c r="R265" s="19"/>
      <c r="S265" s="91"/>
      <c r="T265" s="19"/>
      <c r="U265" s="375"/>
    </row>
    <row r="266" spans="1:21" ht="15.75" customHeight="1" x14ac:dyDescent="0.25">
      <c r="A266" s="2"/>
      <c r="B266" s="19"/>
      <c r="C266" s="374"/>
      <c r="D266" s="2"/>
      <c r="E266" s="19"/>
      <c r="F266" s="19"/>
      <c r="G266" s="19"/>
      <c r="H266" s="19"/>
      <c r="I266" s="19"/>
      <c r="J266" s="19"/>
      <c r="K266" s="19"/>
      <c r="L266" s="2"/>
      <c r="M266" s="19"/>
      <c r="N266" s="19"/>
      <c r="O266" s="84"/>
      <c r="P266" s="19"/>
      <c r="Q266" s="91"/>
      <c r="R266" s="19"/>
      <c r="S266" s="91"/>
      <c r="T266" s="19"/>
      <c r="U266" s="375"/>
    </row>
    <row r="267" spans="1:21" ht="15.75" customHeight="1" x14ac:dyDescent="0.25">
      <c r="A267" s="2"/>
      <c r="B267" s="19"/>
      <c r="C267" s="374"/>
      <c r="D267" s="2"/>
      <c r="E267" s="19"/>
      <c r="F267" s="19"/>
      <c r="G267" s="19"/>
      <c r="H267" s="19"/>
      <c r="I267" s="19"/>
      <c r="J267" s="19"/>
      <c r="K267" s="19"/>
      <c r="L267" s="2"/>
      <c r="M267" s="19"/>
      <c r="N267" s="19"/>
      <c r="O267" s="84"/>
      <c r="P267" s="19"/>
      <c r="Q267" s="91"/>
      <c r="R267" s="19"/>
      <c r="S267" s="91"/>
      <c r="T267" s="19"/>
      <c r="U267" s="375"/>
    </row>
    <row r="268" spans="1:21" ht="15.75" customHeight="1" x14ac:dyDescent="0.25">
      <c r="A268" s="2"/>
      <c r="B268" s="19"/>
      <c r="C268" s="374"/>
      <c r="D268" s="2"/>
      <c r="E268" s="19"/>
      <c r="F268" s="19"/>
      <c r="G268" s="19"/>
      <c r="H268" s="19"/>
      <c r="I268" s="19"/>
      <c r="J268" s="19"/>
      <c r="K268" s="19"/>
      <c r="L268" s="2"/>
      <c r="M268" s="19"/>
      <c r="N268" s="19"/>
      <c r="O268" s="84"/>
      <c r="P268" s="19"/>
      <c r="Q268" s="91"/>
      <c r="R268" s="19"/>
      <c r="S268" s="91"/>
      <c r="T268" s="19"/>
      <c r="U268" s="375"/>
    </row>
    <row r="269" spans="1:21" ht="15.75" customHeight="1" x14ac:dyDescent="0.25">
      <c r="A269" s="2"/>
      <c r="B269" s="19"/>
      <c r="C269" s="374"/>
      <c r="D269" s="2"/>
      <c r="E269" s="19"/>
      <c r="F269" s="19"/>
      <c r="G269" s="19"/>
      <c r="H269" s="19"/>
      <c r="I269" s="19"/>
      <c r="J269" s="19"/>
      <c r="K269" s="19"/>
      <c r="L269" s="2"/>
      <c r="M269" s="19"/>
      <c r="N269" s="19"/>
      <c r="O269" s="84"/>
      <c r="P269" s="19"/>
      <c r="Q269" s="91"/>
      <c r="R269" s="19"/>
      <c r="S269" s="91"/>
      <c r="T269" s="19"/>
      <c r="U269" s="375"/>
    </row>
    <row r="270" spans="1:21" ht="15.75" customHeight="1" x14ac:dyDescent="0.25">
      <c r="A270" s="2"/>
      <c r="B270" s="19"/>
      <c r="C270" s="374"/>
      <c r="D270" s="2"/>
      <c r="E270" s="19"/>
      <c r="F270" s="19"/>
      <c r="G270" s="19"/>
      <c r="H270" s="19"/>
      <c r="I270" s="19"/>
      <c r="J270" s="19"/>
      <c r="K270" s="19"/>
      <c r="L270" s="2"/>
      <c r="M270" s="19"/>
      <c r="N270" s="19"/>
      <c r="O270" s="84"/>
      <c r="P270" s="19"/>
      <c r="Q270" s="91"/>
      <c r="R270" s="19"/>
      <c r="S270" s="91"/>
      <c r="T270" s="19"/>
      <c r="U270" s="375"/>
    </row>
    <row r="271" spans="1:21" ht="15.75" customHeight="1" x14ac:dyDescent="0.25">
      <c r="A271" s="2"/>
      <c r="B271" s="19"/>
      <c r="C271" s="374"/>
      <c r="D271" s="2"/>
      <c r="E271" s="19"/>
      <c r="F271" s="19"/>
      <c r="G271" s="19"/>
      <c r="H271" s="19"/>
      <c r="I271" s="19"/>
      <c r="J271" s="19"/>
      <c r="K271" s="19"/>
      <c r="L271" s="2"/>
      <c r="M271" s="19"/>
      <c r="N271" s="19"/>
      <c r="O271" s="84"/>
      <c r="P271" s="19"/>
      <c r="Q271" s="91"/>
      <c r="R271" s="19"/>
      <c r="S271" s="91"/>
      <c r="T271" s="19"/>
      <c r="U271" s="375"/>
    </row>
    <row r="272" spans="1:21" ht="15.75" customHeight="1" x14ac:dyDescent="0.25">
      <c r="A272" s="2"/>
      <c r="B272" s="19"/>
      <c r="C272" s="374"/>
      <c r="D272" s="2"/>
      <c r="E272" s="19"/>
      <c r="F272" s="19"/>
      <c r="G272" s="19"/>
      <c r="H272" s="19"/>
      <c r="I272" s="19"/>
      <c r="J272" s="19"/>
      <c r="K272" s="19"/>
      <c r="L272" s="2"/>
      <c r="M272" s="19"/>
      <c r="N272" s="19"/>
      <c r="O272" s="84"/>
      <c r="P272" s="19"/>
      <c r="Q272" s="91"/>
      <c r="R272" s="19"/>
      <c r="S272" s="91"/>
      <c r="T272" s="19"/>
      <c r="U272" s="375"/>
    </row>
    <row r="273" spans="1:21" ht="15.75" customHeight="1" x14ac:dyDescent="0.25">
      <c r="A273" s="2"/>
      <c r="B273" s="19"/>
      <c r="C273" s="374"/>
      <c r="D273" s="2"/>
      <c r="E273" s="19"/>
      <c r="F273" s="19"/>
      <c r="G273" s="19"/>
      <c r="H273" s="19"/>
      <c r="I273" s="19"/>
      <c r="J273" s="19"/>
      <c r="K273" s="19"/>
      <c r="L273" s="2"/>
      <c r="M273" s="19"/>
      <c r="N273" s="19"/>
      <c r="O273" s="84"/>
      <c r="P273" s="19"/>
      <c r="Q273" s="91"/>
      <c r="R273" s="19"/>
      <c r="S273" s="91"/>
      <c r="T273" s="19"/>
      <c r="U273" s="375"/>
    </row>
    <row r="274" spans="1:21" ht="15.75" customHeight="1" x14ac:dyDescent="0.25">
      <c r="A274" s="2"/>
      <c r="B274" s="19"/>
      <c r="C274" s="374"/>
      <c r="D274" s="2"/>
      <c r="E274" s="19"/>
      <c r="F274" s="19"/>
      <c r="G274" s="19"/>
      <c r="H274" s="19"/>
      <c r="I274" s="19"/>
      <c r="J274" s="19"/>
      <c r="K274" s="19"/>
      <c r="L274" s="2"/>
      <c r="M274" s="19"/>
      <c r="N274" s="19"/>
      <c r="O274" s="84"/>
      <c r="P274" s="19"/>
      <c r="Q274" s="91"/>
      <c r="R274" s="19"/>
      <c r="S274" s="91"/>
      <c r="T274" s="19"/>
      <c r="U274" s="375"/>
    </row>
    <row r="275" spans="1:21" ht="15.75" customHeight="1" x14ac:dyDescent="0.25">
      <c r="A275" s="2"/>
      <c r="B275" s="19"/>
      <c r="C275" s="374"/>
      <c r="D275" s="2"/>
      <c r="E275" s="19"/>
      <c r="F275" s="19"/>
      <c r="G275" s="19"/>
      <c r="H275" s="19"/>
      <c r="I275" s="19"/>
      <c r="J275" s="19"/>
      <c r="K275" s="19"/>
      <c r="L275" s="2"/>
      <c r="M275" s="19"/>
      <c r="N275" s="19"/>
      <c r="O275" s="84"/>
      <c r="P275" s="19"/>
      <c r="Q275" s="91"/>
      <c r="R275" s="19"/>
      <c r="S275" s="91"/>
      <c r="T275" s="19"/>
      <c r="U275" s="375"/>
    </row>
    <row r="276" spans="1:21" ht="15.75" customHeight="1" x14ac:dyDescent="0.25">
      <c r="A276" s="2"/>
      <c r="B276" s="19"/>
      <c r="C276" s="374"/>
      <c r="D276" s="2"/>
      <c r="E276" s="19"/>
      <c r="F276" s="19"/>
      <c r="G276" s="19"/>
      <c r="H276" s="19"/>
      <c r="I276" s="19"/>
      <c r="J276" s="19"/>
      <c r="K276" s="19"/>
      <c r="L276" s="2"/>
      <c r="M276" s="19"/>
      <c r="N276" s="19"/>
      <c r="O276" s="84"/>
      <c r="P276" s="19"/>
      <c r="Q276" s="91"/>
      <c r="R276" s="19"/>
      <c r="S276" s="91"/>
      <c r="T276" s="19"/>
      <c r="U276" s="375"/>
    </row>
    <row r="277" spans="1:21" ht="15.75" customHeight="1" x14ac:dyDescent="0.25">
      <c r="A277" s="2"/>
      <c r="B277" s="19"/>
      <c r="C277" s="374"/>
      <c r="D277" s="2"/>
      <c r="E277" s="19"/>
      <c r="F277" s="19"/>
      <c r="G277" s="19"/>
      <c r="H277" s="19"/>
      <c r="I277" s="19"/>
      <c r="J277" s="19"/>
      <c r="K277" s="19"/>
      <c r="L277" s="2"/>
      <c r="M277" s="19"/>
      <c r="N277" s="19"/>
      <c r="O277" s="84"/>
      <c r="P277" s="19"/>
      <c r="Q277" s="91"/>
      <c r="R277" s="19"/>
      <c r="S277" s="91"/>
      <c r="T277" s="19"/>
      <c r="U277" s="375"/>
    </row>
    <row r="278" spans="1:21" ht="15.75" customHeight="1" x14ac:dyDescent="0.25">
      <c r="A278" s="2"/>
      <c r="B278" s="19"/>
      <c r="C278" s="374"/>
      <c r="D278" s="2"/>
      <c r="E278" s="19"/>
      <c r="F278" s="19"/>
      <c r="G278" s="19"/>
      <c r="H278" s="19"/>
      <c r="I278" s="19"/>
      <c r="J278" s="19"/>
      <c r="K278" s="19"/>
      <c r="L278" s="2"/>
      <c r="M278" s="19"/>
      <c r="N278" s="19"/>
      <c r="O278" s="84"/>
      <c r="P278" s="19"/>
      <c r="Q278" s="91"/>
      <c r="R278" s="19"/>
      <c r="S278" s="91"/>
      <c r="T278" s="19"/>
      <c r="U278" s="375"/>
    </row>
    <row r="279" spans="1:21" ht="15.75" customHeight="1" x14ac:dyDescent="0.25">
      <c r="A279" s="2"/>
      <c r="B279" s="19"/>
      <c r="C279" s="374"/>
      <c r="D279" s="2"/>
      <c r="E279" s="19"/>
      <c r="F279" s="19"/>
      <c r="G279" s="19"/>
      <c r="H279" s="19"/>
      <c r="I279" s="19"/>
      <c r="J279" s="19"/>
      <c r="K279" s="19"/>
      <c r="L279" s="2"/>
      <c r="M279" s="19"/>
      <c r="N279" s="19"/>
      <c r="O279" s="84"/>
      <c r="P279" s="19"/>
      <c r="Q279" s="91"/>
      <c r="R279" s="19"/>
      <c r="S279" s="91"/>
      <c r="T279" s="19"/>
      <c r="U279" s="375"/>
    </row>
    <row r="280" spans="1:21" ht="15.75" customHeight="1" x14ac:dyDescent="0.25">
      <c r="A280" s="2"/>
      <c r="B280" s="19"/>
      <c r="C280" s="374"/>
      <c r="D280" s="2"/>
      <c r="E280" s="19"/>
      <c r="F280" s="19"/>
      <c r="G280" s="19"/>
      <c r="H280" s="19"/>
      <c r="I280" s="19"/>
      <c r="J280" s="19"/>
      <c r="K280" s="19"/>
      <c r="L280" s="2"/>
      <c r="M280" s="19"/>
      <c r="N280" s="19"/>
      <c r="O280" s="84"/>
      <c r="P280" s="19"/>
      <c r="Q280" s="91"/>
      <c r="R280" s="19"/>
      <c r="S280" s="91"/>
      <c r="T280" s="19"/>
      <c r="U280" s="375"/>
    </row>
    <row r="281" spans="1:21" ht="15.75" customHeight="1" x14ac:dyDescent="0.25">
      <c r="A281" s="2"/>
      <c r="B281" s="19"/>
      <c r="C281" s="374"/>
      <c r="D281" s="2"/>
      <c r="E281" s="19"/>
      <c r="F281" s="19"/>
      <c r="G281" s="19"/>
      <c r="H281" s="19"/>
      <c r="I281" s="19"/>
      <c r="J281" s="19"/>
      <c r="K281" s="19"/>
      <c r="L281" s="2"/>
      <c r="M281" s="19"/>
      <c r="N281" s="19"/>
      <c r="O281" s="84"/>
      <c r="P281" s="19"/>
      <c r="Q281" s="91"/>
      <c r="R281" s="19"/>
      <c r="S281" s="91"/>
      <c r="T281" s="19"/>
      <c r="U281" s="375"/>
    </row>
    <row r="282" spans="1:21" ht="15.75" customHeight="1" x14ac:dyDescent="0.25">
      <c r="A282" s="2"/>
      <c r="B282" s="19"/>
      <c r="C282" s="374"/>
      <c r="D282" s="2"/>
      <c r="E282" s="19"/>
      <c r="F282" s="19"/>
      <c r="G282" s="19"/>
      <c r="H282" s="19"/>
      <c r="I282" s="19"/>
      <c r="J282" s="19"/>
      <c r="K282" s="19"/>
      <c r="L282" s="2"/>
      <c r="M282" s="19"/>
      <c r="N282" s="19"/>
      <c r="O282" s="84"/>
      <c r="P282" s="19"/>
      <c r="Q282" s="91"/>
      <c r="R282" s="19"/>
      <c r="S282" s="91"/>
      <c r="T282" s="19"/>
      <c r="U282" s="375"/>
    </row>
    <row r="283" spans="1:21" ht="15.75" customHeight="1" x14ac:dyDescent="0.25">
      <c r="A283" s="2"/>
      <c r="B283" s="19"/>
      <c r="C283" s="374"/>
      <c r="D283" s="2"/>
      <c r="E283" s="19"/>
      <c r="F283" s="19"/>
      <c r="G283" s="19"/>
      <c r="H283" s="19"/>
      <c r="I283" s="19"/>
      <c r="J283" s="19"/>
      <c r="K283" s="19"/>
      <c r="L283" s="2"/>
      <c r="M283" s="19"/>
      <c r="N283" s="19"/>
      <c r="O283" s="84"/>
      <c r="P283" s="19"/>
      <c r="Q283" s="91"/>
      <c r="R283" s="19"/>
      <c r="S283" s="91"/>
      <c r="T283" s="19"/>
      <c r="U283" s="375"/>
    </row>
    <row r="284" spans="1:21" ht="15.75" customHeight="1" x14ac:dyDescent="0.25">
      <c r="A284" s="2"/>
      <c r="B284" s="19"/>
      <c r="C284" s="374"/>
      <c r="D284" s="2"/>
      <c r="E284" s="19"/>
      <c r="F284" s="19"/>
      <c r="G284" s="19"/>
      <c r="H284" s="19"/>
      <c r="I284" s="19"/>
      <c r="J284" s="19"/>
      <c r="K284" s="19"/>
      <c r="L284" s="2"/>
      <c r="M284" s="19"/>
      <c r="N284" s="19"/>
      <c r="O284" s="84"/>
      <c r="P284" s="19"/>
      <c r="Q284" s="91"/>
      <c r="R284" s="19"/>
      <c r="S284" s="91"/>
      <c r="T284" s="19"/>
      <c r="U284" s="375"/>
    </row>
    <row r="285" spans="1:21" ht="15.75" customHeight="1" x14ac:dyDescent="0.25">
      <c r="A285" s="2"/>
      <c r="B285" s="19"/>
      <c r="C285" s="374"/>
      <c r="D285" s="2"/>
      <c r="E285" s="19"/>
      <c r="F285" s="19"/>
      <c r="G285" s="19"/>
      <c r="H285" s="19"/>
      <c r="I285" s="19"/>
      <c r="J285" s="19"/>
      <c r="K285" s="19"/>
      <c r="L285" s="2"/>
      <c r="M285" s="19"/>
      <c r="N285" s="19"/>
      <c r="O285" s="84"/>
      <c r="P285" s="19"/>
      <c r="Q285" s="91"/>
      <c r="R285" s="19"/>
      <c r="S285" s="91"/>
      <c r="T285" s="19"/>
      <c r="U285" s="375"/>
    </row>
    <row r="286" spans="1:21" ht="15.75" customHeight="1" x14ac:dyDescent="0.25">
      <c r="A286" s="2"/>
      <c r="B286" s="19"/>
      <c r="C286" s="374"/>
      <c r="D286" s="2"/>
      <c r="E286" s="19"/>
      <c r="F286" s="19"/>
      <c r="G286" s="19"/>
      <c r="H286" s="19"/>
      <c r="I286" s="19"/>
      <c r="J286" s="19"/>
      <c r="K286" s="19"/>
      <c r="L286" s="2"/>
      <c r="M286" s="19"/>
      <c r="N286" s="19"/>
      <c r="O286" s="84"/>
      <c r="P286" s="19"/>
      <c r="Q286" s="91"/>
      <c r="R286" s="19"/>
      <c r="S286" s="91"/>
      <c r="T286" s="19"/>
      <c r="U286" s="375"/>
    </row>
    <row r="287" spans="1:21" ht="15.75" customHeight="1" x14ac:dyDescent="0.25">
      <c r="A287" s="2"/>
      <c r="B287" s="19"/>
      <c r="C287" s="374"/>
      <c r="D287" s="2"/>
      <c r="E287" s="19"/>
      <c r="F287" s="19"/>
      <c r="G287" s="19"/>
      <c r="H287" s="19"/>
      <c r="I287" s="19"/>
      <c r="J287" s="19"/>
      <c r="K287" s="19"/>
      <c r="L287" s="2"/>
      <c r="M287" s="19"/>
      <c r="N287" s="19"/>
      <c r="O287" s="84"/>
      <c r="P287" s="19"/>
      <c r="Q287" s="91"/>
      <c r="R287" s="19"/>
      <c r="S287" s="91"/>
      <c r="T287" s="19"/>
      <c r="U287" s="375"/>
    </row>
    <row r="288" spans="1:21" ht="15.75" customHeight="1" x14ac:dyDescent="0.25">
      <c r="A288" s="2"/>
      <c r="B288" s="19"/>
      <c r="C288" s="374"/>
      <c r="D288" s="2"/>
      <c r="E288" s="19"/>
      <c r="F288" s="19"/>
      <c r="G288" s="19"/>
      <c r="H288" s="19"/>
      <c r="I288" s="19"/>
      <c r="J288" s="19"/>
      <c r="K288" s="19"/>
      <c r="L288" s="2"/>
      <c r="M288" s="19"/>
      <c r="N288" s="19"/>
      <c r="O288" s="84"/>
      <c r="P288" s="19"/>
      <c r="Q288" s="91"/>
      <c r="R288" s="19"/>
      <c r="S288" s="91"/>
      <c r="T288" s="19"/>
      <c r="U288" s="375"/>
    </row>
    <row r="289" spans="1:21" ht="15.75" customHeight="1" x14ac:dyDescent="0.25">
      <c r="A289" s="2"/>
      <c r="B289" s="19"/>
      <c r="C289" s="374"/>
      <c r="D289" s="2"/>
      <c r="E289" s="19"/>
      <c r="F289" s="19"/>
      <c r="G289" s="19"/>
      <c r="H289" s="19"/>
      <c r="I289" s="19"/>
      <c r="J289" s="19"/>
      <c r="K289" s="19"/>
      <c r="L289" s="2"/>
      <c r="M289" s="19"/>
      <c r="N289" s="19"/>
      <c r="O289" s="84"/>
      <c r="P289" s="19"/>
      <c r="Q289" s="91"/>
      <c r="R289" s="19"/>
      <c r="S289" s="91"/>
      <c r="T289" s="19"/>
      <c r="U289" s="375"/>
    </row>
    <row r="290" spans="1:21" ht="15.75" customHeight="1" x14ac:dyDescent="0.25">
      <c r="A290" s="2"/>
      <c r="B290" s="19"/>
      <c r="C290" s="374"/>
      <c r="D290" s="2"/>
      <c r="E290" s="19"/>
      <c r="F290" s="19"/>
      <c r="G290" s="19"/>
      <c r="H290" s="19"/>
      <c r="I290" s="19"/>
      <c r="J290" s="19"/>
      <c r="K290" s="19"/>
      <c r="L290" s="2"/>
      <c r="M290" s="19"/>
      <c r="N290" s="19"/>
      <c r="O290" s="84"/>
      <c r="P290" s="19"/>
      <c r="Q290" s="91"/>
      <c r="R290" s="19"/>
      <c r="S290" s="91"/>
      <c r="T290" s="19"/>
      <c r="U290" s="375"/>
    </row>
    <row r="291" spans="1:21" ht="15.75" customHeight="1" x14ac:dyDescent="0.25">
      <c r="A291" s="2"/>
      <c r="B291" s="19"/>
      <c r="C291" s="374"/>
      <c r="D291" s="2"/>
      <c r="E291" s="19"/>
      <c r="F291" s="19"/>
      <c r="G291" s="19"/>
      <c r="H291" s="19"/>
      <c r="I291" s="19"/>
      <c r="J291" s="19"/>
      <c r="K291" s="19"/>
      <c r="L291" s="2"/>
      <c r="M291" s="19"/>
      <c r="N291" s="19"/>
      <c r="O291" s="84"/>
      <c r="P291" s="19"/>
      <c r="Q291" s="91"/>
      <c r="R291" s="19"/>
      <c r="S291" s="91"/>
      <c r="T291" s="19"/>
      <c r="U291" s="375"/>
    </row>
    <row r="292" spans="1:21" ht="15.75" customHeight="1" x14ac:dyDescent="0.25">
      <c r="A292" s="2"/>
      <c r="B292" s="19"/>
      <c r="C292" s="374"/>
      <c r="D292" s="2"/>
      <c r="E292" s="19"/>
      <c r="F292" s="19"/>
      <c r="G292" s="19"/>
      <c r="H292" s="19"/>
      <c r="I292" s="19"/>
      <c r="J292" s="19"/>
      <c r="K292" s="19"/>
      <c r="L292" s="2"/>
      <c r="M292" s="19"/>
      <c r="N292" s="19"/>
      <c r="O292" s="84"/>
      <c r="P292" s="19"/>
      <c r="Q292" s="91"/>
      <c r="R292" s="19"/>
      <c r="S292" s="91"/>
      <c r="T292" s="19"/>
      <c r="U292" s="375"/>
    </row>
    <row r="293" spans="1:21" ht="15.75" customHeight="1" x14ac:dyDescent="0.25">
      <c r="A293" s="2"/>
      <c r="B293" s="19"/>
      <c r="C293" s="374"/>
      <c r="D293" s="2"/>
      <c r="E293" s="19"/>
      <c r="F293" s="19"/>
      <c r="G293" s="19"/>
      <c r="H293" s="19"/>
      <c r="I293" s="19"/>
      <c r="J293" s="19"/>
      <c r="K293" s="19"/>
      <c r="L293" s="2"/>
      <c r="M293" s="19"/>
      <c r="N293" s="19"/>
      <c r="O293" s="84"/>
      <c r="P293" s="19"/>
      <c r="Q293" s="91"/>
      <c r="R293" s="19"/>
      <c r="S293" s="91"/>
      <c r="T293" s="19"/>
      <c r="U293" s="375"/>
    </row>
    <row r="294" spans="1:21" ht="15.75" customHeight="1" x14ac:dyDescent="0.25">
      <c r="A294" s="2"/>
      <c r="B294" s="19"/>
      <c r="C294" s="374"/>
      <c r="D294" s="2"/>
      <c r="E294" s="19"/>
      <c r="F294" s="19"/>
      <c r="G294" s="19"/>
      <c r="H294" s="19"/>
      <c r="I294" s="19"/>
      <c r="J294" s="19"/>
      <c r="K294" s="19"/>
      <c r="L294" s="2"/>
      <c r="M294" s="19"/>
      <c r="N294" s="19"/>
      <c r="O294" s="84"/>
      <c r="P294" s="19"/>
      <c r="Q294" s="91"/>
      <c r="R294" s="19"/>
      <c r="S294" s="91"/>
      <c r="T294" s="19"/>
      <c r="U294" s="375"/>
    </row>
    <row r="295" spans="1:21" ht="15.75" customHeight="1" x14ac:dyDescent="0.25">
      <c r="A295" s="2"/>
      <c r="B295" s="19"/>
      <c r="C295" s="374"/>
      <c r="D295" s="2"/>
      <c r="E295" s="19"/>
      <c r="F295" s="19"/>
      <c r="G295" s="19"/>
      <c r="H295" s="19"/>
      <c r="I295" s="19"/>
      <c r="J295" s="19"/>
      <c r="K295" s="19"/>
      <c r="L295" s="2"/>
      <c r="M295" s="19"/>
      <c r="N295" s="19"/>
      <c r="O295" s="84"/>
      <c r="P295" s="19"/>
      <c r="Q295" s="91"/>
      <c r="R295" s="19"/>
      <c r="S295" s="91"/>
      <c r="T295" s="19"/>
      <c r="U295" s="375"/>
    </row>
    <row r="296" spans="1:21" ht="15.75" customHeight="1" x14ac:dyDescent="0.25">
      <c r="A296" s="2"/>
      <c r="B296" s="19"/>
      <c r="C296" s="374"/>
      <c r="D296" s="2"/>
      <c r="E296" s="19"/>
      <c r="F296" s="19"/>
      <c r="G296" s="19"/>
      <c r="H296" s="19"/>
      <c r="I296" s="19"/>
      <c r="J296" s="19"/>
      <c r="K296" s="19"/>
      <c r="L296" s="2"/>
      <c r="M296" s="19"/>
      <c r="N296" s="19"/>
      <c r="O296" s="84"/>
      <c r="P296" s="19"/>
      <c r="Q296" s="91"/>
      <c r="R296" s="19"/>
      <c r="S296" s="91"/>
      <c r="T296" s="19"/>
      <c r="U296" s="375"/>
    </row>
    <row r="297" spans="1:21" ht="15.75" customHeight="1" x14ac:dyDescent="0.25">
      <c r="A297" s="2"/>
      <c r="B297" s="19"/>
      <c r="C297" s="374"/>
      <c r="D297" s="2"/>
      <c r="E297" s="19"/>
      <c r="F297" s="19"/>
      <c r="G297" s="19"/>
      <c r="H297" s="19"/>
      <c r="I297" s="19"/>
      <c r="J297" s="19"/>
      <c r="K297" s="19"/>
      <c r="L297" s="2"/>
      <c r="M297" s="19"/>
      <c r="N297" s="19"/>
      <c r="O297" s="84"/>
      <c r="P297" s="19"/>
      <c r="Q297" s="91"/>
      <c r="R297" s="19"/>
      <c r="S297" s="91"/>
      <c r="T297" s="19"/>
      <c r="U297" s="375"/>
    </row>
    <row r="298" spans="1:21" ht="15.75" customHeight="1" x14ac:dyDescent="0.25">
      <c r="A298" s="2"/>
      <c r="B298" s="19"/>
      <c r="C298" s="374"/>
      <c r="D298" s="2"/>
      <c r="E298" s="19"/>
      <c r="F298" s="19"/>
      <c r="G298" s="19"/>
      <c r="H298" s="19"/>
      <c r="I298" s="19"/>
      <c r="J298" s="19"/>
      <c r="K298" s="19"/>
      <c r="L298" s="2"/>
      <c r="M298" s="19"/>
      <c r="N298" s="19"/>
      <c r="O298" s="84"/>
      <c r="P298" s="19"/>
      <c r="Q298" s="91"/>
      <c r="R298" s="19"/>
      <c r="S298" s="91"/>
      <c r="T298" s="19"/>
      <c r="U298" s="375"/>
    </row>
    <row r="299" spans="1:21" ht="15.75" customHeight="1" x14ac:dyDescent="0.25">
      <c r="A299" s="2"/>
      <c r="B299" s="19"/>
      <c r="C299" s="374"/>
      <c r="D299" s="2"/>
      <c r="E299" s="19"/>
      <c r="F299" s="19"/>
      <c r="G299" s="19"/>
      <c r="H299" s="19"/>
      <c r="I299" s="19"/>
      <c r="J299" s="19"/>
      <c r="K299" s="19"/>
      <c r="L299" s="2"/>
      <c r="M299" s="19"/>
      <c r="N299" s="19"/>
      <c r="O299" s="84"/>
      <c r="P299" s="19"/>
      <c r="Q299" s="91"/>
      <c r="R299" s="19"/>
      <c r="S299" s="91"/>
      <c r="T299" s="19"/>
      <c r="U299" s="375"/>
    </row>
    <row r="300" spans="1:21" ht="15.75" customHeight="1" x14ac:dyDescent="0.25">
      <c r="A300" s="2"/>
      <c r="B300" s="19"/>
      <c r="C300" s="374"/>
      <c r="D300" s="2"/>
      <c r="E300" s="19"/>
      <c r="F300" s="19"/>
      <c r="G300" s="19"/>
      <c r="H300" s="19"/>
      <c r="I300" s="19"/>
      <c r="J300" s="19"/>
      <c r="K300" s="19"/>
      <c r="L300" s="2"/>
      <c r="M300" s="19"/>
      <c r="N300" s="19"/>
      <c r="O300" s="84"/>
      <c r="P300" s="19"/>
      <c r="Q300" s="91"/>
      <c r="R300" s="19"/>
      <c r="S300" s="91"/>
      <c r="T300" s="19"/>
      <c r="U300" s="375"/>
    </row>
    <row r="301" spans="1:21" ht="15.75" customHeight="1" x14ac:dyDescent="0.25">
      <c r="A301" s="2"/>
      <c r="B301" s="19"/>
      <c r="C301" s="374"/>
      <c r="D301" s="2"/>
      <c r="E301" s="19"/>
      <c r="F301" s="19"/>
      <c r="G301" s="19"/>
      <c r="H301" s="19"/>
      <c r="I301" s="19"/>
      <c r="J301" s="19"/>
      <c r="K301" s="19"/>
      <c r="L301" s="2"/>
      <c r="M301" s="19"/>
      <c r="N301" s="19"/>
      <c r="O301" s="84"/>
      <c r="P301" s="19"/>
      <c r="Q301" s="91"/>
      <c r="R301" s="19"/>
      <c r="S301" s="91"/>
      <c r="T301" s="19"/>
      <c r="U301" s="375"/>
    </row>
    <row r="302" spans="1:21" ht="15.75" customHeight="1" x14ac:dyDescent="0.25">
      <c r="A302" s="2"/>
      <c r="B302" s="19"/>
      <c r="C302" s="374"/>
      <c r="D302" s="2"/>
      <c r="E302" s="19"/>
      <c r="F302" s="19"/>
      <c r="G302" s="19"/>
      <c r="H302" s="19"/>
      <c r="I302" s="19"/>
      <c r="J302" s="19"/>
      <c r="K302" s="19"/>
      <c r="L302" s="2"/>
      <c r="M302" s="19"/>
      <c r="N302" s="19"/>
      <c r="O302" s="84"/>
      <c r="P302" s="19"/>
      <c r="Q302" s="91"/>
      <c r="R302" s="19"/>
      <c r="S302" s="91"/>
      <c r="T302" s="19"/>
      <c r="U302" s="375"/>
    </row>
    <row r="303" spans="1:21" ht="15.75" customHeight="1" x14ac:dyDescent="0.25">
      <c r="A303" s="2"/>
      <c r="B303" s="19"/>
      <c r="C303" s="374"/>
      <c r="D303" s="2"/>
      <c r="E303" s="19"/>
      <c r="F303" s="19"/>
      <c r="G303" s="19"/>
      <c r="H303" s="19"/>
      <c r="I303" s="19"/>
      <c r="J303" s="19"/>
      <c r="K303" s="19"/>
      <c r="L303" s="2"/>
      <c r="M303" s="19"/>
      <c r="N303" s="19"/>
      <c r="O303" s="84"/>
      <c r="P303" s="19"/>
      <c r="Q303" s="91"/>
      <c r="R303" s="19"/>
      <c r="S303" s="91"/>
      <c r="T303" s="19"/>
      <c r="U303" s="375"/>
    </row>
    <row r="304" spans="1:21" ht="15.75" customHeight="1" x14ac:dyDescent="0.25">
      <c r="A304" s="2"/>
      <c r="B304" s="19"/>
      <c r="C304" s="374"/>
      <c r="D304" s="2"/>
      <c r="E304" s="19"/>
      <c r="F304" s="19"/>
      <c r="G304" s="19"/>
      <c r="H304" s="19"/>
      <c r="I304" s="19"/>
      <c r="J304" s="19"/>
      <c r="K304" s="19"/>
      <c r="L304" s="2"/>
      <c r="M304" s="19"/>
      <c r="N304" s="19"/>
      <c r="O304" s="84"/>
      <c r="P304" s="19"/>
      <c r="Q304" s="91"/>
      <c r="R304" s="19"/>
      <c r="S304" s="91"/>
      <c r="T304" s="19"/>
      <c r="U304" s="375"/>
    </row>
    <row r="305" spans="1:21" ht="15.75" customHeight="1" x14ac:dyDescent="0.25">
      <c r="A305" s="2"/>
      <c r="B305" s="19"/>
      <c r="C305" s="374"/>
      <c r="D305" s="2"/>
      <c r="E305" s="19"/>
      <c r="F305" s="19"/>
      <c r="G305" s="19"/>
      <c r="H305" s="19"/>
      <c r="I305" s="19"/>
      <c r="J305" s="19"/>
      <c r="K305" s="19"/>
      <c r="L305" s="2"/>
      <c r="M305" s="19"/>
      <c r="N305" s="19"/>
      <c r="O305" s="84"/>
      <c r="P305" s="19"/>
      <c r="Q305" s="91"/>
      <c r="R305" s="19"/>
      <c r="S305" s="91"/>
      <c r="T305" s="19"/>
      <c r="U305" s="375"/>
    </row>
    <row r="306" spans="1:21" ht="15.75" customHeight="1" x14ac:dyDescent="0.25">
      <c r="A306" s="2"/>
      <c r="B306" s="19"/>
      <c r="C306" s="374"/>
      <c r="D306" s="2"/>
      <c r="E306" s="19"/>
      <c r="F306" s="19"/>
      <c r="G306" s="19"/>
      <c r="H306" s="19"/>
      <c r="I306" s="19"/>
      <c r="J306" s="19"/>
      <c r="K306" s="19"/>
      <c r="L306" s="2"/>
      <c r="M306" s="19"/>
      <c r="N306" s="19"/>
      <c r="O306" s="84"/>
      <c r="P306" s="19"/>
      <c r="Q306" s="91"/>
      <c r="R306" s="19"/>
      <c r="S306" s="91"/>
      <c r="T306" s="19"/>
      <c r="U306" s="375"/>
    </row>
    <row r="307" spans="1:21" ht="15.75" customHeight="1" x14ac:dyDescent="0.25">
      <c r="A307" s="2"/>
      <c r="B307" s="19"/>
      <c r="C307" s="374"/>
      <c r="D307" s="2"/>
      <c r="E307" s="19"/>
      <c r="F307" s="19"/>
      <c r="G307" s="19"/>
      <c r="H307" s="19"/>
      <c r="I307" s="19"/>
      <c r="J307" s="19"/>
      <c r="K307" s="19"/>
      <c r="L307" s="2"/>
      <c r="M307" s="19"/>
      <c r="N307" s="19"/>
      <c r="O307" s="84"/>
      <c r="P307" s="19"/>
      <c r="Q307" s="91"/>
      <c r="R307" s="19"/>
      <c r="S307" s="91"/>
      <c r="T307" s="19"/>
      <c r="U307" s="375"/>
    </row>
    <row r="308" spans="1:21" ht="15.75" customHeight="1" x14ac:dyDescent="0.25">
      <c r="A308" s="2"/>
      <c r="B308" s="19"/>
      <c r="C308" s="374"/>
      <c r="D308" s="2"/>
      <c r="E308" s="19"/>
      <c r="F308" s="19"/>
      <c r="G308" s="19"/>
      <c r="H308" s="19"/>
      <c r="I308" s="19"/>
      <c r="J308" s="19"/>
      <c r="K308" s="19"/>
      <c r="L308" s="2"/>
      <c r="M308" s="19"/>
      <c r="N308" s="19"/>
      <c r="O308" s="84"/>
      <c r="P308" s="19"/>
      <c r="Q308" s="91"/>
      <c r="R308" s="19"/>
      <c r="S308" s="91"/>
      <c r="T308" s="19"/>
      <c r="U308" s="375"/>
    </row>
    <row r="309" spans="1:21" ht="15.75" customHeight="1" x14ac:dyDescent="0.25">
      <c r="A309" s="2"/>
      <c r="B309" s="19"/>
      <c r="C309" s="374"/>
      <c r="D309" s="2"/>
      <c r="E309" s="19"/>
      <c r="F309" s="19"/>
      <c r="G309" s="19"/>
      <c r="H309" s="19"/>
      <c r="I309" s="19"/>
      <c r="J309" s="19"/>
      <c r="K309" s="19"/>
      <c r="L309" s="2"/>
      <c r="M309" s="19"/>
      <c r="N309" s="19"/>
      <c r="O309" s="84"/>
      <c r="P309" s="19"/>
      <c r="Q309" s="91"/>
      <c r="R309" s="19"/>
      <c r="S309" s="91"/>
      <c r="T309" s="19"/>
      <c r="U309" s="375"/>
    </row>
    <row r="310" spans="1:21" ht="15.75" customHeight="1" x14ac:dyDescent="0.25">
      <c r="A310" s="2"/>
      <c r="B310" s="19"/>
      <c r="C310" s="374"/>
      <c r="D310" s="2"/>
      <c r="E310" s="19"/>
      <c r="F310" s="19"/>
      <c r="G310" s="19"/>
      <c r="H310" s="19"/>
      <c r="I310" s="19"/>
      <c r="J310" s="19"/>
      <c r="K310" s="19"/>
      <c r="L310" s="2"/>
      <c r="M310" s="19"/>
      <c r="N310" s="19"/>
      <c r="O310" s="84"/>
      <c r="P310" s="19"/>
      <c r="Q310" s="91"/>
      <c r="R310" s="19"/>
      <c r="S310" s="91"/>
      <c r="T310" s="19"/>
      <c r="U310" s="375"/>
    </row>
    <row r="311" spans="1:21" ht="15.75" customHeight="1" x14ac:dyDescent="0.25">
      <c r="A311" s="2"/>
      <c r="B311" s="19"/>
      <c r="C311" s="374"/>
      <c r="D311" s="2"/>
      <c r="E311" s="19"/>
      <c r="F311" s="19"/>
      <c r="G311" s="19"/>
      <c r="H311" s="19"/>
      <c r="I311" s="19"/>
      <c r="J311" s="19"/>
      <c r="K311" s="19"/>
      <c r="L311" s="2"/>
      <c r="M311" s="19"/>
      <c r="N311" s="19"/>
      <c r="O311" s="84"/>
      <c r="P311" s="19"/>
      <c r="Q311" s="91"/>
      <c r="R311" s="19"/>
      <c r="S311" s="91"/>
      <c r="T311" s="19"/>
      <c r="U311" s="375"/>
    </row>
    <row r="312" spans="1:21" ht="15.75" customHeight="1" x14ac:dyDescent="0.25">
      <c r="A312" s="2"/>
      <c r="B312" s="19"/>
      <c r="C312" s="374"/>
      <c r="D312" s="2"/>
      <c r="E312" s="19"/>
      <c r="F312" s="19"/>
      <c r="G312" s="19"/>
      <c r="H312" s="19"/>
      <c r="I312" s="19"/>
      <c r="J312" s="19"/>
      <c r="K312" s="19"/>
      <c r="L312" s="2"/>
      <c r="M312" s="19"/>
      <c r="N312" s="19"/>
      <c r="O312" s="84"/>
      <c r="P312" s="19"/>
      <c r="Q312" s="91"/>
      <c r="R312" s="19"/>
      <c r="S312" s="91"/>
      <c r="T312" s="19"/>
      <c r="U312" s="375"/>
    </row>
    <row r="313" spans="1:21" ht="15.75" customHeight="1" x14ac:dyDescent="0.25">
      <c r="A313" s="2"/>
      <c r="B313" s="19"/>
      <c r="C313" s="374"/>
      <c r="D313" s="2"/>
      <c r="E313" s="19"/>
      <c r="F313" s="19"/>
      <c r="G313" s="19"/>
      <c r="H313" s="19"/>
      <c r="I313" s="19"/>
      <c r="J313" s="19"/>
      <c r="K313" s="19"/>
      <c r="L313" s="2"/>
      <c r="M313" s="19"/>
      <c r="N313" s="19"/>
      <c r="O313" s="84"/>
      <c r="P313" s="19"/>
      <c r="Q313" s="91"/>
      <c r="R313" s="19"/>
      <c r="S313" s="91"/>
      <c r="T313" s="19"/>
      <c r="U313" s="375"/>
    </row>
    <row r="314" spans="1:21" ht="15.75" customHeight="1" x14ac:dyDescent="0.25">
      <c r="A314" s="2"/>
      <c r="B314" s="19"/>
      <c r="C314" s="374"/>
      <c r="D314" s="2"/>
      <c r="E314" s="19"/>
      <c r="F314" s="19"/>
      <c r="G314" s="19"/>
      <c r="H314" s="19"/>
      <c r="I314" s="19"/>
      <c r="J314" s="19"/>
      <c r="K314" s="19"/>
      <c r="L314" s="2"/>
      <c r="M314" s="19"/>
      <c r="N314" s="19"/>
      <c r="O314" s="84"/>
      <c r="P314" s="19"/>
      <c r="Q314" s="91"/>
      <c r="R314" s="19"/>
      <c r="S314" s="91"/>
      <c r="T314" s="19"/>
      <c r="U314" s="375"/>
    </row>
    <row r="315" spans="1:21" ht="15.75" customHeight="1" x14ac:dyDescent="0.25">
      <c r="A315" s="2"/>
      <c r="B315" s="19"/>
      <c r="C315" s="374"/>
      <c r="D315" s="2"/>
      <c r="E315" s="19"/>
      <c r="F315" s="19"/>
      <c r="G315" s="19"/>
      <c r="H315" s="19"/>
      <c r="I315" s="19"/>
      <c r="J315" s="19"/>
      <c r="K315" s="19"/>
      <c r="L315" s="2"/>
      <c r="M315" s="19"/>
      <c r="N315" s="19"/>
      <c r="O315" s="84"/>
      <c r="P315" s="19"/>
      <c r="Q315" s="91"/>
      <c r="R315" s="19"/>
      <c r="S315" s="91"/>
      <c r="T315" s="19"/>
      <c r="U315" s="375"/>
    </row>
    <row r="316" spans="1:21" ht="15.75" customHeight="1" x14ac:dyDescent="0.25">
      <c r="A316" s="2"/>
      <c r="B316" s="19"/>
      <c r="C316" s="374"/>
      <c r="D316" s="2"/>
      <c r="E316" s="19"/>
      <c r="F316" s="19"/>
      <c r="G316" s="19"/>
      <c r="H316" s="19"/>
      <c r="I316" s="19"/>
      <c r="J316" s="19"/>
      <c r="K316" s="19"/>
      <c r="L316" s="2"/>
      <c r="M316" s="19"/>
      <c r="N316" s="19"/>
      <c r="O316" s="84"/>
      <c r="P316" s="19"/>
      <c r="Q316" s="91"/>
      <c r="R316" s="19"/>
      <c r="S316" s="91"/>
      <c r="T316" s="19"/>
      <c r="U316" s="375"/>
    </row>
    <row r="317" spans="1:21" ht="15.75" customHeight="1" x14ac:dyDescent="0.25">
      <c r="A317" s="2"/>
      <c r="B317" s="19"/>
      <c r="C317" s="374"/>
      <c r="D317" s="2"/>
      <c r="E317" s="19"/>
      <c r="F317" s="19"/>
      <c r="G317" s="19"/>
      <c r="H317" s="19"/>
      <c r="I317" s="19"/>
      <c r="J317" s="19"/>
      <c r="K317" s="19"/>
      <c r="L317" s="2"/>
      <c r="M317" s="19"/>
      <c r="N317" s="19"/>
      <c r="O317" s="84"/>
      <c r="P317" s="19"/>
      <c r="Q317" s="91"/>
      <c r="R317" s="19"/>
      <c r="S317" s="91"/>
      <c r="T317" s="19"/>
      <c r="U317" s="375"/>
    </row>
    <row r="318" spans="1:21" ht="15.75" customHeight="1" x14ac:dyDescent="0.25">
      <c r="A318" s="2"/>
      <c r="B318" s="19"/>
      <c r="C318" s="374"/>
      <c r="D318" s="2"/>
      <c r="E318" s="19"/>
      <c r="F318" s="19"/>
      <c r="G318" s="19"/>
      <c r="H318" s="19"/>
      <c r="I318" s="19"/>
      <c r="J318" s="19"/>
      <c r="K318" s="19"/>
      <c r="L318" s="2"/>
      <c r="M318" s="19"/>
      <c r="N318" s="19"/>
      <c r="O318" s="84"/>
      <c r="P318" s="19"/>
      <c r="Q318" s="91"/>
      <c r="R318" s="19"/>
      <c r="S318" s="91"/>
      <c r="T318" s="19"/>
      <c r="U318" s="375"/>
    </row>
    <row r="319" spans="1:21" ht="15.75" customHeight="1" x14ac:dyDescent="0.25">
      <c r="A319" s="2"/>
      <c r="B319" s="19"/>
      <c r="C319" s="374"/>
      <c r="D319" s="2"/>
      <c r="E319" s="19"/>
      <c r="F319" s="19"/>
      <c r="G319" s="19"/>
      <c r="H319" s="19"/>
      <c r="I319" s="19"/>
      <c r="J319" s="19"/>
      <c r="K319" s="19"/>
      <c r="L319" s="2"/>
      <c r="M319" s="19"/>
      <c r="N319" s="19"/>
      <c r="O319" s="84"/>
      <c r="P319" s="19"/>
      <c r="Q319" s="91"/>
      <c r="R319" s="19"/>
      <c r="S319" s="91"/>
      <c r="T319" s="19"/>
      <c r="U319" s="375"/>
    </row>
    <row r="320" spans="1:21" ht="15.75" customHeight="1" x14ac:dyDescent="0.25">
      <c r="A320" s="2"/>
      <c r="B320" s="19"/>
      <c r="C320" s="374"/>
      <c r="D320" s="2"/>
      <c r="E320" s="19"/>
      <c r="F320" s="19"/>
      <c r="G320" s="19"/>
      <c r="H320" s="19"/>
      <c r="I320" s="19"/>
      <c r="J320" s="19"/>
      <c r="K320" s="19"/>
      <c r="L320" s="2"/>
      <c r="M320" s="19"/>
      <c r="N320" s="19"/>
      <c r="O320" s="84"/>
      <c r="P320" s="19"/>
      <c r="Q320" s="91"/>
      <c r="R320" s="19"/>
      <c r="S320" s="91"/>
      <c r="T320" s="19"/>
      <c r="U320" s="375"/>
    </row>
    <row r="321" spans="1:21" ht="15.75" customHeight="1" x14ac:dyDescent="0.25">
      <c r="A321" s="2"/>
      <c r="B321" s="19"/>
      <c r="C321" s="374"/>
      <c r="D321" s="2"/>
      <c r="E321" s="19"/>
      <c r="F321" s="19"/>
      <c r="G321" s="19"/>
      <c r="H321" s="19"/>
      <c r="I321" s="19"/>
      <c r="J321" s="19"/>
      <c r="K321" s="19"/>
      <c r="L321" s="2"/>
      <c r="M321" s="19"/>
      <c r="N321" s="19"/>
      <c r="O321" s="84"/>
      <c r="P321" s="19"/>
      <c r="Q321" s="91"/>
      <c r="R321" s="19"/>
      <c r="S321" s="91"/>
      <c r="T321" s="19"/>
      <c r="U321" s="375"/>
    </row>
    <row r="322" spans="1:21" ht="15.75" customHeight="1" x14ac:dyDescent="0.25">
      <c r="A322" s="2"/>
      <c r="B322" s="19"/>
      <c r="C322" s="374"/>
      <c r="D322" s="2"/>
      <c r="E322" s="19"/>
      <c r="F322" s="19"/>
      <c r="G322" s="19"/>
      <c r="H322" s="19"/>
      <c r="I322" s="19"/>
      <c r="J322" s="19"/>
      <c r="K322" s="19"/>
      <c r="L322" s="2"/>
      <c r="M322" s="19"/>
      <c r="N322" s="19"/>
      <c r="O322" s="84"/>
      <c r="P322" s="19"/>
      <c r="Q322" s="91"/>
      <c r="R322" s="19"/>
      <c r="S322" s="91"/>
      <c r="T322" s="19"/>
      <c r="U322" s="375"/>
    </row>
    <row r="323" spans="1:21" ht="15.75" customHeight="1" x14ac:dyDescent="0.25">
      <c r="A323" s="2"/>
      <c r="B323" s="19"/>
      <c r="C323" s="374"/>
      <c r="D323" s="2"/>
      <c r="E323" s="19"/>
      <c r="F323" s="19"/>
      <c r="G323" s="19"/>
      <c r="H323" s="19"/>
      <c r="I323" s="19"/>
      <c r="J323" s="19"/>
      <c r="K323" s="19"/>
      <c r="L323" s="2"/>
      <c r="M323" s="19"/>
      <c r="N323" s="19"/>
      <c r="O323" s="84"/>
      <c r="P323" s="19"/>
      <c r="Q323" s="91"/>
      <c r="R323" s="19"/>
      <c r="S323" s="91"/>
      <c r="T323" s="19"/>
      <c r="U323" s="375"/>
    </row>
    <row r="324" spans="1:21" ht="15.75" customHeight="1" x14ac:dyDescent="0.25">
      <c r="A324" s="2"/>
      <c r="B324" s="19"/>
      <c r="C324" s="374"/>
      <c r="D324" s="2"/>
      <c r="E324" s="19"/>
      <c r="F324" s="19"/>
      <c r="G324" s="19"/>
      <c r="H324" s="19"/>
      <c r="I324" s="19"/>
      <c r="J324" s="19"/>
      <c r="K324" s="19"/>
      <c r="L324" s="2"/>
      <c r="M324" s="19"/>
      <c r="N324" s="19"/>
      <c r="O324" s="84"/>
      <c r="P324" s="19"/>
      <c r="Q324" s="91"/>
      <c r="R324" s="19"/>
      <c r="S324" s="91"/>
      <c r="T324" s="19"/>
      <c r="U324" s="375"/>
    </row>
    <row r="325" spans="1:21" ht="15.75" customHeight="1" x14ac:dyDescent="0.25">
      <c r="A325" s="2"/>
      <c r="B325" s="19"/>
      <c r="C325" s="374"/>
      <c r="D325" s="2"/>
      <c r="E325" s="19"/>
      <c r="F325" s="19"/>
      <c r="G325" s="19"/>
      <c r="H325" s="19"/>
      <c r="I325" s="19"/>
      <c r="J325" s="19"/>
      <c r="K325" s="19"/>
      <c r="L325" s="2"/>
      <c r="M325" s="19"/>
      <c r="N325" s="19"/>
      <c r="O325" s="84"/>
      <c r="P325" s="19"/>
      <c r="Q325" s="91"/>
      <c r="R325" s="19"/>
      <c r="S325" s="91"/>
      <c r="T325" s="19"/>
      <c r="U325" s="375"/>
    </row>
    <row r="326" spans="1:21" ht="15.75" customHeight="1" x14ac:dyDescent="0.25">
      <c r="A326" s="2"/>
      <c r="B326" s="19"/>
      <c r="C326" s="374"/>
      <c r="D326" s="2"/>
      <c r="E326" s="19"/>
      <c r="F326" s="19"/>
      <c r="G326" s="19"/>
      <c r="H326" s="19"/>
      <c r="I326" s="19"/>
      <c r="J326" s="19"/>
      <c r="K326" s="19"/>
      <c r="L326" s="2"/>
      <c r="M326" s="19"/>
      <c r="N326" s="19"/>
      <c r="O326" s="84"/>
      <c r="P326" s="19"/>
      <c r="Q326" s="91"/>
      <c r="R326" s="19"/>
      <c r="S326" s="91"/>
      <c r="T326" s="19"/>
      <c r="U326" s="375"/>
    </row>
    <row r="327" spans="1:21" ht="15.75" customHeight="1" x14ac:dyDescent="0.25">
      <c r="A327" s="2"/>
      <c r="B327" s="19"/>
      <c r="C327" s="374"/>
      <c r="D327" s="2"/>
      <c r="E327" s="19"/>
      <c r="F327" s="19"/>
      <c r="G327" s="19"/>
      <c r="H327" s="19"/>
      <c r="I327" s="19"/>
      <c r="J327" s="19"/>
      <c r="K327" s="19"/>
      <c r="L327" s="2"/>
      <c r="M327" s="19"/>
      <c r="N327" s="19"/>
      <c r="O327" s="84"/>
      <c r="P327" s="19"/>
      <c r="Q327" s="91"/>
      <c r="R327" s="19"/>
      <c r="S327" s="91"/>
      <c r="T327" s="19"/>
      <c r="U327" s="375"/>
    </row>
    <row r="328" spans="1:21" ht="15.75" customHeight="1" x14ac:dyDescent="0.25">
      <c r="A328" s="2"/>
      <c r="B328" s="19"/>
      <c r="C328" s="374"/>
      <c r="D328" s="2"/>
      <c r="E328" s="19"/>
      <c r="F328" s="19"/>
      <c r="G328" s="19"/>
      <c r="H328" s="19"/>
      <c r="I328" s="19"/>
      <c r="J328" s="19"/>
      <c r="K328" s="19"/>
      <c r="L328" s="2"/>
      <c r="M328" s="19"/>
      <c r="N328" s="19"/>
      <c r="O328" s="84"/>
      <c r="P328" s="19"/>
      <c r="Q328" s="91"/>
      <c r="R328" s="19"/>
      <c r="S328" s="91"/>
      <c r="T328" s="19"/>
      <c r="U328" s="375"/>
    </row>
    <row r="329" spans="1:21" ht="15.75" customHeight="1" x14ac:dyDescent="0.25">
      <c r="A329" s="2"/>
      <c r="B329" s="19"/>
      <c r="C329" s="374"/>
      <c r="D329" s="2"/>
      <c r="E329" s="19"/>
      <c r="F329" s="19"/>
      <c r="G329" s="19"/>
      <c r="H329" s="19"/>
      <c r="I329" s="19"/>
      <c r="J329" s="19"/>
      <c r="K329" s="19"/>
      <c r="L329" s="2"/>
      <c r="M329" s="19"/>
      <c r="N329" s="19"/>
      <c r="O329" s="84"/>
      <c r="P329" s="19"/>
      <c r="Q329" s="91"/>
      <c r="R329" s="19"/>
      <c r="S329" s="91"/>
      <c r="T329" s="19"/>
      <c r="U329" s="375"/>
    </row>
    <row r="330" spans="1:21" ht="15.75" customHeight="1" x14ac:dyDescent="0.25">
      <c r="A330" s="2"/>
      <c r="B330" s="19"/>
      <c r="C330" s="374"/>
      <c r="D330" s="2"/>
      <c r="E330" s="19"/>
      <c r="F330" s="19"/>
      <c r="G330" s="19"/>
      <c r="H330" s="19"/>
      <c r="I330" s="19"/>
      <c r="J330" s="19"/>
      <c r="K330" s="19"/>
      <c r="L330" s="2"/>
      <c r="M330" s="19"/>
      <c r="N330" s="19"/>
      <c r="O330" s="84"/>
      <c r="P330" s="19"/>
      <c r="Q330" s="91"/>
      <c r="R330" s="19"/>
      <c r="S330" s="91"/>
      <c r="T330" s="19"/>
      <c r="U330" s="375"/>
    </row>
    <row r="331" spans="1:21" ht="15.75" customHeight="1" x14ac:dyDescent="0.25">
      <c r="A331" s="2"/>
      <c r="B331" s="19"/>
      <c r="C331" s="374"/>
      <c r="D331" s="2"/>
      <c r="E331" s="19"/>
      <c r="F331" s="19"/>
      <c r="G331" s="19"/>
      <c r="H331" s="19"/>
      <c r="I331" s="19"/>
      <c r="J331" s="19"/>
      <c r="K331" s="19"/>
      <c r="L331" s="2"/>
      <c r="M331" s="19"/>
      <c r="N331" s="19"/>
      <c r="O331" s="84"/>
      <c r="P331" s="19"/>
      <c r="Q331" s="91"/>
      <c r="R331" s="19"/>
      <c r="S331" s="91"/>
      <c r="T331" s="19"/>
      <c r="U331" s="375"/>
    </row>
    <row r="332" spans="1:21" ht="15.75" customHeight="1" x14ac:dyDescent="0.25">
      <c r="A332" s="2"/>
      <c r="B332" s="19"/>
      <c r="C332" s="374"/>
      <c r="D332" s="2"/>
      <c r="E332" s="19"/>
      <c r="F332" s="19"/>
      <c r="G332" s="19"/>
      <c r="H332" s="19"/>
      <c r="I332" s="19"/>
      <c r="J332" s="19"/>
      <c r="K332" s="19"/>
      <c r="L332" s="2"/>
      <c r="M332" s="19"/>
      <c r="N332" s="19"/>
      <c r="O332" s="84"/>
      <c r="P332" s="19"/>
      <c r="Q332" s="91"/>
      <c r="R332" s="19"/>
      <c r="S332" s="91"/>
      <c r="T332" s="19"/>
      <c r="U332" s="375"/>
    </row>
    <row r="333" spans="1:21" ht="15.75" customHeight="1" x14ac:dyDescent="0.25">
      <c r="A333" s="2"/>
      <c r="B333" s="19"/>
      <c r="C333" s="374"/>
      <c r="D333" s="2"/>
      <c r="E333" s="19"/>
      <c r="F333" s="19"/>
      <c r="G333" s="19"/>
      <c r="H333" s="19"/>
      <c r="I333" s="19"/>
      <c r="J333" s="19"/>
      <c r="K333" s="19"/>
      <c r="L333" s="2"/>
      <c r="M333" s="19"/>
      <c r="N333" s="19"/>
      <c r="O333" s="84"/>
      <c r="P333" s="19"/>
      <c r="Q333" s="91"/>
      <c r="R333" s="19"/>
      <c r="S333" s="91"/>
      <c r="T333" s="19"/>
      <c r="U333" s="375"/>
    </row>
    <row r="334" spans="1:21" ht="15.75" customHeight="1" x14ac:dyDescent="0.25">
      <c r="A334" s="2"/>
      <c r="B334" s="19"/>
      <c r="C334" s="374"/>
      <c r="D334" s="2"/>
      <c r="E334" s="19"/>
      <c r="F334" s="19"/>
      <c r="G334" s="19"/>
      <c r="H334" s="19"/>
      <c r="I334" s="19"/>
      <c r="J334" s="19"/>
      <c r="K334" s="19"/>
      <c r="L334" s="2"/>
      <c r="M334" s="19"/>
      <c r="N334" s="19"/>
      <c r="O334" s="84"/>
      <c r="P334" s="19"/>
      <c r="Q334" s="91"/>
      <c r="R334" s="19"/>
      <c r="S334" s="91"/>
      <c r="T334" s="19"/>
      <c r="U334" s="375"/>
    </row>
    <row r="335" spans="1:21" ht="15.75" customHeight="1" x14ac:dyDescent="0.25">
      <c r="A335" s="2"/>
      <c r="B335" s="19"/>
      <c r="C335" s="374"/>
      <c r="D335" s="2"/>
      <c r="E335" s="19"/>
      <c r="F335" s="19"/>
      <c r="G335" s="19"/>
      <c r="H335" s="19"/>
      <c r="I335" s="19"/>
      <c r="J335" s="19"/>
      <c r="K335" s="19"/>
      <c r="L335" s="2"/>
      <c r="M335" s="19"/>
      <c r="N335" s="19"/>
      <c r="O335" s="84"/>
      <c r="P335" s="19"/>
      <c r="Q335" s="91"/>
      <c r="R335" s="19"/>
      <c r="S335" s="91"/>
      <c r="T335" s="19"/>
      <c r="U335" s="375"/>
    </row>
    <row r="336" spans="1:21" ht="15.75" customHeight="1" x14ac:dyDescent="0.25">
      <c r="A336" s="2"/>
      <c r="B336" s="19"/>
      <c r="C336" s="374"/>
      <c r="D336" s="2"/>
      <c r="E336" s="19"/>
      <c r="F336" s="19"/>
      <c r="G336" s="19"/>
      <c r="H336" s="19"/>
      <c r="I336" s="19"/>
      <c r="J336" s="19"/>
      <c r="K336" s="19"/>
      <c r="L336" s="2"/>
      <c r="M336" s="19"/>
      <c r="N336" s="19"/>
      <c r="O336" s="84"/>
      <c r="P336" s="19"/>
      <c r="Q336" s="91"/>
      <c r="R336" s="19"/>
      <c r="S336" s="91"/>
      <c r="T336" s="19"/>
      <c r="U336" s="375"/>
    </row>
    <row r="337" spans="1:21" ht="15.75" customHeight="1" x14ac:dyDescent="0.25">
      <c r="A337" s="2"/>
      <c r="B337" s="19"/>
      <c r="C337" s="374"/>
      <c r="D337" s="2"/>
      <c r="E337" s="19"/>
      <c r="F337" s="19"/>
      <c r="G337" s="19"/>
      <c r="H337" s="19"/>
      <c r="I337" s="19"/>
      <c r="J337" s="19"/>
      <c r="K337" s="19"/>
      <c r="L337" s="2"/>
      <c r="M337" s="19"/>
      <c r="N337" s="19"/>
      <c r="O337" s="84"/>
      <c r="P337" s="19"/>
      <c r="Q337" s="91"/>
      <c r="R337" s="19"/>
      <c r="S337" s="91"/>
      <c r="T337" s="19"/>
      <c r="U337" s="375"/>
    </row>
    <row r="338" spans="1:21" ht="15.75" customHeight="1" x14ac:dyDescent="0.25">
      <c r="A338" s="2"/>
      <c r="B338" s="19"/>
      <c r="C338" s="374"/>
      <c r="D338" s="2"/>
      <c r="E338" s="19"/>
      <c r="F338" s="19"/>
      <c r="G338" s="19"/>
      <c r="H338" s="19"/>
      <c r="I338" s="19"/>
      <c r="J338" s="19"/>
      <c r="K338" s="19"/>
      <c r="L338" s="2"/>
      <c r="M338" s="19"/>
      <c r="N338" s="19"/>
      <c r="O338" s="84"/>
      <c r="P338" s="19"/>
      <c r="Q338" s="91"/>
      <c r="R338" s="19"/>
      <c r="S338" s="91"/>
      <c r="T338" s="19"/>
      <c r="U338" s="375"/>
    </row>
    <row r="339" spans="1:21" ht="15.75" customHeight="1" x14ac:dyDescent="0.25">
      <c r="A339" s="2"/>
      <c r="B339" s="19"/>
      <c r="C339" s="374"/>
      <c r="D339" s="2"/>
      <c r="E339" s="19"/>
      <c r="F339" s="19"/>
      <c r="G339" s="19"/>
      <c r="H339" s="19"/>
      <c r="I339" s="19"/>
      <c r="J339" s="19"/>
      <c r="K339" s="19"/>
      <c r="L339" s="2"/>
      <c r="M339" s="19"/>
      <c r="N339" s="19"/>
      <c r="O339" s="84"/>
      <c r="P339" s="19"/>
      <c r="Q339" s="91"/>
      <c r="R339" s="19"/>
      <c r="S339" s="91"/>
      <c r="T339" s="19"/>
      <c r="U339" s="375"/>
    </row>
    <row r="340" spans="1:21" ht="15.75" customHeight="1" x14ac:dyDescent="0.25">
      <c r="A340" s="2"/>
      <c r="B340" s="19"/>
      <c r="C340" s="374"/>
      <c r="D340" s="2"/>
      <c r="E340" s="19"/>
      <c r="F340" s="19"/>
      <c r="G340" s="19"/>
      <c r="H340" s="19"/>
      <c r="I340" s="19"/>
      <c r="J340" s="19"/>
      <c r="K340" s="19"/>
      <c r="L340" s="2"/>
      <c r="M340" s="19"/>
      <c r="N340" s="19"/>
      <c r="O340" s="84"/>
      <c r="P340" s="19"/>
      <c r="Q340" s="91"/>
      <c r="R340" s="19"/>
      <c r="S340" s="91"/>
      <c r="T340" s="19"/>
      <c r="U340" s="375"/>
    </row>
    <row r="341" spans="1:21" ht="15.75" customHeight="1" x14ac:dyDescent="0.25">
      <c r="A341" s="2"/>
      <c r="B341" s="19"/>
      <c r="C341" s="374"/>
      <c r="D341" s="2"/>
      <c r="E341" s="19"/>
      <c r="F341" s="19"/>
      <c r="G341" s="19"/>
      <c r="H341" s="19"/>
      <c r="I341" s="19"/>
      <c r="J341" s="19"/>
      <c r="K341" s="19"/>
      <c r="L341" s="2"/>
      <c r="M341" s="19"/>
      <c r="N341" s="19"/>
      <c r="O341" s="84"/>
      <c r="P341" s="19"/>
      <c r="Q341" s="91"/>
      <c r="R341" s="19"/>
      <c r="S341" s="91"/>
      <c r="T341" s="19"/>
      <c r="U341" s="375"/>
    </row>
    <row r="342" spans="1:21" ht="15.75" customHeight="1" x14ac:dyDescent="0.25">
      <c r="A342" s="2"/>
      <c r="B342" s="19"/>
      <c r="C342" s="374"/>
      <c r="D342" s="2"/>
      <c r="E342" s="19"/>
      <c r="F342" s="19"/>
      <c r="G342" s="19"/>
      <c r="H342" s="19"/>
      <c r="I342" s="19"/>
      <c r="J342" s="19"/>
      <c r="K342" s="19"/>
      <c r="L342" s="2"/>
      <c r="M342" s="19"/>
      <c r="N342" s="19"/>
      <c r="O342" s="84"/>
      <c r="P342" s="19"/>
      <c r="Q342" s="91"/>
      <c r="R342" s="19"/>
      <c r="S342" s="91"/>
      <c r="T342" s="19"/>
      <c r="U342" s="375"/>
    </row>
    <row r="343" spans="1:21" ht="15.75" customHeight="1" x14ac:dyDescent="0.25">
      <c r="A343" s="2"/>
      <c r="B343" s="19"/>
      <c r="C343" s="374"/>
      <c r="D343" s="2"/>
      <c r="E343" s="19"/>
      <c r="F343" s="19"/>
      <c r="G343" s="19"/>
      <c r="H343" s="19"/>
      <c r="I343" s="19"/>
      <c r="J343" s="19"/>
      <c r="K343" s="19"/>
      <c r="L343" s="2"/>
      <c r="M343" s="19"/>
      <c r="N343" s="19"/>
      <c r="O343" s="84"/>
      <c r="P343" s="19"/>
      <c r="Q343" s="91"/>
      <c r="R343" s="19"/>
      <c r="S343" s="91"/>
      <c r="T343" s="19"/>
      <c r="U343" s="375"/>
    </row>
    <row r="344" spans="1:21" ht="15.75" customHeight="1" x14ac:dyDescent="0.25">
      <c r="A344" s="2"/>
      <c r="B344" s="19"/>
      <c r="C344" s="374"/>
      <c r="D344" s="2"/>
      <c r="E344" s="19"/>
      <c r="F344" s="19"/>
      <c r="G344" s="19"/>
      <c r="H344" s="19"/>
      <c r="I344" s="19"/>
      <c r="J344" s="19"/>
      <c r="K344" s="19"/>
      <c r="L344" s="2"/>
      <c r="M344" s="19"/>
      <c r="N344" s="19"/>
      <c r="O344" s="84"/>
      <c r="P344" s="19"/>
      <c r="Q344" s="91"/>
      <c r="R344" s="19"/>
      <c r="S344" s="91"/>
      <c r="T344" s="19"/>
      <c r="U344" s="375"/>
    </row>
    <row r="345" spans="1:21" ht="15.75" customHeight="1" x14ac:dyDescent="0.25">
      <c r="A345" s="2"/>
      <c r="B345" s="19"/>
      <c r="C345" s="374"/>
      <c r="D345" s="2"/>
      <c r="E345" s="19"/>
      <c r="F345" s="19"/>
      <c r="G345" s="19"/>
      <c r="H345" s="19"/>
      <c r="I345" s="19"/>
      <c r="J345" s="19"/>
      <c r="K345" s="19"/>
      <c r="L345" s="2"/>
      <c r="M345" s="19"/>
      <c r="N345" s="19"/>
      <c r="O345" s="84"/>
      <c r="P345" s="19"/>
      <c r="Q345" s="91"/>
      <c r="R345" s="19"/>
      <c r="S345" s="91"/>
      <c r="T345" s="19"/>
      <c r="U345" s="375"/>
    </row>
    <row r="346" spans="1:21" ht="15.75" customHeight="1" x14ac:dyDescent="0.25">
      <c r="A346" s="2"/>
      <c r="B346" s="19"/>
      <c r="C346" s="374"/>
      <c r="D346" s="2"/>
      <c r="E346" s="19"/>
      <c r="F346" s="19"/>
      <c r="G346" s="19"/>
      <c r="H346" s="19"/>
      <c r="I346" s="19"/>
      <c r="J346" s="19"/>
      <c r="K346" s="19"/>
      <c r="L346" s="2"/>
      <c r="M346" s="19"/>
      <c r="N346" s="19"/>
      <c r="O346" s="84"/>
      <c r="P346" s="19"/>
      <c r="Q346" s="91"/>
      <c r="R346" s="19"/>
      <c r="S346" s="91"/>
      <c r="T346" s="19"/>
      <c r="U346" s="375"/>
    </row>
    <row r="347" spans="1:21" ht="15.75" customHeight="1" x14ac:dyDescent="0.25">
      <c r="A347" s="2"/>
      <c r="B347" s="19"/>
      <c r="C347" s="374"/>
      <c r="D347" s="2"/>
      <c r="E347" s="19"/>
      <c r="F347" s="19"/>
      <c r="G347" s="19"/>
      <c r="H347" s="19"/>
      <c r="I347" s="19"/>
      <c r="J347" s="19"/>
      <c r="K347" s="19"/>
      <c r="L347" s="2"/>
      <c r="M347" s="19"/>
      <c r="N347" s="19"/>
      <c r="O347" s="84"/>
      <c r="P347" s="19"/>
      <c r="Q347" s="91"/>
      <c r="R347" s="19"/>
      <c r="S347" s="91"/>
      <c r="T347" s="19"/>
      <c r="U347" s="375"/>
    </row>
    <row r="348" spans="1:21" ht="15.75" customHeight="1" x14ac:dyDescent="0.25">
      <c r="A348" s="2"/>
      <c r="B348" s="19"/>
      <c r="C348" s="374"/>
      <c r="D348" s="2"/>
      <c r="E348" s="19"/>
      <c r="F348" s="19"/>
      <c r="G348" s="19"/>
      <c r="H348" s="19"/>
      <c r="I348" s="19"/>
      <c r="J348" s="19"/>
      <c r="K348" s="19"/>
      <c r="L348" s="2"/>
      <c r="M348" s="19"/>
      <c r="N348" s="19"/>
      <c r="O348" s="84"/>
      <c r="P348" s="19"/>
      <c r="Q348" s="91"/>
      <c r="R348" s="19"/>
      <c r="S348" s="91"/>
      <c r="T348" s="19"/>
      <c r="U348" s="375"/>
    </row>
    <row r="349" spans="1:21" ht="15.75" customHeight="1" x14ac:dyDescent="0.25">
      <c r="A349" s="2"/>
      <c r="B349" s="19"/>
      <c r="C349" s="374"/>
      <c r="D349" s="2"/>
      <c r="E349" s="19"/>
      <c r="F349" s="19"/>
      <c r="G349" s="19"/>
      <c r="H349" s="19"/>
      <c r="I349" s="19"/>
      <c r="J349" s="19"/>
      <c r="K349" s="19"/>
      <c r="L349" s="2"/>
      <c r="M349" s="19"/>
      <c r="N349" s="19"/>
      <c r="O349" s="84"/>
      <c r="P349" s="19"/>
      <c r="Q349" s="91"/>
      <c r="R349" s="19"/>
      <c r="S349" s="91"/>
      <c r="T349" s="19"/>
      <c r="U349" s="375"/>
    </row>
    <row r="350" spans="1:21" ht="15.75" customHeight="1" x14ac:dyDescent="0.25">
      <c r="A350" s="2"/>
      <c r="B350" s="19"/>
      <c r="C350" s="374"/>
      <c r="D350" s="2"/>
      <c r="E350" s="19"/>
      <c r="F350" s="19"/>
      <c r="G350" s="19"/>
      <c r="H350" s="19"/>
      <c r="I350" s="19"/>
      <c r="J350" s="19"/>
      <c r="K350" s="19"/>
      <c r="L350" s="2"/>
      <c r="M350" s="19"/>
      <c r="N350" s="19"/>
      <c r="O350" s="84"/>
      <c r="P350" s="19"/>
      <c r="Q350" s="91"/>
      <c r="R350" s="19"/>
      <c r="S350" s="91"/>
      <c r="T350" s="19"/>
      <c r="U350" s="375"/>
    </row>
    <row r="351" spans="1:21" ht="15.75" customHeight="1" x14ac:dyDescent="0.25">
      <c r="A351" s="2"/>
      <c r="B351" s="19"/>
      <c r="C351" s="374"/>
      <c r="D351" s="2"/>
      <c r="E351" s="19"/>
      <c r="F351" s="19"/>
      <c r="G351" s="19"/>
      <c r="H351" s="19"/>
      <c r="I351" s="19"/>
      <c r="J351" s="19"/>
      <c r="K351" s="19"/>
      <c r="L351" s="2"/>
      <c r="M351" s="19"/>
      <c r="N351" s="19"/>
      <c r="O351" s="84"/>
      <c r="P351" s="19"/>
      <c r="Q351" s="91"/>
      <c r="R351" s="19"/>
      <c r="S351" s="91"/>
      <c r="T351" s="19"/>
      <c r="U351" s="375"/>
    </row>
    <row r="352" spans="1:21" ht="15.75" customHeight="1" x14ac:dyDescent="0.25">
      <c r="A352" s="2"/>
      <c r="B352" s="19"/>
      <c r="C352" s="374"/>
      <c r="D352" s="2"/>
      <c r="E352" s="19"/>
      <c r="F352" s="19"/>
      <c r="G352" s="19"/>
      <c r="H352" s="19"/>
      <c r="I352" s="19"/>
      <c r="J352" s="19"/>
      <c r="K352" s="19"/>
      <c r="L352" s="2"/>
      <c r="M352" s="19"/>
      <c r="N352" s="19"/>
      <c r="O352" s="84"/>
      <c r="P352" s="19"/>
      <c r="Q352" s="91"/>
      <c r="R352" s="19"/>
      <c r="S352" s="91"/>
      <c r="T352" s="19"/>
      <c r="U352" s="375"/>
    </row>
    <row r="353" spans="1:21" ht="15.75" customHeight="1" x14ac:dyDescent="0.25">
      <c r="A353" s="2"/>
      <c r="B353" s="19"/>
      <c r="C353" s="374"/>
      <c r="D353" s="2"/>
      <c r="E353" s="19"/>
      <c r="F353" s="19"/>
      <c r="G353" s="19"/>
      <c r="H353" s="19"/>
      <c r="I353" s="19"/>
      <c r="J353" s="19"/>
      <c r="K353" s="19"/>
      <c r="L353" s="2"/>
      <c r="M353" s="19"/>
      <c r="N353" s="19"/>
      <c r="O353" s="84"/>
      <c r="P353" s="19"/>
      <c r="Q353" s="91"/>
      <c r="R353" s="19"/>
      <c r="S353" s="91"/>
      <c r="T353" s="19"/>
      <c r="U353" s="375"/>
    </row>
    <row r="354" spans="1:21" ht="15.75" customHeight="1" x14ac:dyDescent="0.25">
      <c r="A354" s="2"/>
      <c r="B354" s="19"/>
      <c r="C354" s="374"/>
      <c r="D354" s="2"/>
      <c r="E354" s="19"/>
      <c r="F354" s="19"/>
      <c r="G354" s="19"/>
      <c r="H354" s="19"/>
      <c r="I354" s="19"/>
      <c r="J354" s="19"/>
      <c r="K354" s="19"/>
      <c r="L354" s="2"/>
      <c r="M354" s="19"/>
      <c r="N354" s="19"/>
      <c r="O354" s="84"/>
      <c r="P354" s="19"/>
      <c r="Q354" s="91"/>
      <c r="R354" s="19"/>
      <c r="S354" s="91"/>
      <c r="T354" s="19"/>
      <c r="U354" s="375"/>
    </row>
    <row r="355" spans="1:21" ht="15.75" customHeight="1" x14ac:dyDescent="0.25">
      <c r="A355" s="2"/>
      <c r="B355" s="19"/>
      <c r="C355" s="374"/>
      <c r="D355" s="2"/>
      <c r="E355" s="19"/>
      <c r="F355" s="19"/>
      <c r="G355" s="19"/>
      <c r="H355" s="19"/>
      <c r="I355" s="19"/>
      <c r="J355" s="19"/>
      <c r="K355" s="19"/>
      <c r="L355" s="2"/>
      <c r="M355" s="19"/>
      <c r="N355" s="19"/>
      <c r="O355" s="84"/>
      <c r="P355" s="19"/>
      <c r="Q355" s="91"/>
      <c r="R355" s="19"/>
      <c r="S355" s="91"/>
      <c r="T355" s="19"/>
      <c r="U355" s="375"/>
    </row>
    <row r="356" spans="1:21" ht="15.75" customHeight="1" x14ac:dyDescent="0.25">
      <c r="A356" s="2"/>
      <c r="B356" s="19"/>
      <c r="C356" s="374"/>
      <c r="D356" s="2"/>
      <c r="E356" s="19"/>
      <c r="F356" s="19"/>
      <c r="G356" s="19"/>
      <c r="H356" s="19"/>
      <c r="I356" s="19"/>
      <c r="J356" s="19"/>
      <c r="K356" s="19"/>
      <c r="L356" s="2"/>
      <c r="M356" s="19"/>
      <c r="N356" s="19"/>
      <c r="O356" s="84"/>
      <c r="P356" s="19"/>
      <c r="Q356" s="91"/>
      <c r="R356" s="19"/>
      <c r="S356" s="91"/>
      <c r="T356" s="19"/>
      <c r="U356" s="375"/>
    </row>
    <row r="357" spans="1:21" ht="15.75" customHeight="1" x14ac:dyDescent="0.25">
      <c r="A357" s="2"/>
      <c r="B357" s="19"/>
      <c r="C357" s="374"/>
      <c r="D357" s="2"/>
      <c r="E357" s="19"/>
      <c r="F357" s="19"/>
      <c r="G357" s="19"/>
      <c r="H357" s="19"/>
      <c r="I357" s="19"/>
      <c r="J357" s="19"/>
      <c r="K357" s="19"/>
      <c r="L357" s="2"/>
      <c r="M357" s="19"/>
      <c r="N357" s="19"/>
      <c r="O357" s="84"/>
      <c r="P357" s="19"/>
      <c r="Q357" s="91"/>
      <c r="R357" s="19"/>
      <c r="S357" s="91"/>
      <c r="T357" s="19"/>
      <c r="U357" s="375"/>
    </row>
    <row r="358" spans="1:21" ht="15.75" customHeight="1" x14ac:dyDescent="0.25">
      <c r="A358" s="2"/>
      <c r="B358" s="19"/>
      <c r="C358" s="374"/>
      <c r="D358" s="2"/>
      <c r="E358" s="19"/>
      <c r="F358" s="19"/>
      <c r="G358" s="19"/>
      <c r="H358" s="19"/>
      <c r="I358" s="19"/>
      <c r="J358" s="19"/>
      <c r="K358" s="19"/>
      <c r="L358" s="2"/>
      <c r="M358" s="19"/>
      <c r="N358" s="19"/>
      <c r="O358" s="84"/>
      <c r="P358" s="19"/>
      <c r="Q358" s="91"/>
      <c r="R358" s="19"/>
      <c r="S358" s="91"/>
      <c r="T358" s="19"/>
      <c r="U358" s="375"/>
    </row>
    <row r="359" spans="1:21" ht="15.75" customHeight="1" x14ac:dyDescent="0.25">
      <c r="A359" s="2"/>
      <c r="B359" s="19"/>
      <c r="C359" s="374"/>
      <c r="D359" s="2"/>
      <c r="E359" s="19"/>
      <c r="F359" s="19"/>
      <c r="G359" s="19"/>
      <c r="H359" s="19"/>
      <c r="I359" s="19"/>
      <c r="J359" s="19"/>
      <c r="K359" s="19"/>
      <c r="L359" s="2"/>
      <c r="M359" s="19"/>
      <c r="N359" s="19"/>
      <c r="O359" s="84"/>
      <c r="P359" s="19"/>
      <c r="Q359" s="91"/>
      <c r="R359" s="19"/>
      <c r="S359" s="91"/>
      <c r="T359" s="19"/>
      <c r="U359" s="375"/>
    </row>
    <row r="360" spans="1:21" ht="15.75" customHeight="1" x14ac:dyDescent="0.25">
      <c r="A360" s="2"/>
      <c r="B360" s="19"/>
      <c r="C360" s="374"/>
      <c r="D360" s="2"/>
      <c r="E360" s="19"/>
      <c r="F360" s="19"/>
      <c r="G360" s="19"/>
      <c r="H360" s="19"/>
      <c r="I360" s="19"/>
      <c r="J360" s="19"/>
      <c r="K360" s="19"/>
      <c r="L360" s="2"/>
      <c r="M360" s="19"/>
      <c r="N360" s="19"/>
      <c r="O360" s="84"/>
      <c r="P360" s="19"/>
      <c r="Q360" s="91"/>
      <c r="R360" s="19"/>
      <c r="S360" s="91"/>
      <c r="T360" s="19"/>
      <c r="U360" s="375"/>
    </row>
    <row r="361" spans="1:21" ht="15.75" customHeight="1" x14ac:dyDescent="0.25">
      <c r="A361" s="2"/>
      <c r="B361" s="19"/>
      <c r="C361" s="374"/>
      <c r="D361" s="2"/>
      <c r="E361" s="19"/>
      <c r="F361" s="19"/>
      <c r="G361" s="19"/>
      <c r="H361" s="19"/>
      <c r="I361" s="19"/>
      <c r="J361" s="19"/>
      <c r="K361" s="19"/>
      <c r="L361" s="2"/>
      <c r="M361" s="19"/>
      <c r="N361" s="19"/>
      <c r="O361" s="84"/>
      <c r="P361" s="19"/>
      <c r="Q361" s="91"/>
      <c r="R361" s="19"/>
      <c r="S361" s="91"/>
      <c r="T361" s="19"/>
      <c r="U361" s="375"/>
    </row>
    <row r="362" spans="1:21" ht="15.75" customHeight="1" x14ac:dyDescent="0.25">
      <c r="A362" s="2"/>
      <c r="B362" s="19"/>
      <c r="C362" s="374"/>
      <c r="D362" s="2"/>
      <c r="E362" s="19"/>
      <c r="F362" s="19"/>
      <c r="G362" s="19"/>
      <c r="H362" s="19"/>
      <c r="I362" s="19"/>
      <c r="J362" s="19"/>
      <c r="K362" s="19"/>
      <c r="L362" s="2"/>
      <c r="M362" s="19"/>
      <c r="N362" s="19"/>
      <c r="O362" s="84"/>
      <c r="P362" s="19"/>
      <c r="Q362" s="91"/>
      <c r="R362" s="19"/>
      <c r="S362" s="91"/>
      <c r="T362" s="19"/>
      <c r="U362" s="375"/>
    </row>
    <row r="363" spans="1:21" ht="15.75" customHeight="1" x14ac:dyDescent="0.25">
      <c r="A363" s="2"/>
      <c r="B363" s="19"/>
      <c r="C363" s="374"/>
      <c r="D363" s="2"/>
      <c r="E363" s="19"/>
      <c r="F363" s="19"/>
      <c r="G363" s="19"/>
      <c r="H363" s="19"/>
      <c r="I363" s="19"/>
      <c r="J363" s="19"/>
      <c r="K363" s="19"/>
      <c r="L363" s="2"/>
      <c r="M363" s="19"/>
      <c r="N363" s="19"/>
      <c r="O363" s="84"/>
      <c r="P363" s="19"/>
      <c r="Q363" s="91"/>
      <c r="R363" s="19"/>
      <c r="S363" s="91"/>
      <c r="T363" s="19"/>
      <c r="U363" s="375"/>
    </row>
    <row r="364" spans="1:21" ht="15.75" customHeight="1" x14ac:dyDescent="0.25">
      <c r="A364" s="2"/>
      <c r="B364" s="19"/>
      <c r="C364" s="374"/>
      <c r="D364" s="2"/>
      <c r="E364" s="19"/>
      <c r="F364" s="19"/>
      <c r="G364" s="19"/>
      <c r="H364" s="19"/>
      <c r="I364" s="19"/>
      <c r="J364" s="19"/>
      <c r="K364" s="19"/>
      <c r="L364" s="2"/>
      <c r="M364" s="19"/>
      <c r="N364" s="19"/>
      <c r="O364" s="84"/>
      <c r="P364" s="19"/>
      <c r="Q364" s="91"/>
      <c r="R364" s="19"/>
      <c r="S364" s="91"/>
      <c r="T364" s="19"/>
      <c r="U364" s="375"/>
    </row>
    <row r="365" spans="1:21" ht="15.75" customHeight="1" x14ac:dyDescent="0.25">
      <c r="A365" s="2"/>
      <c r="B365" s="19"/>
      <c r="C365" s="374"/>
      <c r="D365" s="2"/>
      <c r="E365" s="19"/>
      <c r="F365" s="19"/>
      <c r="G365" s="19"/>
      <c r="H365" s="19"/>
      <c r="I365" s="19"/>
      <c r="J365" s="19"/>
      <c r="K365" s="19"/>
      <c r="L365" s="2"/>
      <c r="M365" s="19"/>
      <c r="N365" s="19"/>
      <c r="O365" s="84"/>
      <c r="P365" s="19"/>
      <c r="Q365" s="91"/>
      <c r="R365" s="19"/>
      <c r="S365" s="91"/>
      <c r="T365" s="19"/>
      <c r="U365" s="375"/>
    </row>
    <row r="366" spans="1:21" ht="15.75" customHeight="1" x14ac:dyDescent="0.25">
      <c r="A366" s="2"/>
      <c r="B366" s="19"/>
      <c r="C366" s="374"/>
      <c r="D366" s="2"/>
      <c r="E366" s="19"/>
      <c r="F366" s="19"/>
      <c r="G366" s="19"/>
      <c r="H366" s="19"/>
      <c r="I366" s="19"/>
      <c r="J366" s="19"/>
      <c r="K366" s="19"/>
      <c r="L366" s="2"/>
      <c r="M366" s="19"/>
      <c r="N366" s="19"/>
      <c r="O366" s="84"/>
      <c r="P366" s="19"/>
      <c r="Q366" s="91"/>
      <c r="R366" s="19"/>
      <c r="S366" s="91"/>
      <c r="T366" s="19"/>
      <c r="U366" s="375"/>
    </row>
    <row r="367" spans="1:21" ht="15.75" customHeight="1" x14ac:dyDescent="0.25">
      <c r="A367" s="2"/>
      <c r="B367" s="19"/>
      <c r="C367" s="374"/>
      <c r="D367" s="2"/>
      <c r="E367" s="19"/>
      <c r="F367" s="19"/>
      <c r="G367" s="19"/>
      <c r="H367" s="19"/>
      <c r="I367" s="19"/>
      <c r="J367" s="19"/>
      <c r="K367" s="19"/>
      <c r="L367" s="2"/>
      <c r="M367" s="19"/>
      <c r="N367" s="19"/>
      <c r="O367" s="84"/>
      <c r="P367" s="19"/>
      <c r="Q367" s="91"/>
      <c r="R367" s="19"/>
      <c r="S367" s="91"/>
      <c r="T367" s="19"/>
      <c r="U367" s="375"/>
    </row>
    <row r="368" spans="1:21" ht="15.75" customHeight="1" x14ac:dyDescent="0.25">
      <c r="A368" s="2"/>
      <c r="B368" s="19"/>
      <c r="C368" s="374"/>
      <c r="D368" s="2"/>
      <c r="E368" s="19"/>
      <c r="F368" s="19"/>
      <c r="G368" s="19"/>
      <c r="H368" s="19"/>
      <c r="I368" s="19"/>
      <c r="J368" s="19"/>
      <c r="K368" s="19"/>
      <c r="L368" s="2"/>
      <c r="M368" s="19"/>
      <c r="N368" s="19"/>
      <c r="O368" s="84"/>
      <c r="P368" s="19"/>
      <c r="Q368" s="91"/>
      <c r="R368" s="19"/>
      <c r="S368" s="91"/>
      <c r="T368" s="19"/>
      <c r="U368" s="375"/>
    </row>
    <row r="369" spans="1:21" ht="15.75" customHeight="1" x14ac:dyDescent="0.25">
      <c r="A369" s="2"/>
      <c r="B369" s="19"/>
      <c r="C369" s="374"/>
      <c r="D369" s="2"/>
      <c r="E369" s="19"/>
      <c r="F369" s="19"/>
      <c r="G369" s="19"/>
      <c r="H369" s="19"/>
      <c r="I369" s="19"/>
      <c r="J369" s="19"/>
      <c r="K369" s="19"/>
      <c r="L369" s="2"/>
      <c r="M369" s="19"/>
      <c r="N369" s="19"/>
      <c r="O369" s="84"/>
      <c r="P369" s="19"/>
      <c r="Q369" s="91"/>
      <c r="R369" s="19"/>
      <c r="S369" s="91"/>
      <c r="T369" s="19"/>
      <c r="U369" s="375"/>
    </row>
    <row r="370" spans="1:21" ht="15.75" customHeight="1" x14ac:dyDescent="0.25">
      <c r="A370" s="2"/>
      <c r="B370" s="19"/>
      <c r="C370" s="374"/>
      <c r="D370" s="2"/>
      <c r="E370" s="19"/>
      <c r="F370" s="19"/>
      <c r="G370" s="19"/>
      <c r="H370" s="19"/>
      <c r="I370" s="19"/>
      <c r="J370" s="19"/>
      <c r="K370" s="19"/>
      <c r="L370" s="2"/>
      <c r="M370" s="19"/>
      <c r="N370" s="19"/>
      <c r="O370" s="84"/>
      <c r="P370" s="19"/>
      <c r="Q370" s="91"/>
      <c r="R370" s="19"/>
      <c r="S370" s="91"/>
      <c r="T370" s="19"/>
      <c r="U370" s="375"/>
    </row>
    <row r="371" spans="1:21" ht="15.75" customHeight="1" x14ac:dyDescent="0.25">
      <c r="A371" s="2"/>
      <c r="B371" s="19"/>
      <c r="C371" s="374"/>
      <c r="D371" s="2"/>
      <c r="E371" s="19"/>
      <c r="F371" s="19"/>
      <c r="G371" s="19"/>
      <c r="H371" s="19"/>
      <c r="I371" s="19"/>
      <c r="J371" s="19"/>
      <c r="K371" s="19"/>
      <c r="L371" s="2"/>
      <c r="M371" s="19"/>
      <c r="N371" s="19"/>
      <c r="O371" s="84"/>
      <c r="P371" s="19"/>
      <c r="Q371" s="91"/>
      <c r="R371" s="19"/>
      <c r="S371" s="91"/>
      <c r="T371" s="19"/>
      <c r="U371" s="375"/>
    </row>
    <row r="372" spans="1:21" ht="15.75" customHeight="1" x14ac:dyDescent="0.25">
      <c r="A372" s="2"/>
      <c r="B372" s="19"/>
      <c r="C372" s="374"/>
      <c r="D372" s="2"/>
      <c r="E372" s="19"/>
      <c r="F372" s="19"/>
      <c r="G372" s="19"/>
      <c r="H372" s="19"/>
      <c r="I372" s="19"/>
      <c r="J372" s="19"/>
      <c r="K372" s="19"/>
      <c r="L372" s="2"/>
      <c r="M372" s="19"/>
      <c r="N372" s="19"/>
      <c r="O372" s="84"/>
      <c r="P372" s="19"/>
      <c r="Q372" s="91"/>
      <c r="R372" s="19"/>
      <c r="S372" s="91"/>
      <c r="T372" s="19"/>
      <c r="U372" s="375"/>
    </row>
    <row r="373" spans="1:21" ht="15.75" customHeight="1" x14ac:dyDescent="0.25">
      <c r="A373" s="2"/>
      <c r="B373" s="19"/>
      <c r="C373" s="374"/>
      <c r="D373" s="2"/>
      <c r="E373" s="19"/>
      <c r="F373" s="19"/>
      <c r="G373" s="19"/>
      <c r="H373" s="19"/>
      <c r="I373" s="19"/>
      <c r="J373" s="19"/>
      <c r="K373" s="19"/>
      <c r="L373" s="2"/>
      <c r="M373" s="19"/>
      <c r="N373" s="19"/>
      <c r="O373" s="84"/>
      <c r="P373" s="19"/>
      <c r="Q373" s="91"/>
      <c r="R373" s="19"/>
      <c r="S373" s="91"/>
      <c r="T373" s="19"/>
      <c r="U373" s="375"/>
    </row>
    <row r="374" spans="1:21" ht="15.75" customHeight="1" x14ac:dyDescent="0.25">
      <c r="A374" s="2"/>
      <c r="B374" s="19"/>
      <c r="C374" s="374"/>
      <c r="D374" s="2"/>
      <c r="E374" s="19"/>
      <c r="F374" s="19"/>
      <c r="G374" s="19"/>
      <c r="H374" s="19"/>
      <c r="I374" s="19"/>
      <c r="J374" s="19"/>
      <c r="K374" s="19"/>
      <c r="L374" s="2"/>
      <c r="M374" s="19"/>
      <c r="N374" s="19"/>
      <c r="O374" s="84"/>
      <c r="P374" s="19"/>
      <c r="Q374" s="91"/>
      <c r="R374" s="19"/>
      <c r="S374" s="91"/>
      <c r="T374" s="19"/>
      <c r="U374" s="375"/>
    </row>
    <row r="375" spans="1:21" ht="15.75" customHeight="1" x14ac:dyDescent="0.25">
      <c r="A375" s="2"/>
      <c r="B375" s="19"/>
      <c r="C375" s="374"/>
      <c r="D375" s="2"/>
      <c r="E375" s="19"/>
      <c r="F375" s="19"/>
      <c r="G375" s="19"/>
      <c r="H375" s="19"/>
      <c r="I375" s="19"/>
      <c r="J375" s="19"/>
      <c r="K375" s="19"/>
      <c r="L375" s="2"/>
      <c r="M375" s="19"/>
      <c r="N375" s="19"/>
      <c r="O375" s="84"/>
      <c r="P375" s="19"/>
      <c r="Q375" s="91"/>
      <c r="R375" s="19"/>
      <c r="S375" s="91"/>
      <c r="T375" s="19"/>
      <c r="U375" s="375"/>
    </row>
    <row r="376" spans="1:21" ht="15.75" customHeight="1" x14ac:dyDescent="0.25">
      <c r="A376" s="2"/>
      <c r="B376" s="19"/>
      <c r="C376" s="374"/>
      <c r="D376" s="2"/>
      <c r="E376" s="19"/>
      <c r="F376" s="19"/>
      <c r="G376" s="19"/>
      <c r="H376" s="19"/>
      <c r="I376" s="19"/>
      <c r="J376" s="19"/>
      <c r="K376" s="19"/>
      <c r="L376" s="2"/>
      <c r="M376" s="19"/>
      <c r="N376" s="19"/>
      <c r="O376" s="84"/>
      <c r="P376" s="19"/>
      <c r="Q376" s="91"/>
      <c r="R376" s="19"/>
      <c r="S376" s="91"/>
      <c r="T376" s="19"/>
      <c r="U376" s="375"/>
    </row>
    <row r="377" spans="1:21" ht="15.75" customHeight="1" x14ac:dyDescent="0.25">
      <c r="A377" s="2"/>
      <c r="B377" s="19"/>
      <c r="C377" s="374"/>
      <c r="D377" s="2"/>
      <c r="E377" s="19"/>
      <c r="F377" s="19"/>
      <c r="G377" s="19"/>
      <c r="H377" s="19"/>
      <c r="I377" s="19"/>
      <c r="J377" s="19"/>
      <c r="K377" s="19"/>
      <c r="L377" s="2"/>
      <c r="M377" s="19"/>
      <c r="N377" s="19"/>
      <c r="O377" s="84"/>
      <c r="P377" s="19"/>
      <c r="Q377" s="91"/>
      <c r="R377" s="19"/>
      <c r="S377" s="91"/>
      <c r="T377" s="19"/>
      <c r="U377" s="375"/>
    </row>
    <row r="378" spans="1:21" ht="15.75" customHeight="1" x14ac:dyDescent="0.25">
      <c r="A378" s="2"/>
      <c r="B378" s="19"/>
      <c r="C378" s="374"/>
      <c r="D378" s="2"/>
      <c r="E378" s="19"/>
      <c r="F378" s="19"/>
      <c r="G378" s="19"/>
      <c r="H378" s="19"/>
      <c r="I378" s="19"/>
      <c r="J378" s="19"/>
      <c r="K378" s="19"/>
      <c r="L378" s="2"/>
      <c r="M378" s="19"/>
      <c r="N378" s="19"/>
      <c r="O378" s="84"/>
      <c r="P378" s="19"/>
      <c r="Q378" s="91"/>
      <c r="R378" s="19"/>
      <c r="S378" s="91"/>
      <c r="T378" s="19"/>
      <c r="U378" s="375"/>
    </row>
    <row r="379" spans="1:21" ht="15.75" customHeight="1" x14ac:dyDescent="0.25">
      <c r="A379" s="2"/>
      <c r="B379" s="19"/>
      <c r="C379" s="374"/>
      <c r="D379" s="2"/>
      <c r="E379" s="19"/>
      <c r="F379" s="19"/>
      <c r="G379" s="19"/>
      <c r="H379" s="19"/>
      <c r="I379" s="19"/>
      <c r="J379" s="19"/>
      <c r="K379" s="19"/>
      <c r="L379" s="2"/>
      <c r="M379" s="19"/>
      <c r="N379" s="19"/>
      <c r="O379" s="84"/>
      <c r="P379" s="19"/>
      <c r="Q379" s="91"/>
      <c r="R379" s="19"/>
      <c r="S379" s="91"/>
      <c r="T379" s="19"/>
      <c r="U379" s="375"/>
    </row>
    <row r="380" spans="1:21" ht="15.75" customHeight="1" x14ac:dyDescent="0.25">
      <c r="A380" s="2"/>
      <c r="B380" s="19"/>
      <c r="C380" s="374"/>
      <c r="D380" s="2"/>
      <c r="E380" s="19"/>
      <c r="F380" s="19"/>
      <c r="G380" s="19"/>
      <c r="H380" s="19"/>
      <c r="I380" s="19"/>
      <c r="J380" s="19"/>
      <c r="K380" s="19"/>
      <c r="L380" s="2"/>
      <c r="M380" s="19"/>
      <c r="N380" s="19"/>
      <c r="O380" s="84"/>
      <c r="P380" s="19"/>
      <c r="Q380" s="91"/>
      <c r="R380" s="19"/>
      <c r="S380" s="91"/>
      <c r="T380" s="19"/>
      <c r="U380" s="375"/>
    </row>
    <row r="381" spans="1:21" ht="15.75" customHeight="1" x14ac:dyDescent="0.25">
      <c r="A381" s="2"/>
      <c r="B381" s="19"/>
      <c r="C381" s="374"/>
      <c r="D381" s="2"/>
      <c r="E381" s="19"/>
      <c r="F381" s="19"/>
      <c r="G381" s="19"/>
      <c r="H381" s="19"/>
      <c r="I381" s="19"/>
      <c r="J381" s="19"/>
      <c r="K381" s="19"/>
      <c r="L381" s="2"/>
      <c r="M381" s="19"/>
      <c r="N381" s="19"/>
      <c r="O381" s="84"/>
      <c r="P381" s="19"/>
      <c r="Q381" s="91"/>
      <c r="R381" s="19"/>
      <c r="S381" s="91"/>
      <c r="T381" s="19"/>
      <c r="U381" s="375"/>
    </row>
    <row r="382" spans="1:21" ht="15.75" customHeight="1" x14ac:dyDescent="0.25">
      <c r="A382" s="2"/>
      <c r="B382" s="19"/>
      <c r="C382" s="374"/>
      <c r="D382" s="2"/>
      <c r="E382" s="19"/>
      <c r="F382" s="19"/>
      <c r="G382" s="19"/>
      <c r="H382" s="19"/>
      <c r="I382" s="19"/>
      <c r="J382" s="19"/>
      <c r="K382" s="19"/>
      <c r="L382" s="2"/>
      <c r="M382" s="19"/>
      <c r="N382" s="19"/>
      <c r="O382" s="84"/>
      <c r="P382" s="19"/>
      <c r="Q382" s="91"/>
      <c r="R382" s="19"/>
      <c r="S382" s="91"/>
      <c r="T382" s="19"/>
      <c r="U382" s="375"/>
    </row>
    <row r="383" spans="1:21" ht="15.75" customHeight="1" x14ac:dyDescent="0.25">
      <c r="A383" s="2"/>
      <c r="B383" s="19"/>
      <c r="C383" s="374"/>
      <c r="D383" s="2"/>
      <c r="E383" s="19"/>
      <c r="F383" s="19"/>
      <c r="G383" s="19"/>
      <c r="H383" s="19"/>
      <c r="I383" s="19"/>
      <c r="J383" s="19"/>
      <c r="K383" s="19"/>
      <c r="L383" s="2"/>
      <c r="M383" s="19"/>
      <c r="N383" s="19"/>
      <c r="O383" s="84"/>
      <c r="P383" s="19"/>
      <c r="Q383" s="91"/>
      <c r="R383" s="19"/>
      <c r="S383" s="91"/>
      <c r="T383" s="19"/>
      <c r="U383" s="375"/>
    </row>
    <row r="384" spans="1:21" ht="15.75" customHeight="1" x14ac:dyDescent="0.25">
      <c r="A384" s="2"/>
      <c r="B384" s="19"/>
      <c r="C384" s="374"/>
      <c r="D384" s="2"/>
      <c r="E384" s="19"/>
      <c r="F384" s="19"/>
      <c r="G384" s="19"/>
      <c r="H384" s="19"/>
      <c r="I384" s="19"/>
      <c r="J384" s="19"/>
      <c r="K384" s="19"/>
      <c r="L384" s="2"/>
      <c r="M384" s="19"/>
      <c r="N384" s="19"/>
      <c r="O384" s="84"/>
      <c r="P384" s="19"/>
      <c r="Q384" s="91"/>
      <c r="R384" s="19"/>
      <c r="S384" s="91"/>
      <c r="T384" s="19"/>
      <c r="U384" s="375"/>
    </row>
    <row r="385" spans="1:21" ht="15.75" customHeight="1" x14ac:dyDescent="0.25">
      <c r="A385" s="2"/>
      <c r="B385" s="19"/>
      <c r="C385" s="374"/>
      <c r="D385" s="2"/>
      <c r="E385" s="19"/>
      <c r="F385" s="19"/>
      <c r="G385" s="19"/>
      <c r="H385" s="19"/>
      <c r="I385" s="19"/>
      <c r="J385" s="19"/>
      <c r="K385" s="19"/>
      <c r="L385" s="2"/>
      <c r="M385" s="19"/>
      <c r="N385" s="19"/>
      <c r="O385" s="84"/>
      <c r="P385" s="19"/>
      <c r="Q385" s="91"/>
      <c r="R385" s="19"/>
      <c r="S385" s="91"/>
      <c r="T385" s="19"/>
      <c r="U385" s="375"/>
    </row>
    <row r="386" spans="1:21" ht="15.75" customHeight="1" x14ac:dyDescent="0.25">
      <c r="A386" s="2"/>
      <c r="B386" s="19"/>
      <c r="C386" s="374"/>
      <c r="D386" s="2"/>
      <c r="E386" s="19"/>
      <c r="F386" s="19"/>
      <c r="G386" s="19"/>
      <c r="H386" s="19"/>
      <c r="I386" s="19"/>
      <c r="J386" s="19"/>
      <c r="K386" s="19"/>
      <c r="L386" s="2"/>
      <c r="M386" s="19"/>
      <c r="N386" s="19"/>
      <c r="O386" s="84"/>
      <c r="P386" s="19"/>
      <c r="Q386" s="91"/>
      <c r="R386" s="19"/>
      <c r="S386" s="91"/>
      <c r="T386" s="19"/>
      <c r="U386" s="375"/>
    </row>
    <row r="387" spans="1:21" ht="15.75" customHeight="1" x14ac:dyDescent="0.25">
      <c r="A387" s="2"/>
      <c r="B387" s="19"/>
      <c r="C387" s="374"/>
      <c r="D387" s="2"/>
      <c r="E387" s="19"/>
      <c r="F387" s="19"/>
      <c r="G387" s="19"/>
      <c r="H387" s="19"/>
      <c r="I387" s="19"/>
      <c r="J387" s="19"/>
      <c r="K387" s="19"/>
      <c r="L387" s="2"/>
      <c r="M387" s="19"/>
      <c r="N387" s="19"/>
      <c r="O387" s="84"/>
      <c r="P387" s="19"/>
      <c r="Q387" s="91"/>
      <c r="R387" s="19"/>
      <c r="S387" s="91"/>
      <c r="T387" s="19"/>
      <c r="U387" s="375"/>
    </row>
    <row r="388" spans="1:21" ht="15.75" customHeight="1" x14ac:dyDescent="0.25">
      <c r="A388" s="2"/>
      <c r="B388" s="19"/>
      <c r="C388" s="374"/>
      <c r="D388" s="2"/>
      <c r="E388" s="19"/>
      <c r="F388" s="19"/>
      <c r="G388" s="19"/>
      <c r="H388" s="19"/>
      <c r="I388" s="19"/>
      <c r="J388" s="19"/>
      <c r="K388" s="19"/>
      <c r="L388" s="2"/>
      <c r="M388" s="19"/>
      <c r="N388" s="19"/>
      <c r="O388" s="84"/>
      <c r="P388" s="19"/>
      <c r="Q388" s="91"/>
      <c r="R388" s="19"/>
      <c r="S388" s="91"/>
      <c r="T388" s="19"/>
      <c r="U388" s="375"/>
    </row>
    <row r="389" spans="1:21" ht="15.75" customHeight="1" x14ac:dyDescent="0.25">
      <c r="A389" s="2"/>
      <c r="B389" s="19"/>
      <c r="C389" s="374"/>
      <c r="D389" s="2"/>
      <c r="E389" s="19"/>
      <c r="F389" s="19"/>
      <c r="G389" s="19"/>
      <c r="H389" s="19"/>
      <c r="I389" s="19"/>
      <c r="J389" s="19"/>
      <c r="K389" s="19"/>
      <c r="L389" s="2"/>
      <c r="M389" s="19"/>
      <c r="N389" s="19"/>
      <c r="O389" s="84"/>
      <c r="P389" s="19"/>
      <c r="Q389" s="91"/>
      <c r="R389" s="19"/>
      <c r="S389" s="91"/>
      <c r="T389" s="19"/>
      <c r="U389" s="375"/>
    </row>
    <row r="390" spans="1:21" ht="15.75" customHeight="1" x14ac:dyDescent="0.25">
      <c r="A390" s="2"/>
      <c r="B390" s="19"/>
      <c r="C390" s="374"/>
      <c r="D390" s="2"/>
      <c r="E390" s="19"/>
      <c r="F390" s="19"/>
      <c r="G390" s="19"/>
      <c r="H390" s="19"/>
      <c r="I390" s="19"/>
      <c r="J390" s="19"/>
      <c r="K390" s="19"/>
      <c r="L390" s="2"/>
      <c r="M390" s="19"/>
      <c r="N390" s="19"/>
      <c r="O390" s="84"/>
      <c r="P390" s="19"/>
      <c r="Q390" s="91"/>
      <c r="R390" s="19"/>
      <c r="S390" s="91"/>
      <c r="T390" s="19"/>
      <c r="U390" s="375"/>
    </row>
    <row r="391" spans="1:21" ht="15.75" customHeight="1" x14ac:dyDescent="0.25">
      <c r="A391" s="2"/>
      <c r="B391" s="19"/>
      <c r="C391" s="374"/>
      <c r="D391" s="2"/>
      <c r="E391" s="19"/>
      <c r="F391" s="19"/>
      <c r="G391" s="19"/>
      <c r="H391" s="19"/>
      <c r="I391" s="19"/>
      <c r="J391" s="19"/>
      <c r="K391" s="19"/>
      <c r="L391" s="2"/>
      <c r="M391" s="19"/>
      <c r="N391" s="19"/>
      <c r="O391" s="84"/>
      <c r="P391" s="19"/>
      <c r="Q391" s="91"/>
      <c r="R391" s="19"/>
      <c r="S391" s="91"/>
      <c r="T391" s="19"/>
      <c r="U391" s="375"/>
    </row>
    <row r="392" spans="1:21" ht="15.75" customHeight="1" x14ac:dyDescent="0.25">
      <c r="A392" s="2"/>
      <c r="B392" s="19"/>
      <c r="C392" s="374"/>
      <c r="D392" s="2"/>
      <c r="E392" s="19"/>
      <c r="F392" s="19"/>
      <c r="G392" s="19"/>
      <c r="H392" s="19"/>
      <c r="I392" s="19"/>
      <c r="J392" s="19"/>
      <c r="K392" s="19"/>
      <c r="L392" s="2"/>
      <c r="M392" s="19"/>
      <c r="N392" s="19"/>
      <c r="O392" s="84"/>
      <c r="P392" s="19"/>
      <c r="Q392" s="91"/>
      <c r="R392" s="19"/>
      <c r="S392" s="91"/>
      <c r="T392" s="19"/>
      <c r="U392" s="375"/>
    </row>
    <row r="393" spans="1:21" ht="15.75" customHeight="1" x14ac:dyDescent="0.25">
      <c r="A393" s="2"/>
      <c r="B393" s="19"/>
      <c r="C393" s="374"/>
      <c r="D393" s="2"/>
      <c r="E393" s="19"/>
      <c r="F393" s="19"/>
      <c r="G393" s="19"/>
      <c r="H393" s="19"/>
      <c r="I393" s="19"/>
      <c r="J393" s="19"/>
      <c r="K393" s="19"/>
      <c r="L393" s="2"/>
      <c r="M393" s="19"/>
      <c r="N393" s="19"/>
      <c r="O393" s="84"/>
      <c r="P393" s="19"/>
      <c r="Q393" s="91"/>
      <c r="R393" s="19"/>
      <c r="S393" s="91"/>
      <c r="T393" s="19"/>
      <c r="U393" s="375"/>
    </row>
    <row r="394" spans="1:21" ht="15.75" customHeight="1" x14ac:dyDescent="0.25">
      <c r="A394" s="2"/>
      <c r="B394" s="19"/>
      <c r="C394" s="374"/>
      <c r="D394" s="2"/>
      <c r="E394" s="19"/>
      <c r="F394" s="19"/>
      <c r="G394" s="19"/>
      <c r="H394" s="19"/>
      <c r="I394" s="19"/>
      <c r="J394" s="19"/>
      <c r="K394" s="19"/>
      <c r="L394" s="2"/>
      <c r="M394" s="19"/>
      <c r="N394" s="19"/>
      <c r="O394" s="84"/>
      <c r="P394" s="19"/>
      <c r="Q394" s="91"/>
      <c r="R394" s="19"/>
      <c r="S394" s="91"/>
      <c r="T394" s="19"/>
      <c r="U394" s="375"/>
    </row>
    <row r="395" spans="1:21" ht="15.75" customHeight="1" x14ac:dyDescent="0.25">
      <c r="A395" s="2"/>
      <c r="B395" s="19"/>
      <c r="C395" s="374"/>
      <c r="D395" s="2"/>
      <c r="E395" s="19"/>
      <c r="F395" s="19"/>
      <c r="G395" s="19"/>
      <c r="H395" s="19"/>
      <c r="I395" s="19"/>
      <c r="J395" s="19"/>
      <c r="K395" s="19"/>
      <c r="L395" s="2"/>
      <c r="M395" s="19"/>
      <c r="N395" s="19"/>
      <c r="O395" s="84"/>
      <c r="P395" s="19"/>
      <c r="Q395" s="91"/>
      <c r="R395" s="19"/>
      <c r="S395" s="91"/>
      <c r="T395" s="19"/>
      <c r="U395" s="375"/>
    </row>
    <row r="396" spans="1:21" ht="15.75" customHeight="1" x14ac:dyDescent="0.25">
      <c r="A396" s="2"/>
      <c r="B396" s="19"/>
      <c r="C396" s="374"/>
      <c r="D396" s="2"/>
      <c r="E396" s="19"/>
      <c r="F396" s="19"/>
      <c r="G396" s="19"/>
      <c r="H396" s="19"/>
      <c r="I396" s="19"/>
      <c r="J396" s="19"/>
      <c r="K396" s="19"/>
      <c r="L396" s="2"/>
      <c r="M396" s="19"/>
      <c r="N396" s="19"/>
      <c r="O396" s="84"/>
      <c r="P396" s="19"/>
      <c r="Q396" s="91"/>
      <c r="R396" s="19"/>
      <c r="S396" s="91"/>
      <c r="T396" s="19"/>
      <c r="U396" s="375"/>
    </row>
    <row r="397" spans="1:21" ht="15.75" customHeight="1" x14ac:dyDescent="0.25">
      <c r="A397" s="2"/>
      <c r="B397" s="19"/>
      <c r="C397" s="374"/>
      <c r="D397" s="2"/>
      <c r="E397" s="19"/>
      <c r="F397" s="19"/>
      <c r="G397" s="19"/>
      <c r="H397" s="19"/>
      <c r="I397" s="19"/>
      <c r="J397" s="19"/>
      <c r="K397" s="19"/>
      <c r="L397" s="2"/>
      <c r="M397" s="19"/>
      <c r="N397" s="19"/>
      <c r="O397" s="84"/>
      <c r="P397" s="19"/>
      <c r="Q397" s="91"/>
      <c r="R397" s="19"/>
      <c r="S397" s="91"/>
      <c r="T397" s="19"/>
      <c r="U397" s="375"/>
    </row>
    <row r="398" spans="1:21" ht="15.75" customHeight="1" x14ac:dyDescent="0.25">
      <c r="A398" s="2"/>
      <c r="B398" s="19"/>
      <c r="C398" s="374"/>
      <c r="D398" s="2"/>
      <c r="E398" s="19"/>
      <c r="F398" s="19"/>
      <c r="G398" s="19"/>
      <c r="H398" s="19"/>
      <c r="I398" s="19"/>
      <c r="J398" s="19"/>
      <c r="K398" s="19"/>
      <c r="L398" s="2"/>
      <c r="M398" s="19"/>
      <c r="N398" s="19"/>
      <c r="O398" s="84"/>
      <c r="P398" s="19"/>
      <c r="Q398" s="91"/>
      <c r="R398" s="19"/>
      <c r="S398" s="91"/>
      <c r="T398" s="19"/>
      <c r="U398" s="375"/>
    </row>
    <row r="399" spans="1:21" ht="15.75" customHeight="1" x14ac:dyDescent="0.25">
      <c r="A399" s="2"/>
      <c r="B399" s="19"/>
      <c r="C399" s="374"/>
      <c r="D399" s="2"/>
      <c r="E399" s="19"/>
      <c r="F399" s="19"/>
      <c r="G399" s="19"/>
      <c r="H399" s="19"/>
      <c r="I399" s="19"/>
      <c r="J399" s="19"/>
      <c r="K399" s="19"/>
      <c r="L399" s="2"/>
      <c r="M399" s="19"/>
      <c r="N399" s="19"/>
      <c r="O399" s="84"/>
      <c r="P399" s="19"/>
      <c r="Q399" s="91"/>
      <c r="R399" s="19"/>
      <c r="S399" s="91"/>
      <c r="T399" s="19"/>
      <c r="U399" s="375"/>
    </row>
    <row r="400" spans="1:21" ht="15.75" customHeight="1" x14ac:dyDescent="0.25">
      <c r="A400" s="2"/>
      <c r="B400" s="19"/>
      <c r="C400" s="374"/>
      <c r="D400" s="2"/>
      <c r="E400" s="19"/>
      <c r="F400" s="19"/>
      <c r="G400" s="19"/>
      <c r="H400" s="19"/>
      <c r="I400" s="19"/>
      <c r="J400" s="19"/>
      <c r="K400" s="19"/>
      <c r="L400" s="2"/>
      <c r="M400" s="19"/>
      <c r="N400" s="19"/>
      <c r="O400" s="84"/>
      <c r="P400" s="19"/>
      <c r="Q400" s="91"/>
      <c r="R400" s="19"/>
      <c r="S400" s="91"/>
      <c r="T400" s="19"/>
      <c r="U400" s="375"/>
    </row>
    <row r="401" spans="1:21" ht="15.75" customHeight="1" x14ac:dyDescent="0.25">
      <c r="A401" s="2"/>
      <c r="B401" s="19"/>
      <c r="C401" s="374"/>
      <c r="D401" s="2"/>
      <c r="E401" s="19"/>
      <c r="F401" s="19"/>
      <c r="G401" s="19"/>
      <c r="H401" s="19"/>
      <c r="I401" s="19"/>
      <c r="J401" s="19"/>
      <c r="K401" s="19"/>
      <c r="L401" s="2"/>
      <c r="M401" s="19"/>
      <c r="N401" s="19"/>
      <c r="O401" s="84"/>
      <c r="P401" s="19"/>
      <c r="Q401" s="91"/>
      <c r="R401" s="19"/>
      <c r="S401" s="91"/>
      <c r="T401" s="19"/>
      <c r="U401" s="375"/>
    </row>
    <row r="402" spans="1:21" ht="15.75" customHeight="1" x14ac:dyDescent="0.25">
      <c r="A402" s="2"/>
      <c r="B402" s="19"/>
      <c r="C402" s="374"/>
      <c r="D402" s="2"/>
      <c r="E402" s="19"/>
      <c r="F402" s="19"/>
      <c r="G402" s="19"/>
      <c r="H402" s="19"/>
      <c r="I402" s="19"/>
      <c r="J402" s="19"/>
      <c r="K402" s="19"/>
      <c r="L402" s="2"/>
      <c r="M402" s="19"/>
      <c r="N402" s="19"/>
      <c r="O402" s="84"/>
      <c r="P402" s="19"/>
      <c r="Q402" s="91"/>
      <c r="R402" s="19"/>
      <c r="S402" s="91"/>
      <c r="T402" s="19"/>
      <c r="U402" s="375"/>
    </row>
    <row r="403" spans="1:21" ht="15.75" customHeight="1" x14ac:dyDescent="0.25">
      <c r="A403" s="2"/>
      <c r="B403" s="19"/>
      <c r="C403" s="374"/>
      <c r="D403" s="2"/>
      <c r="E403" s="19"/>
      <c r="F403" s="19"/>
      <c r="G403" s="19"/>
      <c r="H403" s="19"/>
      <c r="I403" s="19"/>
      <c r="J403" s="19"/>
      <c r="K403" s="19"/>
      <c r="L403" s="2"/>
      <c r="M403" s="19"/>
      <c r="N403" s="19"/>
      <c r="O403" s="84"/>
      <c r="P403" s="19"/>
      <c r="Q403" s="91"/>
      <c r="R403" s="19"/>
      <c r="S403" s="91"/>
      <c r="T403" s="19"/>
      <c r="U403" s="375"/>
    </row>
    <row r="404" spans="1:21" ht="15.75" customHeight="1" x14ac:dyDescent="0.25">
      <c r="A404" s="2"/>
      <c r="B404" s="19"/>
      <c r="C404" s="374"/>
      <c r="D404" s="2"/>
      <c r="E404" s="19"/>
      <c r="F404" s="19"/>
      <c r="G404" s="19"/>
      <c r="H404" s="19"/>
      <c r="I404" s="19"/>
      <c r="J404" s="19"/>
      <c r="K404" s="19"/>
      <c r="L404" s="2"/>
      <c r="M404" s="19"/>
      <c r="N404" s="19"/>
      <c r="O404" s="84"/>
      <c r="P404" s="19"/>
      <c r="Q404" s="91"/>
      <c r="R404" s="19"/>
      <c r="S404" s="91"/>
      <c r="T404" s="19"/>
      <c r="U404" s="375"/>
    </row>
    <row r="405" spans="1:21" ht="15.75" customHeight="1" x14ac:dyDescent="0.25">
      <c r="A405" s="2"/>
      <c r="B405" s="19"/>
      <c r="C405" s="374"/>
      <c r="D405" s="2"/>
      <c r="E405" s="19"/>
      <c r="F405" s="19"/>
      <c r="G405" s="19"/>
      <c r="H405" s="19"/>
      <c r="I405" s="19"/>
      <c r="J405" s="19"/>
      <c r="K405" s="19"/>
      <c r="L405" s="2"/>
      <c r="M405" s="19"/>
      <c r="N405" s="19"/>
      <c r="O405" s="84"/>
      <c r="P405" s="19"/>
      <c r="Q405" s="91"/>
      <c r="R405" s="19"/>
      <c r="S405" s="91"/>
      <c r="T405" s="19"/>
      <c r="U405" s="375"/>
    </row>
    <row r="406" spans="1:21" ht="15.75" customHeight="1" x14ac:dyDescent="0.25">
      <c r="A406" s="2"/>
      <c r="B406" s="19"/>
      <c r="C406" s="374"/>
      <c r="D406" s="2"/>
      <c r="E406" s="19"/>
      <c r="F406" s="19"/>
      <c r="G406" s="19"/>
      <c r="H406" s="19"/>
      <c r="I406" s="19"/>
      <c r="J406" s="19"/>
      <c r="K406" s="19"/>
      <c r="L406" s="2"/>
      <c r="M406" s="19"/>
      <c r="N406" s="19"/>
      <c r="O406" s="84"/>
      <c r="P406" s="19"/>
      <c r="Q406" s="91"/>
      <c r="R406" s="19"/>
      <c r="S406" s="91"/>
      <c r="T406" s="19"/>
      <c r="U406" s="375"/>
    </row>
    <row r="407" spans="1:21" ht="15.75" customHeight="1" x14ac:dyDescent="0.25">
      <c r="A407" s="2"/>
      <c r="B407" s="19"/>
      <c r="C407" s="374"/>
      <c r="D407" s="2"/>
      <c r="E407" s="19"/>
      <c r="F407" s="19"/>
      <c r="G407" s="19"/>
      <c r="H407" s="19"/>
      <c r="I407" s="19"/>
      <c r="J407" s="19"/>
      <c r="K407" s="19"/>
      <c r="L407" s="2"/>
      <c r="M407" s="19"/>
      <c r="N407" s="19"/>
      <c r="O407" s="84"/>
      <c r="P407" s="19"/>
      <c r="Q407" s="91"/>
      <c r="R407" s="19"/>
      <c r="S407" s="91"/>
      <c r="T407" s="19"/>
      <c r="U407" s="375"/>
    </row>
    <row r="408" spans="1:21" ht="15.75" customHeight="1" x14ac:dyDescent="0.25">
      <c r="A408" s="2"/>
      <c r="B408" s="19"/>
      <c r="C408" s="374"/>
      <c r="D408" s="2"/>
      <c r="E408" s="19"/>
      <c r="F408" s="19"/>
      <c r="G408" s="19"/>
      <c r="H408" s="19"/>
      <c r="I408" s="19"/>
      <c r="J408" s="19"/>
      <c r="K408" s="19"/>
      <c r="L408" s="2"/>
      <c r="M408" s="19"/>
      <c r="N408" s="19"/>
      <c r="O408" s="84"/>
      <c r="P408" s="19"/>
      <c r="Q408" s="91"/>
      <c r="R408" s="19"/>
      <c r="S408" s="91"/>
      <c r="T408" s="19"/>
      <c r="U408" s="375"/>
    </row>
    <row r="409" spans="1:21" ht="15.75" customHeight="1" x14ac:dyDescent="0.25">
      <c r="A409" s="2"/>
      <c r="B409" s="19"/>
      <c r="C409" s="374"/>
      <c r="D409" s="2"/>
      <c r="E409" s="19"/>
      <c r="F409" s="19"/>
      <c r="G409" s="19"/>
      <c r="H409" s="19"/>
      <c r="I409" s="19"/>
      <c r="J409" s="19"/>
      <c r="K409" s="19"/>
      <c r="L409" s="2"/>
      <c r="M409" s="19"/>
      <c r="N409" s="19"/>
      <c r="O409" s="84"/>
      <c r="P409" s="19"/>
      <c r="Q409" s="91"/>
      <c r="R409" s="19"/>
      <c r="S409" s="91"/>
      <c r="T409" s="19"/>
      <c r="U409" s="375"/>
    </row>
    <row r="410" spans="1:21" ht="15.75" customHeight="1" x14ac:dyDescent="0.25">
      <c r="A410" s="2"/>
      <c r="B410" s="19"/>
      <c r="C410" s="374"/>
      <c r="D410" s="2"/>
      <c r="E410" s="19"/>
      <c r="F410" s="19"/>
      <c r="G410" s="19"/>
      <c r="H410" s="19"/>
      <c r="I410" s="19"/>
      <c r="J410" s="19"/>
      <c r="K410" s="19"/>
      <c r="L410" s="2"/>
      <c r="M410" s="19"/>
      <c r="N410" s="19"/>
      <c r="O410" s="84"/>
      <c r="P410" s="19"/>
      <c r="Q410" s="91"/>
      <c r="R410" s="19"/>
      <c r="S410" s="91"/>
      <c r="T410" s="19"/>
      <c r="U410" s="375"/>
    </row>
    <row r="411" spans="1:21" ht="15.75" customHeight="1" x14ac:dyDescent="0.25">
      <c r="A411" s="2"/>
      <c r="B411" s="19"/>
      <c r="C411" s="374"/>
      <c r="D411" s="2"/>
      <c r="E411" s="19"/>
      <c r="F411" s="19"/>
      <c r="G411" s="19"/>
      <c r="H411" s="19"/>
      <c r="I411" s="19"/>
      <c r="J411" s="19"/>
      <c r="K411" s="19"/>
      <c r="L411" s="2"/>
      <c r="M411" s="19"/>
      <c r="N411" s="19"/>
      <c r="O411" s="84"/>
      <c r="P411" s="19"/>
      <c r="Q411" s="91"/>
      <c r="R411" s="19"/>
      <c r="S411" s="91"/>
      <c r="T411" s="19"/>
      <c r="U411" s="375"/>
    </row>
    <row r="412" spans="1:21" ht="15.75" customHeight="1" x14ac:dyDescent="0.25">
      <c r="A412" s="2"/>
      <c r="B412" s="19"/>
      <c r="C412" s="374"/>
      <c r="D412" s="2"/>
      <c r="E412" s="19"/>
      <c r="F412" s="19"/>
      <c r="G412" s="19"/>
      <c r="H412" s="19"/>
      <c r="I412" s="19"/>
      <c r="J412" s="19"/>
      <c r="K412" s="19"/>
      <c r="L412" s="2"/>
      <c r="M412" s="19"/>
      <c r="N412" s="19"/>
      <c r="O412" s="84"/>
      <c r="P412" s="19"/>
      <c r="Q412" s="91"/>
      <c r="R412" s="19"/>
      <c r="S412" s="91"/>
      <c r="T412" s="19"/>
      <c r="U412" s="375"/>
    </row>
    <row r="413" spans="1:21" ht="15.75" customHeight="1" x14ac:dyDescent="0.25">
      <c r="A413" s="2"/>
      <c r="B413" s="19"/>
      <c r="C413" s="374"/>
      <c r="D413" s="2"/>
      <c r="E413" s="19"/>
      <c r="F413" s="19"/>
      <c r="G413" s="19"/>
      <c r="H413" s="19"/>
      <c r="I413" s="19"/>
      <c r="J413" s="19"/>
      <c r="K413" s="19"/>
      <c r="L413" s="2"/>
      <c r="M413" s="19"/>
      <c r="N413" s="19"/>
      <c r="O413" s="84"/>
      <c r="P413" s="19"/>
      <c r="Q413" s="91"/>
      <c r="R413" s="19"/>
      <c r="S413" s="91"/>
      <c r="T413" s="19"/>
      <c r="U413" s="375"/>
    </row>
    <row r="414" spans="1:21" ht="15.75" customHeight="1" x14ac:dyDescent="0.25">
      <c r="A414" s="2"/>
      <c r="B414" s="19"/>
      <c r="C414" s="374"/>
      <c r="D414" s="2"/>
      <c r="E414" s="19"/>
      <c r="F414" s="19"/>
      <c r="G414" s="19"/>
      <c r="H414" s="19"/>
      <c r="I414" s="19"/>
      <c r="J414" s="19"/>
      <c r="K414" s="19"/>
      <c r="L414" s="2"/>
      <c r="M414" s="19"/>
      <c r="N414" s="19"/>
      <c r="O414" s="84"/>
      <c r="P414" s="19"/>
      <c r="Q414" s="91"/>
      <c r="R414" s="19"/>
      <c r="S414" s="91"/>
      <c r="T414" s="19"/>
      <c r="U414" s="375"/>
    </row>
    <row r="415" spans="1:21" ht="15.75" customHeight="1" x14ac:dyDescent="0.25">
      <c r="A415" s="2"/>
      <c r="B415" s="19"/>
      <c r="C415" s="374"/>
      <c r="D415" s="2"/>
      <c r="E415" s="19"/>
      <c r="F415" s="19"/>
      <c r="G415" s="19"/>
      <c r="H415" s="19"/>
      <c r="I415" s="19"/>
      <c r="J415" s="19"/>
      <c r="K415" s="19"/>
      <c r="L415" s="2"/>
      <c r="M415" s="19"/>
      <c r="N415" s="19"/>
      <c r="O415" s="84"/>
      <c r="P415" s="19"/>
      <c r="Q415" s="91"/>
      <c r="R415" s="19"/>
      <c r="S415" s="91"/>
      <c r="T415" s="19"/>
      <c r="U415" s="375"/>
    </row>
    <row r="416" spans="1:21" ht="15.75" customHeight="1" x14ac:dyDescent="0.25">
      <c r="A416" s="2"/>
      <c r="B416" s="19"/>
      <c r="C416" s="374"/>
      <c r="D416" s="2"/>
      <c r="E416" s="19"/>
      <c r="F416" s="19"/>
      <c r="G416" s="19"/>
      <c r="H416" s="19"/>
      <c r="I416" s="19"/>
      <c r="J416" s="19"/>
      <c r="K416" s="19"/>
      <c r="L416" s="2"/>
      <c r="M416" s="19"/>
      <c r="N416" s="19"/>
      <c r="O416" s="84"/>
      <c r="P416" s="19"/>
      <c r="Q416" s="91"/>
      <c r="R416" s="19"/>
      <c r="S416" s="91"/>
      <c r="T416" s="19"/>
      <c r="U416" s="375"/>
    </row>
    <row r="417" spans="1:21" ht="15.75" customHeight="1" x14ac:dyDescent="0.25">
      <c r="A417" s="2"/>
      <c r="B417" s="19"/>
      <c r="C417" s="374"/>
      <c r="D417" s="2"/>
      <c r="E417" s="19"/>
      <c r="F417" s="19"/>
      <c r="G417" s="19"/>
      <c r="H417" s="19"/>
      <c r="I417" s="19"/>
      <c r="J417" s="19"/>
      <c r="K417" s="19"/>
      <c r="L417" s="2"/>
      <c r="M417" s="19"/>
      <c r="N417" s="19"/>
      <c r="O417" s="84"/>
      <c r="P417" s="19"/>
      <c r="Q417" s="91"/>
      <c r="R417" s="19"/>
      <c r="S417" s="91"/>
      <c r="T417" s="19"/>
      <c r="U417" s="375"/>
    </row>
    <row r="418" spans="1:21" ht="15.75" customHeight="1" x14ac:dyDescent="0.25">
      <c r="A418" s="2"/>
      <c r="B418" s="19"/>
      <c r="C418" s="374"/>
      <c r="D418" s="2"/>
      <c r="E418" s="19"/>
      <c r="F418" s="19"/>
      <c r="G418" s="19"/>
      <c r="H418" s="19"/>
      <c r="I418" s="19"/>
      <c r="J418" s="19"/>
      <c r="K418" s="19"/>
      <c r="L418" s="2"/>
      <c r="M418" s="19"/>
      <c r="N418" s="19"/>
      <c r="O418" s="84"/>
      <c r="P418" s="19"/>
      <c r="Q418" s="91"/>
      <c r="R418" s="19"/>
      <c r="S418" s="91"/>
      <c r="T418" s="19"/>
      <c r="U418" s="375"/>
    </row>
    <row r="419" spans="1:21" ht="15.75" customHeight="1" x14ac:dyDescent="0.25">
      <c r="A419" s="2"/>
      <c r="B419" s="19"/>
      <c r="C419" s="374"/>
      <c r="D419" s="2"/>
      <c r="E419" s="19"/>
      <c r="F419" s="19"/>
      <c r="G419" s="19"/>
      <c r="H419" s="19"/>
      <c r="I419" s="19"/>
      <c r="J419" s="19"/>
      <c r="K419" s="19"/>
      <c r="L419" s="2"/>
      <c r="M419" s="19"/>
      <c r="N419" s="19"/>
      <c r="O419" s="84"/>
      <c r="P419" s="19"/>
      <c r="Q419" s="91"/>
      <c r="R419" s="19"/>
      <c r="S419" s="91"/>
      <c r="T419" s="19"/>
      <c r="U419" s="375"/>
    </row>
    <row r="420" spans="1:21" ht="15.75" customHeight="1" x14ac:dyDescent="0.25">
      <c r="A420" s="2"/>
      <c r="B420" s="19"/>
      <c r="C420" s="374"/>
      <c r="D420" s="2"/>
      <c r="E420" s="19"/>
      <c r="F420" s="19"/>
      <c r="G420" s="19"/>
      <c r="H420" s="19"/>
      <c r="I420" s="19"/>
      <c r="J420" s="19"/>
      <c r="K420" s="19"/>
      <c r="L420" s="2"/>
      <c r="M420" s="19"/>
      <c r="N420" s="19"/>
      <c r="O420" s="84"/>
      <c r="P420" s="19"/>
      <c r="Q420" s="91"/>
      <c r="R420" s="19"/>
      <c r="S420" s="91"/>
      <c r="T420" s="19"/>
      <c r="U420" s="375"/>
    </row>
    <row r="421" spans="1:21" ht="15.75" customHeight="1" x14ac:dyDescent="0.25">
      <c r="A421" s="2"/>
      <c r="B421" s="19"/>
      <c r="C421" s="374"/>
      <c r="D421" s="2"/>
      <c r="E421" s="19"/>
      <c r="F421" s="19"/>
      <c r="G421" s="19"/>
      <c r="H421" s="19"/>
      <c r="I421" s="19"/>
      <c r="J421" s="19"/>
      <c r="K421" s="19"/>
      <c r="L421" s="2"/>
      <c r="M421" s="19"/>
      <c r="N421" s="19"/>
      <c r="O421" s="84"/>
      <c r="P421" s="19"/>
      <c r="Q421" s="91"/>
      <c r="R421" s="19"/>
      <c r="S421" s="91"/>
      <c r="T421" s="19"/>
      <c r="U421" s="375"/>
    </row>
    <row r="422" spans="1:21" ht="15.75" customHeight="1" x14ac:dyDescent="0.25">
      <c r="A422" s="2"/>
      <c r="B422" s="19"/>
      <c r="C422" s="374"/>
      <c r="D422" s="2"/>
      <c r="E422" s="19"/>
      <c r="F422" s="19"/>
      <c r="G422" s="19"/>
      <c r="H422" s="19"/>
      <c r="I422" s="19"/>
      <c r="J422" s="19"/>
      <c r="K422" s="19"/>
      <c r="L422" s="2"/>
      <c r="M422" s="19"/>
      <c r="N422" s="19"/>
      <c r="O422" s="84"/>
      <c r="P422" s="19"/>
      <c r="Q422" s="91"/>
      <c r="R422" s="19"/>
      <c r="S422" s="91"/>
      <c r="T422" s="19"/>
      <c r="U422" s="375"/>
    </row>
    <row r="423" spans="1:21" ht="15.75" customHeight="1" x14ac:dyDescent="0.25">
      <c r="A423" s="2"/>
      <c r="B423" s="19"/>
      <c r="C423" s="374"/>
      <c r="D423" s="2"/>
      <c r="E423" s="19"/>
      <c r="F423" s="19"/>
      <c r="G423" s="19"/>
      <c r="H423" s="19"/>
      <c r="I423" s="19"/>
      <c r="J423" s="19"/>
      <c r="K423" s="19"/>
      <c r="L423" s="2"/>
      <c r="M423" s="19"/>
      <c r="N423" s="19"/>
      <c r="O423" s="84"/>
      <c r="P423" s="19"/>
      <c r="Q423" s="91"/>
      <c r="R423" s="19"/>
      <c r="S423" s="91"/>
      <c r="T423" s="19"/>
      <c r="U423" s="375"/>
    </row>
    <row r="424" spans="1:21" ht="15.75" customHeight="1" x14ac:dyDescent="0.25">
      <c r="A424" s="2"/>
      <c r="B424" s="19"/>
      <c r="C424" s="374"/>
      <c r="D424" s="2"/>
      <c r="E424" s="19"/>
      <c r="F424" s="19"/>
      <c r="G424" s="19"/>
      <c r="H424" s="19"/>
      <c r="I424" s="19"/>
      <c r="J424" s="19"/>
      <c r="K424" s="19"/>
      <c r="L424" s="2"/>
      <c r="M424" s="19"/>
      <c r="N424" s="19"/>
      <c r="O424" s="84"/>
      <c r="P424" s="19"/>
      <c r="Q424" s="91"/>
      <c r="R424" s="19"/>
      <c r="S424" s="91"/>
      <c r="T424" s="19"/>
      <c r="U424" s="375"/>
    </row>
    <row r="425" spans="1:21" ht="15.75" customHeight="1" x14ac:dyDescent="0.25">
      <c r="A425" s="2"/>
      <c r="B425" s="19"/>
      <c r="C425" s="374"/>
      <c r="D425" s="2"/>
      <c r="E425" s="19"/>
      <c r="F425" s="19"/>
      <c r="G425" s="19"/>
      <c r="H425" s="19"/>
      <c r="I425" s="19"/>
      <c r="J425" s="19"/>
      <c r="K425" s="19"/>
      <c r="L425" s="2"/>
      <c r="M425" s="19"/>
      <c r="N425" s="19"/>
      <c r="O425" s="84"/>
      <c r="P425" s="19"/>
      <c r="Q425" s="91"/>
      <c r="R425" s="19"/>
      <c r="S425" s="91"/>
      <c r="T425" s="19"/>
      <c r="U425" s="375"/>
    </row>
    <row r="426" spans="1:21" ht="15.75" customHeight="1" x14ac:dyDescent="0.25">
      <c r="A426" s="2"/>
      <c r="B426" s="19"/>
      <c r="C426" s="374"/>
      <c r="D426" s="2"/>
      <c r="E426" s="19"/>
      <c r="F426" s="19"/>
      <c r="G426" s="19"/>
      <c r="H426" s="19"/>
      <c r="I426" s="19"/>
      <c r="J426" s="19"/>
      <c r="K426" s="19"/>
      <c r="L426" s="2"/>
      <c r="M426" s="19"/>
      <c r="N426" s="19"/>
      <c r="O426" s="84"/>
      <c r="P426" s="19"/>
      <c r="Q426" s="91"/>
      <c r="R426" s="19"/>
      <c r="S426" s="91"/>
      <c r="T426" s="19"/>
      <c r="U426" s="375"/>
    </row>
    <row r="427" spans="1:21" ht="15.75" customHeight="1" x14ac:dyDescent="0.25">
      <c r="A427" s="2"/>
      <c r="B427" s="19"/>
      <c r="C427" s="374"/>
      <c r="D427" s="2"/>
      <c r="E427" s="19"/>
      <c r="F427" s="19"/>
      <c r="G427" s="19"/>
      <c r="H427" s="19"/>
      <c r="I427" s="19"/>
      <c r="J427" s="19"/>
      <c r="K427" s="19"/>
      <c r="L427" s="2"/>
      <c r="M427" s="19"/>
      <c r="N427" s="19"/>
      <c r="O427" s="84"/>
      <c r="P427" s="19"/>
      <c r="Q427" s="91"/>
      <c r="R427" s="19"/>
      <c r="S427" s="91"/>
      <c r="T427" s="19"/>
      <c r="U427" s="375"/>
    </row>
    <row r="428" spans="1:21" ht="15.75" customHeight="1" x14ac:dyDescent="0.25">
      <c r="A428" s="2"/>
      <c r="B428" s="19"/>
      <c r="C428" s="374"/>
      <c r="D428" s="2"/>
      <c r="E428" s="19"/>
      <c r="F428" s="19"/>
      <c r="G428" s="19"/>
      <c r="H428" s="19"/>
      <c r="I428" s="19"/>
      <c r="J428" s="19"/>
      <c r="K428" s="19"/>
      <c r="L428" s="2"/>
      <c r="M428" s="19"/>
      <c r="N428" s="19"/>
      <c r="O428" s="84"/>
      <c r="P428" s="19"/>
      <c r="Q428" s="91"/>
      <c r="R428" s="19"/>
      <c r="S428" s="91"/>
      <c r="T428" s="19"/>
      <c r="U428" s="375"/>
    </row>
    <row r="429" spans="1:21" ht="15.75" customHeight="1" x14ac:dyDescent="0.25">
      <c r="A429" s="2"/>
      <c r="B429" s="19"/>
      <c r="C429" s="374"/>
      <c r="D429" s="2"/>
      <c r="E429" s="19"/>
      <c r="F429" s="19"/>
      <c r="G429" s="19"/>
      <c r="H429" s="19"/>
      <c r="I429" s="19"/>
      <c r="J429" s="19"/>
      <c r="K429" s="19"/>
      <c r="L429" s="2"/>
      <c r="M429" s="19"/>
      <c r="N429" s="19"/>
      <c r="O429" s="84"/>
      <c r="P429" s="19"/>
      <c r="Q429" s="91"/>
      <c r="R429" s="19"/>
      <c r="S429" s="91"/>
      <c r="T429" s="19"/>
      <c r="U429" s="375"/>
    </row>
    <row r="430" spans="1:21" ht="15.75" customHeight="1" x14ac:dyDescent="0.25">
      <c r="A430" s="2"/>
      <c r="B430" s="19"/>
      <c r="C430" s="374"/>
      <c r="D430" s="2"/>
      <c r="E430" s="19"/>
      <c r="F430" s="19"/>
      <c r="G430" s="19"/>
      <c r="H430" s="19"/>
      <c r="I430" s="19"/>
      <c r="J430" s="19"/>
      <c r="K430" s="19"/>
      <c r="L430" s="2"/>
      <c r="M430" s="19"/>
      <c r="N430" s="19"/>
      <c r="O430" s="84"/>
      <c r="P430" s="19"/>
      <c r="Q430" s="91"/>
      <c r="R430" s="19"/>
      <c r="S430" s="91"/>
      <c r="T430" s="19"/>
      <c r="U430" s="375"/>
    </row>
    <row r="431" spans="1:21" ht="15.75" customHeight="1" x14ac:dyDescent="0.25">
      <c r="A431" s="2"/>
      <c r="B431" s="19"/>
      <c r="C431" s="374"/>
      <c r="D431" s="2"/>
      <c r="E431" s="19"/>
      <c r="F431" s="19"/>
      <c r="G431" s="19"/>
      <c r="H431" s="19"/>
      <c r="I431" s="19"/>
      <c r="J431" s="19"/>
      <c r="K431" s="19"/>
      <c r="L431" s="2"/>
      <c r="M431" s="19"/>
      <c r="N431" s="19"/>
      <c r="O431" s="84"/>
      <c r="P431" s="19"/>
      <c r="Q431" s="91"/>
      <c r="R431" s="19"/>
      <c r="S431" s="91"/>
      <c r="T431" s="19"/>
      <c r="U431" s="375"/>
    </row>
    <row r="432" spans="1:21" ht="15.75" customHeight="1" x14ac:dyDescent="0.25">
      <c r="A432" s="2"/>
      <c r="B432" s="19"/>
      <c r="C432" s="374"/>
      <c r="D432" s="2"/>
      <c r="E432" s="19"/>
      <c r="F432" s="19"/>
      <c r="G432" s="19"/>
      <c r="H432" s="19"/>
      <c r="I432" s="19"/>
      <c r="J432" s="19"/>
      <c r="K432" s="19"/>
      <c r="L432" s="2"/>
      <c r="M432" s="19"/>
      <c r="N432" s="19"/>
      <c r="O432" s="84"/>
      <c r="P432" s="19"/>
      <c r="Q432" s="91"/>
      <c r="R432" s="19"/>
      <c r="S432" s="91"/>
      <c r="T432" s="19"/>
      <c r="U432" s="375"/>
    </row>
    <row r="433" spans="1:21" ht="15.75" customHeight="1" x14ac:dyDescent="0.25">
      <c r="A433" s="2"/>
      <c r="B433" s="19"/>
      <c r="C433" s="374"/>
      <c r="D433" s="2"/>
      <c r="E433" s="19"/>
      <c r="F433" s="19"/>
      <c r="G433" s="19"/>
      <c r="H433" s="19"/>
      <c r="I433" s="19"/>
      <c r="J433" s="19"/>
      <c r="K433" s="19"/>
      <c r="L433" s="2"/>
      <c r="M433" s="19"/>
      <c r="N433" s="19"/>
      <c r="O433" s="84"/>
      <c r="P433" s="19"/>
      <c r="Q433" s="91"/>
      <c r="R433" s="19"/>
      <c r="S433" s="91"/>
      <c r="T433" s="19"/>
      <c r="U433" s="375"/>
    </row>
    <row r="434" spans="1:21" ht="15.75" customHeight="1" x14ac:dyDescent="0.25">
      <c r="A434" s="2"/>
      <c r="B434" s="19"/>
      <c r="C434" s="374"/>
      <c r="D434" s="2"/>
      <c r="E434" s="19"/>
      <c r="F434" s="19"/>
      <c r="G434" s="19"/>
      <c r="H434" s="19"/>
      <c r="I434" s="19"/>
      <c r="J434" s="19"/>
      <c r="K434" s="19"/>
      <c r="L434" s="2"/>
      <c r="M434" s="19"/>
      <c r="N434" s="19"/>
      <c r="O434" s="84"/>
      <c r="P434" s="19"/>
      <c r="Q434" s="91"/>
      <c r="R434" s="19"/>
      <c r="S434" s="91"/>
      <c r="T434" s="19"/>
      <c r="U434" s="375"/>
    </row>
    <row r="435" spans="1:21" ht="15.75" customHeight="1" x14ac:dyDescent="0.25">
      <c r="A435" s="2"/>
      <c r="B435" s="19"/>
      <c r="C435" s="374"/>
      <c r="D435" s="2"/>
      <c r="E435" s="19"/>
      <c r="F435" s="19"/>
      <c r="G435" s="19"/>
      <c r="H435" s="19"/>
      <c r="I435" s="19"/>
      <c r="J435" s="19"/>
      <c r="K435" s="19"/>
      <c r="L435" s="2"/>
      <c r="M435" s="19"/>
      <c r="N435" s="19"/>
      <c r="O435" s="84"/>
      <c r="P435" s="19"/>
      <c r="Q435" s="91"/>
      <c r="R435" s="19"/>
      <c r="S435" s="91"/>
      <c r="T435" s="19"/>
      <c r="U435" s="375"/>
    </row>
    <row r="436" spans="1:21" ht="15.75" customHeight="1" x14ac:dyDescent="0.25">
      <c r="A436" s="2"/>
      <c r="B436" s="19"/>
      <c r="C436" s="374"/>
      <c r="D436" s="2"/>
      <c r="E436" s="19"/>
      <c r="F436" s="19"/>
      <c r="G436" s="19"/>
      <c r="H436" s="19"/>
      <c r="I436" s="19"/>
      <c r="J436" s="19"/>
      <c r="K436" s="19"/>
      <c r="L436" s="2"/>
      <c r="M436" s="19"/>
      <c r="N436" s="19"/>
      <c r="O436" s="84"/>
      <c r="P436" s="19"/>
      <c r="Q436" s="91"/>
      <c r="R436" s="19"/>
      <c r="S436" s="91"/>
      <c r="T436" s="19"/>
      <c r="U436" s="375"/>
    </row>
    <row r="437" spans="1:21" ht="15.75" customHeight="1" x14ac:dyDescent="0.25">
      <c r="A437" s="2"/>
      <c r="B437" s="19"/>
      <c r="C437" s="374"/>
      <c r="D437" s="2"/>
      <c r="E437" s="19"/>
      <c r="F437" s="19"/>
      <c r="G437" s="19"/>
      <c r="H437" s="19"/>
      <c r="I437" s="19"/>
      <c r="J437" s="19"/>
      <c r="K437" s="19"/>
      <c r="L437" s="2"/>
      <c r="M437" s="19"/>
      <c r="N437" s="19"/>
      <c r="O437" s="84"/>
      <c r="P437" s="19"/>
      <c r="Q437" s="91"/>
      <c r="R437" s="19"/>
      <c r="S437" s="91"/>
      <c r="T437" s="19"/>
      <c r="U437" s="375"/>
    </row>
    <row r="438" spans="1:21" ht="15.75" customHeight="1" x14ac:dyDescent="0.25">
      <c r="A438" s="2"/>
      <c r="B438" s="19"/>
      <c r="C438" s="374"/>
      <c r="D438" s="2"/>
      <c r="E438" s="19"/>
      <c r="F438" s="19"/>
      <c r="G438" s="19"/>
      <c r="H438" s="19"/>
      <c r="I438" s="19"/>
      <c r="J438" s="19"/>
      <c r="K438" s="19"/>
      <c r="L438" s="2"/>
      <c r="M438" s="19"/>
      <c r="N438" s="19"/>
      <c r="O438" s="84"/>
      <c r="P438" s="19"/>
      <c r="Q438" s="91"/>
      <c r="R438" s="19"/>
      <c r="S438" s="91"/>
      <c r="T438" s="19"/>
      <c r="U438" s="375"/>
    </row>
    <row r="439" spans="1:21" ht="15.75" customHeight="1" x14ac:dyDescent="0.25">
      <c r="A439" s="2"/>
      <c r="B439" s="19"/>
      <c r="C439" s="374"/>
      <c r="D439" s="2"/>
      <c r="E439" s="19"/>
      <c r="F439" s="19"/>
      <c r="G439" s="19"/>
      <c r="H439" s="19"/>
      <c r="I439" s="19"/>
      <c r="J439" s="19"/>
      <c r="K439" s="19"/>
      <c r="L439" s="2"/>
      <c r="M439" s="19"/>
      <c r="N439" s="19"/>
      <c r="O439" s="84"/>
      <c r="P439" s="19"/>
      <c r="Q439" s="91"/>
      <c r="R439" s="19"/>
      <c r="S439" s="91"/>
      <c r="T439" s="19"/>
      <c r="U439" s="375"/>
    </row>
    <row r="440" spans="1:21" ht="15.75" customHeight="1" x14ac:dyDescent="0.25">
      <c r="A440" s="2"/>
      <c r="B440" s="19"/>
      <c r="C440" s="374"/>
      <c r="D440" s="2"/>
      <c r="E440" s="19"/>
      <c r="F440" s="19"/>
      <c r="G440" s="19"/>
      <c r="H440" s="19"/>
      <c r="I440" s="19"/>
      <c r="J440" s="19"/>
      <c r="K440" s="19"/>
      <c r="L440" s="2"/>
      <c r="M440" s="19"/>
      <c r="N440" s="19"/>
      <c r="O440" s="84"/>
      <c r="P440" s="19"/>
      <c r="Q440" s="91"/>
      <c r="R440" s="19"/>
      <c r="S440" s="91"/>
      <c r="T440" s="19"/>
      <c r="U440" s="375"/>
    </row>
    <row r="441" spans="1:21" ht="15.75" customHeight="1" x14ac:dyDescent="0.25">
      <c r="A441" s="2"/>
      <c r="B441" s="19"/>
      <c r="C441" s="374"/>
      <c r="D441" s="2"/>
      <c r="E441" s="19"/>
      <c r="F441" s="19"/>
      <c r="G441" s="19"/>
      <c r="H441" s="19"/>
      <c r="I441" s="19"/>
      <c r="J441" s="19"/>
      <c r="K441" s="19"/>
      <c r="L441" s="2"/>
      <c r="M441" s="19"/>
      <c r="N441" s="19"/>
      <c r="O441" s="84"/>
      <c r="P441" s="19"/>
      <c r="Q441" s="91"/>
      <c r="R441" s="19"/>
      <c r="S441" s="91"/>
      <c r="T441" s="19"/>
      <c r="U441" s="375"/>
    </row>
    <row r="442" spans="1:21" ht="15.75" customHeight="1" x14ac:dyDescent="0.25">
      <c r="A442" s="2"/>
      <c r="B442" s="19"/>
      <c r="C442" s="374"/>
      <c r="D442" s="2"/>
      <c r="E442" s="19"/>
      <c r="F442" s="19"/>
      <c r="G442" s="19"/>
      <c r="H442" s="19"/>
      <c r="I442" s="19"/>
      <c r="J442" s="19"/>
      <c r="K442" s="19"/>
      <c r="L442" s="2"/>
      <c r="M442" s="19"/>
      <c r="N442" s="19"/>
      <c r="O442" s="84"/>
      <c r="P442" s="19"/>
      <c r="Q442" s="91"/>
      <c r="R442" s="19"/>
      <c r="S442" s="91"/>
      <c r="T442" s="19"/>
      <c r="U442" s="375"/>
    </row>
    <row r="443" spans="1:21" ht="15.75" customHeight="1" x14ac:dyDescent="0.25">
      <c r="A443" s="2"/>
      <c r="B443" s="19"/>
      <c r="C443" s="374"/>
      <c r="D443" s="2"/>
      <c r="E443" s="19"/>
      <c r="F443" s="19"/>
      <c r="G443" s="19"/>
      <c r="H443" s="19"/>
      <c r="I443" s="19"/>
      <c r="J443" s="19"/>
      <c r="K443" s="19"/>
      <c r="L443" s="2"/>
      <c r="M443" s="19"/>
      <c r="N443" s="19"/>
      <c r="O443" s="84"/>
      <c r="P443" s="19"/>
      <c r="Q443" s="91"/>
      <c r="R443" s="19"/>
      <c r="S443" s="91"/>
      <c r="T443" s="19"/>
      <c r="U443" s="375"/>
    </row>
    <row r="444" spans="1:21" ht="15.75" customHeight="1" x14ac:dyDescent="0.25">
      <c r="A444" s="2"/>
      <c r="B444" s="19"/>
      <c r="C444" s="374"/>
      <c r="D444" s="2"/>
      <c r="E444" s="19"/>
      <c r="F444" s="19"/>
      <c r="G444" s="19"/>
      <c r="H444" s="19"/>
      <c r="I444" s="19"/>
      <c r="J444" s="19"/>
      <c r="K444" s="19"/>
      <c r="L444" s="2"/>
      <c r="M444" s="19"/>
      <c r="N444" s="19"/>
      <c r="O444" s="84"/>
      <c r="P444" s="19"/>
      <c r="Q444" s="91"/>
      <c r="R444" s="19"/>
      <c r="S444" s="91"/>
      <c r="T444" s="19"/>
      <c r="U444" s="375"/>
    </row>
    <row r="445" spans="1:21" ht="15.75" customHeight="1" x14ac:dyDescent="0.25">
      <c r="A445" s="2"/>
      <c r="B445" s="19"/>
      <c r="C445" s="374"/>
      <c r="D445" s="2"/>
      <c r="E445" s="19"/>
      <c r="F445" s="19"/>
      <c r="G445" s="19"/>
      <c r="H445" s="19"/>
      <c r="I445" s="19"/>
      <c r="J445" s="19"/>
      <c r="K445" s="19"/>
      <c r="L445" s="2"/>
      <c r="M445" s="19"/>
      <c r="N445" s="19"/>
      <c r="O445" s="84"/>
      <c r="P445" s="19"/>
      <c r="Q445" s="91"/>
      <c r="R445" s="19"/>
      <c r="S445" s="91"/>
      <c r="T445" s="19"/>
      <c r="U445" s="375"/>
    </row>
    <row r="446" spans="1:21" ht="15.75" customHeight="1" x14ac:dyDescent="0.25">
      <c r="A446" s="2"/>
      <c r="B446" s="19"/>
      <c r="C446" s="374"/>
      <c r="D446" s="2"/>
      <c r="E446" s="19"/>
      <c r="F446" s="19"/>
      <c r="G446" s="19"/>
      <c r="H446" s="19"/>
      <c r="I446" s="19"/>
      <c r="J446" s="19"/>
      <c r="K446" s="19"/>
      <c r="L446" s="2"/>
      <c r="M446" s="19"/>
      <c r="N446" s="19"/>
      <c r="O446" s="84"/>
      <c r="P446" s="19"/>
      <c r="Q446" s="91"/>
      <c r="R446" s="19"/>
      <c r="S446" s="91"/>
      <c r="T446" s="19"/>
      <c r="U446" s="375"/>
    </row>
    <row r="447" spans="1:21" ht="15.75" customHeight="1" x14ac:dyDescent="0.25">
      <c r="A447" s="2"/>
      <c r="B447" s="19"/>
      <c r="C447" s="374"/>
      <c r="D447" s="2"/>
      <c r="E447" s="19"/>
      <c r="F447" s="19"/>
      <c r="G447" s="19"/>
      <c r="H447" s="19"/>
      <c r="I447" s="19"/>
      <c r="J447" s="19"/>
      <c r="K447" s="19"/>
      <c r="L447" s="2"/>
      <c r="M447" s="19"/>
      <c r="N447" s="19"/>
      <c r="O447" s="84"/>
      <c r="P447" s="19"/>
      <c r="Q447" s="91"/>
      <c r="R447" s="19"/>
      <c r="S447" s="91"/>
      <c r="T447" s="19"/>
      <c r="U447" s="375"/>
    </row>
    <row r="448" spans="1:21" ht="15.75" customHeight="1" x14ac:dyDescent="0.25">
      <c r="A448" s="2"/>
      <c r="B448" s="19"/>
      <c r="C448" s="374"/>
      <c r="D448" s="2"/>
      <c r="E448" s="19"/>
      <c r="F448" s="19"/>
      <c r="G448" s="19"/>
      <c r="H448" s="19"/>
      <c r="I448" s="19"/>
      <c r="J448" s="19"/>
      <c r="K448" s="19"/>
      <c r="L448" s="2"/>
      <c r="M448" s="19"/>
      <c r="N448" s="19"/>
      <c r="O448" s="84"/>
      <c r="P448" s="19"/>
      <c r="Q448" s="91"/>
      <c r="R448" s="19"/>
      <c r="S448" s="91"/>
      <c r="T448" s="19"/>
      <c r="U448" s="375"/>
    </row>
    <row r="449" spans="1:21" ht="15.75" customHeight="1" x14ac:dyDescent="0.25">
      <c r="A449" s="2"/>
      <c r="B449" s="19"/>
      <c r="C449" s="374"/>
      <c r="D449" s="2"/>
      <c r="E449" s="19"/>
      <c r="F449" s="19"/>
      <c r="G449" s="19"/>
      <c r="H449" s="19"/>
      <c r="I449" s="19"/>
      <c r="J449" s="19"/>
      <c r="K449" s="19"/>
      <c r="L449" s="2"/>
      <c r="M449" s="19"/>
      <c r="N449" s="19"/>
      <c r="O449" s="84"/>
      <c r="P449" s="19"/>
      <c r="Q449" s="91"/>
      <c r="R449" s="19"/>
      <c r="S449" s="91"/>
      <c r="T449" s="19"/>
      <c r="U449" s="375"/>
    </row>
    <row r="450" spans="1:21" ht="15.75" customHeight="1" x14ac:dyDescent="0.25">
      <c r="A450" s="2"/>
      <c r="B450" s="19"/>
      <c r="C450" s="374"/>
      <c r="D450" s="2"/>
      <c r="E450" s="19"/>
      <c r="F450" s="19"/>
      <c r="G450" s="19"/>
      <c r="H450" s="19"/>
      <c r="I450" s="19"/>
      <c r="J450" s="19"/>
      <c r="K450" s="19"/>
      <c r="L450" s="2"/>
      <c r="M450" s="19"/>
      <c r="N450" s="19"/>
      <c r="O450" s="84"/>
      <c r="P450" s="19"/>
      <c r="Q450" s="91"/>
      <c r="R450" s="19"/>
      <c r="S450" s="91"/>
      <c r="T450" s="19"/>
      <c r="U450" s="375"/>
    </row>
    <row r="451" spans="1:21" ht="15.75" customHeight="1" x14ac:dyDescent="0.25">
      <c r="A451" s="2"/>
      <c r="B451" s="19"/>
      <c r="C451" s="374"/>
      <c r="D451" s="2"/>
      <c r="E451" s="19"/>
      <c r="F451" s="19"/>
      <c r="G451" s="19"/>
      <c r="H451" s="19"/>
      <c r="I451" s="19"/>
      <c r="J451" s="19"/>
      <c r="K451" s="19"/>
      <c r="L451" s="2"/>
      <c r="M451" s="19"/>
      <c r="N451" s="19"/>
      <c r="O451" s="84"/>
      <c r="P451" s="19"/>
      <c r="Q451" s="91"/>
      <c r="R451" s="19"/>
      <c r="S451" s="91"/>
      <c r="T451" s="19"/>
      <c r="U451" s="375"/>
    </row>
    <row r="452" spans="1:21" ht="15.75" customHeight="1" x14ac:dyDescent="0.25">
      <c r="A452" s="2"/>
      <c r="B452" s="19"/>
      <c r="C452" s="374"/>
      <c r="D452" s="2"/>
      <c r="E452" s="19"/>
      <c r="F452" s="19"/>
      <c r="G452" s="19"/>
      <c r="H452" s="19"/>
      <c r="I452" s="19"/>
      <c r="J452" s="19"/>
      <c r="K452" s="19"/>
      <c r="L452" s="2"/>
      <c r="M452" s="19"/>
      <c r="N452" s="19"/>
      <c r="O452" s="84"/>
      <c r="P452" s="19"/>
      <c r="Q452" s="91"/>
      <c r="R452" s="19"/>
      <c r="S452" s="91"/>
      <c r="T452" s="19"/>
      <c r="U452" s="375"/>
    </row>
    <row r="453" spans="1:21" ht="15.75" customHeight="1" x14ac:dyDescent="0.25">
      <c r="A453" s="2"/>
      <c r="B453" s="19"/>
      <c r="C453" s="374"/>
      <c r="D453" s="2"/>
      <c r="E453" s="19"/>
      <c r="F453" s="19"/>
      <c r="G453" s="19"/>
      <c r="H453" s="19"/>
      <c r="I453" s="19"/>
      <c r="J453" s="19"/>
      <c r="K453" s="19"/>
      <c r="L453" s="2"/>
      <c r="M453" s="19"/>
      <c r="N453" s="19"/>
      <c r="O453" s="84"/>
      <c r="P453" s="19"/>
      <c r="Q453" s="91"/>
      <c r="R453" s="19"/>
      <c r="S453" s="91"/>
      <c r="T453" s="19"/>
      <c r="U453" s="375"/>
    </row>
    <row r="454" spans="1:21" ht="15.75" customHeight="1" x14ac:dyDescent="0.25">
      <c r="A454" s="2"/>
      <c r="B454" s="19"/>
      <c r="C454" s="374"/>
      <c r="D454" s="2"/>
      <c r="E454" s="19"/>
      <c r="F454" s="19"/>
      <c r="G454" s="19"/>
      <c r="H454" s="19"/>
      <c r="I454" s="19"/>
      <c r="J454" s="19"/>
      <c r="K454" s="19"/>
      <c r="L454" s="2"/>
      <c r="M454" s="19"/>
      <c r="N454" s="19"/>
      <c r="O454" s="84"/>
      <c r="P454" s="19"/>
      <c r="Q454" s="91"/>
      <c r="R454" s="19"/>
      <c r="S454" s="91"/>
      <c r="T454" s="19"/>
      <c r="U454" s="375"/>
    </row>
    <row r="455" spans="1:21" ht="15.75" customHeight="1" x14ac:dyDescent="0.25">
      <c r="A455" s="2"/>
      <c r="B455" s="19"/>
      <c r="C455" s="374"/>
      <c r="D455" s="2"/>
      <c r="E455" s="19"/>
      <c r="F455" s="19"/>
      <c r="G455" s="19"/>
      <c r="H455" s="19"/>
      <c r="I455" s="19"/>
      <c r="J455" s="19"/>
      <c r="K455" s="19"/>
      <c r="L455" s="2"/>
      <c r="M455" s="19"/>
      <c r="N455" s="19"/>
      <c r="O455" s="84"/>
      <c r="P455" s="19"/>
      <c r="Q455" s="91"/>
      <c r="R455" s="19"/>
      <c r="S455" s="91"/>
      <c r="T455" s="19"/>
      <c r="U455" s="375"/>
    </row>
    <row r="456" spans="1:21" ht="15.75" customHeight="1" x14ac:dyDescent="0.25">
      <c r="A456" s="2"/>
      <c r="B456" s="19"/>
      <c r="C456" s="374"/>
      <c r="D456" s="2"/>
      <c r="E456" s="19"/>
      <c r="F456" s="19"/>
      <c r="G456" s="19"/>
      <c r="H456" s="19"/>
      <c r="I456" s="19"/>
      <c r="J456" s="19"/>
      <c r="K456" s="19"/>
      <c r="L456" s="2"/>
      <c r="M456" s="19"/>
      <c r="N456" s="19"/>
      <c r="O456" s="84"/>
      <c r="P456" s="19"/>
      <c r="Q456" s="91"/>
      <c r="R456" s="19"/>
      <c r="S456" s="91"/>
      <c r="T456" s="19"/>
      <c r="U456" s="375"/>
    </row>
    <row r="457" spans="1:21" ht="15.75" customHeight="1" x14ac:dyDescent="0.25">
      <c r="A457" s="2"/>
      <c r="B457" s="19"/>
      <c r="C457" s="374"/>
      <c r="D457" s="2"/>
      <c r="E457" s="19"/>
      <c r="F457" s="19"/>
      <c r="G457" s="19"/>
      <c r="H457" s="19"/>
      <c r="I457" s="19"/>
      <c r="J457" s="19"/>
      <c r="K457" s="19"/>
      <c r="L457" s="2"/>
      <c r="M457" s="19"/>
      <c r="N457" s="19"/>
      <c r="O457" s="84"/>
      <c r="P457" s="19"/>
      <c r="Q457" s="91"/>
      <c r="R457" s="19"/>
      <c r="S457" s="91"/>
      <c r="T457" s="19"/>
      <c r="U457" s="375"/>
    </row>
    <row r="458" spans="1:21" ht="15.75" customHeight="1" x14ac:dyDescent="0.25">
      <c r="A458" s="2"/>
      <c r="B458" s="19"/>
      <c r="C458" s="374"/>
      <c r="D458" s="2"/>
      <c r="E458" s="19"/>
      <c r="F458" s="19"/>
      <c r="G458" s="19"/>
      <c r="H458" s="19"/>
      <c r="I458" s="19"/>
      <c r="J458" s="19"/>
      <c r="K458" s="19"/>
      <c r="L458" s="2"/>
      <c r="M458" s="19"/>
      <c r="N458" s="19"/>
      <c r="O458" s="84"/>
      <c r="P458" s="19"/>
      <c r="Q458" s="91"/>
      <c r="R458" s="19"/>
      <c r="S458" s="91"/>
      <c r="T458" s="19"/>
      <c r="U458" s="375"/>
    </row>
    <row r="459" spans="1:21" ht="15.75" customHeight="1" x14ac:dyDescent="0.25">
      <c r="A459" s="2"/>
      <c r="B459" s="19"/>
      <c r="C459" s="374"/>
      <c r="D459" s="2"/>
      <c r="E459" s="19"/>
      <c r="F459" s="19"/>
      <c r="G459" s="19"/>
      <c r="H459" s="19"/>
      <c r="I459" s="19"/>
      <c r="J459" s="19"/>
      <c r="K459" s="19"/>
      <c r="L459" s="2"/>
      <c r="M459" s="19"/>
      <c r="N459" s="19"/>
      <c r="O459" s="84"/>
      <c r="P459" s="19"/>
      <c r="Q459" s="91"/>
      <c r="R459" s="19"/>
      <c r="S459" s="91"/>
      <c r="T459" s="19"/>
      <c r="U459" s="375"/>
    </row>
    <row r="460" spans="1:21" ht="15.75" customHeight="1" x14ac:dyDescent="0.25">
      <c r="A460" s="2"/>
      <c r="B460" s="19"/>
      <c r="C460" s="374"/>
      <c r="D460" s="2"/>
      <c r="E460" s="19"/>
      <c r="F460" s="19"/>
      <c r="G460" s="19"/>
      <c r="H460" s="19"/>
      <c r="I460" s="19"/>
      <c r="J460" s="19"/>
      <c r="K460" s="19"/>
      <c r="L460" s="2"/>
      <c r="M460" s="19"/>
      <c r="N460" s="19"/>
      <c r="O460" s="84"/>
      <c r="P460" s="19"/>
      <c r="Q460" s="91"/>
      <c r="R460" s="19"/>
      <c r="S460" s="91"/>
      <c r="T460" s="19"/>
      <c r="U460" s="375"/>
    </row>
    <row r="461" spans="1:21" ht="15.75" customHeight="1" x14ac:dyDescent="0.25">
      <c r="A461" s="2"/>
      <c r="B461" s="19"/>
      <c r="C461" s="374"/>
      <c r="D461" s="2"/>
      <c r="E461" s="19"/>
      <c r="F461" s="19"/>
      <c r="G461" s="19"/>
      <c r="H461" s="19"/>
      <c r="I461" s="19"/>
      <c r="J461" s="19"/>
      <c r="K461" s="19"/>
      <c r="L461" s="2"/>
      <c r="M461" s="19"/>
      <c r="N461" s="19"/>
      <c r="O461" s="84"/>
      <c r="P461" s="19"/>
      <c r="Q461" s="91"/>
      <c r="R461" s="19"/>
      <c r="S461" s="91"/>
      <c r="T461" s="19"/>
      <c r="U461" s="375"/>
    </row>
    <row r="462" spans="1:21" ht="15.75" customHeight="1" x14ac:dyDescent="0.25">
      <c r="A462" s="2"/>
      <c r="B462" s="19"/>
      <c r="C462" s="374"/>
      <c r="D462" s="2"/>
      <c r="E462" s="19"/>
      <c r="F462" s="19"/>
      <c r="G462" s="19"/>
      <c r="H462" s="19"/>
      <c r="I462" s="19"/>
      <c r="J462" s="19"/>
      <c r="K462" s="19"/>
      <c r="L462" s="2"/>
      <c r="M462" s="19"/>
      <c r="N462" s="19"/>
      <c r="O462" s="84"/>
      <c r="P462" s="19"/>
      <c r="Q462" s="91"/>
      <c r="R462" s="19"/>
      <c r="S462" s="91"/>
      <c r="T462" s="19"/>
      <c r="U462" s="375"/>
    </row>
    <row r="463" spans="1:21" ht="15.75" customHeight="1" x14ac:dyDescent="0.25">
      <c r="A463" s="2"/>
      <c r="B463" s="19"/>
      <c r="C463" s="374"/>
      <c r="D463" s="2"/>
      <c r="E463" s="19"/>
      <c r="F463" s="19"/>
      <c r="G463" s="19"/>
      <c r="H463" s="19"/>
      <c r="I463" s="19"/>
      <c r="J463" s="19"/>
      <c r="K463" s="19"/>
      <c r="L463" s="2"/>
      <c r="M463" s="19"/>
      <c r="N463" s="19"/>
      <c r="O463" s="84"/>
      <c r="P463" s="19"/>
      <c r="Q463" s="91"/>
      <c r="R463" s="19"/>
      <c r="S463" s="91"/>
      <c r="T463" s="19"/>
      <c r="U463" s="375"/>
    </row>
    <row r="464" spans="1:21" ht="15.75" customHeight="1" x14ac:dyDescent="0.25">
      <c r="A464" s="2"/>
      <c r="B464" s="19"/>
      <c r="C464" s="374"/>
      <c r="D464" s="2"/>
      <c r="E464" s="19"/>
      <c r="F464" s="19"/>
      <c r="G464" s="19"/>
      <c r="H464" s="19"/>
      <c r="I464" s="19"/>
      <c r="J464" s="19"/>
      <c r="K464" s="19"/>
      <c r="L464" s="2"/>
      <c r="M464" s="19"/>
      <c r="N464" s="19"/>
      <c r="O464" s="84"/>
      <c r="P464" s="19"/>
      <c r="Q464" s="91"/>
      <c r="R464" s="19"/>
      <c r="S464" s="91"/>
      <c r="T464" s="19"/>
      <c r="U464" s="375"/>
    </row>
    <row r="465" spans="1:21" ht="15.75" customHeight="1" x14ac:dyDescent="0.25">
      <c r="A465" s="2"/>
      <c r="B465" s="19"/>
      <c r="C465" s="374"/>
      <c r="D465" s="2"/>
      <c r="E465" s="19"/>
      <c r="F465" s="19"/>
      <c r="G465" s="19"/>
      <c r="H465" s="19"/>
      <c r="I465" s="19"/>
      <c r="J465" s="19"/>
      <c r="K465" s="19"/>
      <c r="L465" s="2"/>
      <c r="M465" s="19"/>
      <c r="N465" s="19"/>
      <c r="O465" s="84"/>
      <c r="P465" s="19"/>
      <c r="Q465" s="91"/>
      <c r="R465" s="19"/>
      <c r="S465" s="91"/>
      <c r="T465" s="19"/>
      <c r="U465" s="375"/>
    </row>
    <row r="466" spans="1:21" ht="15.75" customHeight="1" x14ac:dyDescent="0.25">
      <c r="A466" s="2"/>
      <c r="B466" s="19"/>
      <c r="C466" s="374"/>
      <c r="D466" s="2"/>
      <c r="E466" s="19"/>
      <c r="F466" s="19"/>
      <c r="G466" s="19"/>
      <c r="H466" s="19"/>
      <c r="I466" s="19"/>
      <c r="J466" s="19"/>
      <c r="K466" s="19"/>
      <c r="L466" s="2"/>
      <c r="M466" s="19"/>
      <c r="N466" s="19"/>
      <c r="O466" s="84"/>
      <c r="P466" s="19"/>
      <c r="Q466" s="91"/>
      <c r="R466" s="19"/>
      <c r="S466" s="91"/>
      <c r="T466" s="19"/>
      <c r="U466" s="375"/>
    </row>
    <row r="467" spans="1:21" ht="15.75" customHeight="1" x14ac:dyDescent="0.25">
      <c r="A467" s="2"/>
      <c r="B467" s="19"/>
      <c r="C467" s="374"/>
      <c r="D467" s="2"/>
      <c r="E467" s="19"/>
      <c r="F467" s="19"/>
      <c r="G467" s="19"/>
      <c r="H467" s="19"/>
      <c r="I467" s="19"/>
      <c r="J467" s="19"/>
      <c r="K467" s="19"/>
      <c r="L467" s="2"/>
      <c r="M467" s="19"/>
      <c r="N467" s="19"/>
      <c r="O467" s="84"/>
      <c r="P467" s="19"/>
      <c r="Q467" s="91"/>
      <c r="R467" s="19"/>
      <c r="S467" s="91"/>
      <c r="T467" s="19"/>
      <c r="U467" s="375"/>
    </row>
    <row r="468" spans="1:21" ht="15.75" customHeight="1" x14ac:dyDescent="0.25">
      <c r="A468" s="2"/>
      <c r="B468" s="19"/>
      <c r="C468" s="374"/>
      <c r="D468" s="2"/>
      <c r="E468" s="19"/>
      <c r="F468" s="19"/>
      <c r="G468" s="19"/>
      <c r="H468" s="19"/>
      <c r="I468" s="19"/>
      <c r="J468" s="19"/>
      <c r="K468" s="19"/>
      <c r="L468" s="2"/>
      <c r="M468" s="19"/>
      <c r="N468" s="19"/>
      <c r="O468" s="84"/>
      <c r="P468" s="19"/>
      <c r="Q468" s="91"/>
      <c r="R468" s="19"/>
      <c r="S468" s="91"/>
      <c r="T468" s="19"/>
      <c r="U468" s="375"/>
    </row>
    <row r="469" spans="1:21" ht="15.75" customHeight="1" x14ac:dyDescent="0.25">
      <c r="A469" s="2"/>
      <c r="B469" s="19"/>
      <c r="C469" s="374"/>
      <c r="D469" s="2"/>
      <c r="E469" s="19"/>
      <c r="F469" s="19"/>
      <c r="G469" s="19"/>
      <c r="H469" s="19"/>
      <c r="I469" s="19"/>
      <c r="J469" s="19"/>
      <c r="K469" s="19"/>
      <c r="L469" s="2"/>
      <c r="M469" s="19"/>
      <c r="N469" s="19"/>
      <c r="O469" s="84"/>
      <c r="P469" s="19"/>
      <c r="Q469" s="91"/>
      <c r="R469" s="19"/>
      <c r="S469" s="91"/>
      <c r="T469" s="19"/>
      <c r="U469" s="375"/>
    </row>
    <row r="470" spans="1:21" ht="15.75" customHeight="1" x14ac:dyDescent="0.25">
      <c r="A470" s="2"/>
      <c r="B470" s="19"/>
      <c r="C470" s="374"/>
      <c r="D470" s="2"/>
      <c r="E470" s="19"/>
      <c r="F470" s="19"/>
      <c r="G470" s="19"/>
      <c r="H470" s="19"/>
      <c r="I470" s="19"/>
      <c r="J470" s="19"/>
      <c r="K470" s="19"/>
      <c r="L470" s="2"/>
      <c r="M470" s="19"/>
      <c r="N470" s="19"/>
      <c r="O470" s="84"/>
      <c r="P470" s="19"/>
      <c r="Q470" s="91"/>
      <c r="R470" s="19"/>
      <c r="S470" s="91"/>
      <c r="T470" s="19"/>
      <c r="U470" s="375"/>
    </row>
    <row r="471" spans="1:21" ht="15.75" customHeight="1" x14ac:dyDescent="0.25">
      <c r="A471" s="2"/>
      <c r="B471" s="19"/>
      <c r="C471" s="374"/>
      <c r="D471" s="2"/>
      <c r="E471" s="19"/>
      <c r="F471" s="19"/>
      <c r="G471" s="19"/>
      <c r="H471" s="19"/>
      <c r="I471" s="19"/>
      <c r="J471" s="19"/>
      <c r="K471" s="19"/>
      <c r="L471" s="2"/>
      <c r="M471" s="19"/>
      <c r="N471" s="19"/>
      <c r="O471" s="84"/>
      <c r="P471" s="19"/>
      <c r="Q471" s="91"/>
      <c r="R471" s="19"/>
      <c r="S471" s="91"/>
      <c r="T471" s="19"/>
      <c r="U471" s="375"/>
    </row>
    <row r="472" spans="1:21" ht="15.75" customHeight="1" x14ac:dyDescent="0.25">
      <c r="A472" s="2"/>
      <c r="B472" s="19"/>
      <c r="C472" s="374"/>
      <c r="D472" s="2"/>
      <c r="E472" s="19"/>
      <c r="F472" s="19"/>
      <c r="G472" s="19"/>
      <c r="H472" s="19"/>
      <c r="I472" s="19"/>
      <c r="J472" s="19"/>
      <c r="K472" s="19"/>
      <c r="L472" s="2"/>
      <c r="M472" s="19"/>
      <c r="N472" s="19"/>
      <c r="O472" s="84"/>
      <c r="P472" s="19"/>
      <c r="Q472" s="91"/>
      <c r="R472" s="19"/>
      <c r="S472" s="91"/>
      <c r="T472" s="19"/>
      <c r="U472" s="375"/>
    </row>
    <row r="473" spans="1:21" ht="15.75" customHeight="1" x14ac:dyDescent="0.25">
      <c r="A473" s="2"/>
      <c r="B473" s="19"/>
      <c r="C473" s="374"/>
      <c r="D473" s="2"/>
      <c r="E473" s="19"/>
      <c r="F473" s="19"/>
      <c r="G473" s="19"/>
      <c r="H473" s="19"/>
      <c r="I473" s="19"/>
      <c r="J473" s="19"/>
      <c r="K473" s="19"/>
      <c r="L473" s="2"/>
      <c r="M473" s="19"/>
      <c r="N473" s="19"/>
      <c r="O473" s="84"/>
      <c r="P473" s="19"/>
      <c r="Q473" s="91"/>
      <c r="R473" s="19"/>
      <c r="S473" s="91"/>
      <c r="T473" s="19"/>
      <c r="U473" s="375"/>
    </row>
    <row r="474" spans="1:21" ht="15.75" customHeight="1" x14ac:dyDescent="0.25">
      <c r="A474" s="2"/>
      <c r="B474" s="19"/>
      <c r="C474" s="374"/>
      <c r="D474" s="2"/>
      <c r="E474" s="19"/>
      <c r="F474" s="19"/>
      <c r="G474" s="19"/>
      <c r="H474" s="19"/>
      <c r="I474" s="19"/>
      <c r="J474" s="19"/>
      <c r="K474" s="19"/>
      <c r="L474" s="2"/>
      <c r="M474" s="19"/>
      <c r="N474" s="19"/>
      <c r="O474" s="84"/>
      <c r="P474" s="19"/>
      <c r="Q474" s="91"/>
      <c r="R474" s="19"/>
      <c r="S474" s="91"/>
      <c r="T474" s="19"/>
      <c r="U474" s="375"/>
    </row>
    <row r="475" spans="1:21" ht="15.75" customHeight="1" x14ac:dyDescent="0.25">
      <c r="A475" s="2"/>
      <c r="B475" s="19"/>
      <c r="C475" s="374"/>
      <c r="D475" s="2"/>
      <c r="E475" s="19"/>
      <c r="F475" s="19"/>
      <c r="G475" s="19"/>
      <c r="H475" s="19"/>
      <c r="I475" s="19"/>
      <c r="J475" s="19"/>
      <c r="K475" s="19"/>
      <c r="L475" s="2"/>
      <c r="M475" s="19"/>
      <c r="N475" s="19"/>
      <c r="O475" s="84"/>
      <c r="P475" s="19"/>
      <c r="Q475" s="91"/>
      <c r="R475" s="19"/>
      <c r="S475" s="91"/>
      <c r="T475" s="19"/>
      <c r="U475" s="375"/>
    </row>
    <row r="476" spans="1:21" ht="15.75" customHeight="1" x14ac:dyDescent="0.25">
      <c r="A476" s="2"/>
      <c r="B476" s="19"/>
      <c r="C476" s="374"/>
      <c r="D476" s="2"/>
      <c r="E476" s="19"/>
      <c r="F476" s="19"/>
      <c r="G476" s="19"/>
      <c r="H476" s="19"/>
      <c r="I476" s="19"/>
      <c r="J476" s="19"/>
      <c r="K476" s="19"/>
      <c r="L476" s="2"/>
      <c r="M476" s="19"/>
      <c r="N476" s="19"/>
      <c r="O476" s="84"/>
      <c r="P476" s="19"/>
      <c r="Q476" s="91"/>
      <c r="R476" s="19"/>
      <c r="S476" s="91"/>
      <c r="T476" s="19"/>
      <c r="U476" s="375"/>
    </row>
    <row r="477" spans="1:21" ht="15.75" customHeight="1" x14ac:dyDescent="0.25">
      <c r="A477" s="2"/>
      <c r="B477" s="19"/>
      <c r="C477" s="374"/>
      <c r="D477" s="2"/>
      <c r="E477" s="19"/>
      <c r="F477" s="19"/>
      <c r="G477" s="19"/>
      <c r="H477" s="19"/>
      <c r="I477" s="19"/>
      <c r="J477" s="19"/>
      <c r="K477" s="19"/>
      <c r="L477" s="2"/>
      <c r="M477" s="19"/>
      <c r="N477" s="19"/>
      <c r="O477" s="84"/>
      <c r="P477" s="19"/>
      <c r="Q477" s="91"/>
      <c r="R477" s="19"/>
      <c r="S477" s="91"/>
      <c r="T477" s="19"/>
      <c r="U477" s="375"/>
    </row>
    <row r="478" spans="1:21" ht="15.75" customHeight="1" x14ac:dyDescent="0.25">
      <c r="A478" s="2"/>
      <c r="B478" s="19"/>
      <c r="C478" s="374"/>
      <c r="D478" s="2"/>
      <c r="E478" s="19"/>
      <c r="F478" s="19"/>
      <c r="G478" s="19"/>
      <c r="H478" s="19"/>
      <c r="I478" s="19"/>
      <c r="J478" s="19"/>
      <c r="K478" s="19"/>
      <c r="L478" s="2"/>
      <c r="M478" s="19"/>
      <c r="N478" s="19"/>
      <c r="O478" s="84"/>
      <c r="P478" s="19"/>
      <c r="Q478" s="91"/>
      <c r="R478" s="19"/>
      <c r="S478" s="91"/>
      <c r="T478" s="19"/>
      <c r="U478" s="375"/>
    </row>
    <row r="479" spans="1:21" ht="15.75" customHeight="1" x14ac:dyDescent="0.25">
      <c r="A479" s="2"/>
      <c r="B479" s="19"/>
      <c r="C479" s="374"/>
      <c r="D479" s="2"/>
      <c r="E479" s="19"/>
      <c r="F479" s="19"/>
      <c r="G479" s="19"/>
      <c r="H479" s="19"/>
      <c r="I479" s="19"/>
      <c r="J479" s="19"/>
      <c r="K479" s="19"/>
      <c r="L479" s="2"/>
      <c r="M479" s="19"/>
      <c r="N479" s="19"/>
      <c r="O479" s="84"/>
      <c r="P479" s="19"/>
      <c r="Q479" s="91"/>
      <c r="R479" s="19"/>
      <c r="S479" s="91"/>
      <c r="T479" s="19"/>
      <c r="U479" s="375"/>
    </row>
    <row r="480" spans="1:21" ht="15.75" customHeight="1" x14ac:dyDescent="0.25">
      <c r="A480" s="2"/>
      <c r="B480" s="19"/>
      <c r="C480" s="374"/>
      <c r="D480" s="2"/>
      <c r="E480" s="19"/>
      <c r="F480" s="19"/>
      <c r="G480" s="19"/>
      <c r="H480" s="19"/>
      <c r="I480" s="19"/>
      <c r="J480" s="19"/>
      <c r="K480" s="19"/>
      <c r="L480" s="2"/>
      <c r="M480" s="19"/>
      <c r="N480" s="19"/>
      <c r="O480" s="84"/>
      <c r="P480" s="19"/>
      <c r="Q480" s="91"/>
      <c r="R480" s="19"/>
      <c r="S480" s="91"/>
      <c r="T480" s="19"/>
      <c r="U480" s="375"/>
    </row>
    <row r="481" spans="1:21" ht="15.75" customHeight="1" x14ac:dyDescent="0.25">
      <c r="A481" s="2"/>
      <c r="B481" s="19"/>
      <c r="C481" s="374"/>
      <c r="D481" s="2"/>
      <c r="E481" s="19"/>
      <c r="F481" s="19"/>
      <c r="G481" s="19"/>
      <c r="H481" s="19"/>
      <c r="I481" s="19"/>
      <c r="J481" s="19"/>
      <c r="K481" s="19"/>
      <c r="L481" s="2"/>
      <c r="M481" s="19"/>
      <c r="N481" s="19"/>
      <c r="O481" s="84"/>
      <c r="P481" s="19"/>
      <c r="Q481" s="91"/>
      <c r="R481" s="19"/>
      <c r="S481" s="91"/>
      <c r="T481" s="19"/>
      <c r="U481" s="375"/>
    </row>
    <row r="482" spans="1:21" ht="15.75" customHeight="1" x14ac:dyDescent="0.25">
      <c r="A482" s="2"/>
      <c r="B482" s="19"/>
      <c r="C482" s="374"/>
      <c r="D482" s="2"/>
      <c r="E482" s="19"/>
      <c r="F482" s="19"/>
      <c r="G482" s="19"/>
      <c r="H482" s="19"/>
      <c r="I482" s="19"/>
      <c r="J482" s="19"/>
      <c r="K482" s="19"/>
      <c r="L482" s="2"/>
      <c r="M482" s="19"/>
      <c r="N482" s="19"/>
      <c r="O482" s="84"/>
      <c r="P482" s="19"/>
      <c r="Q482" s="91"/>
      <c r="R482" s="19"/>
      <c r="S482" s="91"/>
      <c r="T482" s="19"/>
      <c r="U482" s="375"/>
    </row>
    <row r="483" spans="1:21" ht="15.75" customHeight="1" x14ac:dyDescent="0.25">
      <c r="A483" s="2"/>
      <c r="B483" s="19"/>
      <c r="C483" s="374"/>
      <c r="D483" s="2"/>
      <c r="E483" s="19"/>
      <c r="F483" s="19"/>
      <c r="G483" s="19"/>
      <c r="H483" s="19"/>
      <c r="I483" s="19"/>
      <c r="J483" s="19"/>
      <c r="K483" s="19"/>
      <c r="L483" s="2"/>
      <c r="M483" s="19"/>
      <c r="N483" s="19"/>
      <c r="O483" s="84"/>
      <c r="P483" s="19"/>
      <c r="Q483" s="91"/>
      <c r="R483" s="19"/>
      <c r="S483" s="91"/>
      <c r="T483" s="19"/>
      <c r="U483" s="375"/>
    </row>
    <row r="484" spans="1:21" ht="15.75" customHeight="1" x14ac:dyDescent="0.25">
      <c r="A484" s="2"/>
      <c r="B484" s="19"/>
      <c r="C484" s="374"/>
      <c r="D484" s="2"/>
      <c r="E484" s="19"/>
      <c r="F484" s="19"/>
      <c r="G484" s="19"/>
      <c r="H484" s="19"/>
      <c r="I484" s="19"/>
      <c r="J484" s="19"/>
      <c r="K484" s="19"/>
      <c r="L484" s="2"/>
      <c r="M484" s="19"/>
      <c r="N484" s="19"/>
      <c r="O484" s="84"/>
      <c r="P484" s="19"/>
      <c r="Q484" s="91"/>
      <c r="R484" s="19"/>
      <c r="S484" s="91"/>
      <c r="T484" s="19"/>
      <c r="U484" s="375"/>
    </row>
    <row r="485" spans="1:21" ht="15.75" customHeight="1" x14ac:dyDescent="0.25">
      <c r="A485" s="2"/>
      <c r="B485" s="19"/>
      <c r="C485" s="374"/>
      <c r="D485" s="2"/>
      <c r="E485" s="19"/>
      <c r="F485" s="19"/>
      <c r="G485" s="19"/>
      <c r="H485" s="19"/>
      <c r="I485" s="19"/>
      <c r="J485" s="19"/>
      <c r="K485" s="19"/>
      <c r="L485" s="2"/>
      <c r="M485" s="19"/>
      <c r="N485" s="19"/>
      <c r="O485" s="84"/>
      <c r="P485" s="19"/>
      <c r="Q485" s="91"/>
      <c r="R485" s="19"/>
      <c r="S485" s="91"/>
      <c r="T485" s="19"/>
      <c r="U485" s="375"/>
    </row>
    <row r="486" spans="1:21" ht="15.75" customHeight="1" x14ac:dyDescent="0.25">
      <c r="A486" s="2"/>
      <c r="B486" s="19"/>
      <c r="C486" s="374"/>
      <c r="D486" s="2"/>
      <c r="E486" s="19"/>
      <c r="F486" s="19"/>
      <c r="G486" s="19"/>
      <c r="H486" s="19"/>
      <c r="I486" s="19"/>
      <c r="J486" s="19"/>
      <c r="K486" s="19"/>
      <c r="L486" s="2"/>
      <c r="M486" s="19"/>
      <c r="N486" s="19"/>
      <c r="O486" s="84"/>
      <c r="P486" s="19"/>
      <c r="Q486" s="91"/>
      <c r="R486" s="19"/>
      <c r="S486" s="91"/>
      <c r="T486" s="19"/>
      <c r="U486" s="375"/>
    </row>
    <row r="487" spans="1:21" ht="15.75" customHeight="1" x14ac:dyDescent="0.25">
      <c r="A487" s="2"/>
      <c r="B487" s="19"/>
      <c r="C487" s="374"/>
      <c r="D487" s="2"/>
      <c r="E487" s="19"/>
      <c r="F487" s="19"/>
      <c r="G487" s="19"/>
      <c r="H487" s="19"/>
      <c r="I487" s="19"/>
      <c r="J487" s="19"/>
      <c r="K487" s="19"/>
      <c r="L487" s="2"/>
      <c r="M487" s="19"/>
      <c r="N487" s="19"/>
      <c r="O487" s="84"/>
      <c r="P487" s="19"/>
      <c r="Q487" s="91"/>
      <c r="R487" s="19"/>
      <c r="S487" s="91"/>
      <c r="T487" s="19"/>
      <c r="U487" s="375"/>
    </row>
    <row r="488" spans="1:21" ht="15.75" customHeight="1" x14ac:dyDescent="0.25">
      <c r="A488" s="2"/>
      <c r="B488" s="19"/>
      <c r="C488" s="374"/>
      <c r="D488" s="2"/>
      <c r="E488" s="19"/>
      <c r="F488" s="19"/>
      <c r="G488" s="19"/>
      <c r="H488" s="19"/>
      <c r="I488" s="19"/>
      <c r="J488" s="19"/>
      <c r="K488" s="19"/>
      <c r="L488" s="2"/>
      <c r="M488" s="19"/>
      <c r="N488" s="19"/>
      <c r="O488" s="84"/>
      <c r="P488" s="19"/>
      <c r="Q488" s="91"/>
      <c r="R488" s="19"/>
      <c r="S488" s="91"/>
      <c r="T488" s="19"/>
      <c r="U488" s="375"/>
    </row>
    <row r="489" spans="1:21" ht="15.75" customHeight="1" x14ac:dyDescent="0.25">
      <c r="A489" s="2"/>
      <c r="B489" s="19"/>
      <c r="C489" s="374"/>
      <c r="D489" s="2"/>
      <c r="E489" s="19"/>
      <c r="F489" s="19"/>
      <c r="G489" s="19"/>
      <c r="H489" s="19"/>
      <c r="I489" s="19"/>
      <c r="J489" s="19"/>
      <c r="K489" s="19"/>
      <c r="L489" s="2"/>
      <c r="M489" s="19"/>
      <c r="N489" s="19"/>
      <c r="O489" s="84"/>
      <c r="P489" s="19"/>
      <c r="Q489" s="91"/>
      <c r="R489" s="19"/>
      <c r="S489" s="91"/>
      <c r="T489" s="19"/>
      <c r="U489" s="375"/>
    </row>
    <row r="490" spans="1:21" ht="15.75" customHeight="1" x14ac:dyDescent="0.25">
      <c r="A490" s="2"/>
      <c r="B490" s="19"/>
      <c r="C490" s="374"/>
      <c r="D490" s="2"/>
      <c r="E490" s="19"/>
      <c r="F490" s="19"/>
      <c r="G490" s="19"/>
      <c r="H490" s="19"/>
      <c r="I490" s="19"/>
      <c r="J490" s="19"/>
      <c r="K490" s="19"/>
      <c r="L490" s="2"/>
      <c r="M490" s="19"/>
      <c r="N490" s="19"/>
      <c r="O490" s="84"/>
      <c r="P490" s="19"/>
      <c r="Q490" s="91"/>
      <c r="R490" s="19"/>
      <c r="S490" s="91"/>
      <c r="T490" s="19"/>
      <c r="U490" s="375"/>
    </row>
    <row r="491" spans="1:21" ht="15.75" customHeight="1" x14ac:dyDescent="0.25">
      <c r="A491" s="2"/>
      <c r="B491" s="19"/>
      <c r="C491" s="374"/>
      <c r="D491" s="2"/>
      <c r="E491" s="19"/>
      <c r="F491" s="19"/>
      <c r="G491" s="19"/>
      <c r="H491" s="19"/>
      <c r="I491" s="19"/>
      <c r="J491" s="19"/>
      <c r="K491" s="19"/>
      <c r="L491" s="2"/>
      <c r="M491" s="19"/>
      <c r="N491" s="19"/>
      <c r="O491" s="84"/>
      <c r="P491" s="19"/>
      <c r="Q491" s="91"/>
      <c r="R491" s="19"/>
      <c r="S491" s="91"/>
      <c r="T491" s="19"/>
      <c r="U491" s="375"/>
    </row>
    <row r="492" spans="1:21" ht="15.75" customHeight="1" x14ac:dyDescent="0.25">
      <c r="A492" s="2"/>
      <c r="B492" s="19"/>
      <c r="C492" s="374"/>
      <c r="D492" s="2"/>
      <c r="E492" s="19"/>
      <c r="F492" s="19"/>
      <c r="G492" s="19"/>
      <c r="H492" s="19"/>
      <c r="I492" s="19"/>
      <c r="J492" s="19"/>
      <c r="K492" s="19"/>
      <c r="L492" s="2"/>
      <c r="M492" s="19"/>
      <c r="N492" s="19"/>
      <c r="O492" s="84"/>
      <c r="P492" s="19"/>
      <c r="Q492" s="91"/>
      <c r="R492" s="19"/>
      <c r="S492" s="91"/>
      <c r="T492" s="19"/>
      <c r="U492" s="375"/>
    </row>
    <row r="493" spans="1:21" ht="15.75" customHeight="1" x14ac:dyDescent="0.25">
      <c r="A493" s="2"/>
      <c r="B493" s="19"/>
      <c r="C493" s="374"/>
      <c r="D493" s="2"/>
      <c r="E493" s="19"/>
      <c r="F493" s="19"/>
      <c r="G493" s="19"/>
      <c r="H493" s="19"/>
      <c r="I493" s="19"/>
      <c r="J493" s="19"/>
      <c r="K493" s="19"/>
      <c r="L493" s="2"/>
      <c r="M493" s="19"/>
      <c r="N493" s="19"/>
      <c r="O493" s="84"/>
      <c r="P493" s="19"/>
      <c r="Q493" s="91"/>
      <c r="R493" s="19"/>
      <c r="S493" s="91"/>
      <c r="T493" s="19"/>
      <c r="U493" s="375"/>
    </row>
    <row r="494" spans="1:21" ht="15.75" customHeight="1" x14ac:dyDescent="0.25">
      <c r="A494" s="2"/>
      <c r="B494" s="19"/>
      <c r="C494" s="374"/>
      <c r="D494" s="2"/>
      <c r="E494" s="19"/>
      <c r="F494" s="19"/>
      <c r="G494" s="19"/>
      <c r="H494" s="19"/>
      <c r="I494" s="19"/>
      <c r="J494" s="19"/>
      <c r="K494" s="19"/>
      <c r="L494" s="2"/>
      <c r="M494" s="19"/>
      <c r="N494" s="19"/>
      <c r="O494" s="84"/>
      <c r="P494" s="19"/>
      <c r="Q494" s="91"/>
      <c r="R494" s="19"/>
      <c r="S494" s="91"/>
      <c r="T494" s="19"/>
      <c r="U494" s="375"/>
    </row>
    <row r="495" spans="1:21" ht="15.75" customHeight="1" x14ac:dyDescent="0.25">
      <c r="A495" s="2"/>
      <c r="B495" s="19"/>
      <c r="C495" s="374"/>
      <c r="D495" s="2"/>
      <c r="E495" s="19"/>
      <c r="F495" s="19"/>
      <c r="G495" s="19"/>
      <c r="H495" s="19"/>
      <c r="I495" s="19"/>
      <c r="J495" s="19"/>
      <c r="K495" s="19"/>
      <c r="L495" s="2"/>
      <c r="M495" s="19"/>
      <c r="N495" s="19"/>
      <c r="O495" s="84"/>
      <c r="P495" s="19"/>
      <c r="Q495" s="91"/>
      <c r="R495" s="19"/>
      <c r="S495" s="91"/>
      <c r="T495" s="19"/>
      <c r="U495" s="375"/>
    </row>
    <row r="496" spans="1:21" ht="15.75" customHeight="1" x14ac:dyDescent="0.25">
      <c r="A496" s="2"/>
      <c r="B496" s="19"/>
      <c r="C496" s="374"/>
      <c r="D496" s="2"/>
      <c r="E496" s="19"/>
      <c r="F496" s="19"/>
      <c r="G496" s="19"/>
      <c r="H496" s="19"/>
      <c r="I496" s="19"/>
      <c r="J496" s="19"/>
      <c r="K496" s="19"/>
      <c r="L496" s="2"/>
      <c r="M496" s="19"/>
      <c r="N496" s="19"/>
      <c r="O496" s="84"/>
      <c r="P496" s="19"/>
      <c r="Q496" s="91"/>
      <c r="R496" s="19"/>
      <c r="S496" s="91"/>
      <c r="T496" s="19"/>
      <c r="U496" s="375"/>
    </row>
    <row r="497" spans="1:21" ht="15.75" customHeight="1" x14ac:dyDescent="0.25">
      <c r="A497" s="2"/>
      <c r="B497" s="19"/>
      <c r="C497" s="374"/>
      <c r="D497" s="2"/>
      <c r="E497" s="19"/>
      <c r="F497" s="19"/>
      <c r="G497" s="19"/>
      <c r="H497" s="19"/>
      <c r="I497" s="19"/>
      <c r="J497" s="19"/>
      <c r="K497" s="19"/>
      <c r="L497" s="2"/>
      <c r="M497" s="19"/>
      <c r="N497" s="19"/>
      <c r="O497" s="84"/>
      <c r="P497" s="19"/>
      <c r="Q497" s="91"/>
      <c r="R497" s="19"/>
      <c r="S497" s="91"/>
      <c r="T497" s="19"/>
      <c r="U497" s="375"/>
    </row>
    <row r="498" spans="1:21" ht="15.75" customHeight="1" x14ac:dyDescent="0.25">
      <c r="A498" s="2"/>
      <c r="B498" s="19"/>
      <c r="C498" s="374"/>
      <c r="D498" s="2"/>
      <c r="E498" s="19"/>
      <c r="F498" s="19"/>
      <c r="G498" s="19"/>
      <c r="H498" s="19"/>
      <c r="I498" s="19"/>
      <c r="J498" s="19"/>
      <c r="K498" s="19"/>
      <c r="L498" s="2"/>
      <c r="M498" s="19"/>
      <c r="N498" s="19"/>
      <c r="O498" s="84"/>
      <c r="P498" s="19"/>
      <c r="Q498" s="91"/>
      <c r="R498" s="19"/>
      <c r="S498" s="91"/>
      <c r="T498" s="19"/>
      <c r="U498" s="375"/>
    </row>
    <row r="499" spans="1:21" ht="15.75" customHeight="1" x14ac:dyDescent="0.25">
      <c r="A499" s="2"/>
      <c r="B499" s="19"/>
      <c r="C499" s="374"/>
      <c r="D499" s="2"/>
      <c r="E499" s="19"/>
      <c r="F499" s="19"/>
      <c r="G499" s="19"/>
      <c r="H499" s="19"/>
      <c r="I499" s="19"/>
      <c r="J499" s="19"/>
      <c r="K499" s="19"/>
      <c r="L499" s="2"/>
      <c r="M499" s="19"/>
      <c r="N499" s="19"/>
      <c r="O499" s="84"/>
      <c r="P499" s="19"/>
      <c r="Q499" s="91"/>
      <c r="R499" s="19"/>
      <c r="S499" s="91"/>
      <c r="T499" s="19"/>
      <c r="U499" s="375"/>
    </row>
    <row r="500" spans="1:21" ht="15.75" customHeight="1" x14ac:dyDescent="0.25">
      <c r="A500" s="2"/>
      <c r="B500" s="19"/>
      <c r="C500" s="374"/>
      <c r="D500" s="2"/>
      <c r="E500" s="19"/>
      <c r="F500" s="19"/>
      <c r="G500" s="19"/>
      <c r="H500" s="19"/>
      <c r="I500" s="19"/>
      <c r="J500" s="19"/>
      <c r="K500" s="19"/>
      <c r="L500" s="2"/>
      <c r="M500" s="19"/>
      <c r="N500" s="19"/>
      <c r="O500" s="84"/>
      <c r="P500" s="19"/>
      <c r="Q500" s="91"/>
      <c r="R500" s="19"/>
      <c r="S500" s="91"/>
      <c r="T500" s="19"/>
      <c r="U500" s="375"/>
    </row>
    <row r="501" spans="1:21" ht="15.75" customHeight="1" x14ac:dyDescent="0.25">
      <c r="A501" s="2"/>
      <c r="B501" s="19"/>
      <c r="C501" s="374"/>
      <c r="D501" s="2"/>
      <c r="E501" s="19"/>
      <c r="F501" s="19"/>
      <c r="G501" s="19"/>
      <c r="H501" s="19"/>
      <c r="I501" s="19"/>
      <c r="J501" s="19"/>
      <c r="K501" s="19"/>
      <c r="L501" s="2"/>
      <c r="M501" s="19"/>
      <c r="N501" s="19"/>
      <c r="O501" s="84"/>
      <c r="P501" s="19"/>
      <c r="Q501" s="91"/>
      <c r="R501" s="19"/>
      <c r="S501" s="91"/>
      <c r="T501" s="19"/>
      <c r="U501" s="375"/>
    </row>
    <row r="502" spans="1:21" ht="15.75" customHeight="1" x14ac:dyDescent="0.25">
      <c r="A502" s="2"/>
      <c r="B502" s="19"/>
      <c r="C502" s="374"/>
      <c r="D502" s="2"/>
      <c r="E502" s="19"/>
      <c r="F502" s="19"/>
      <c r="G502" s="19"/>
      <c r="H502" s="19"/>
      <c r="I502" s="19"/>
      <c r="J502" s="19"/>
      <c r="K502" s="19"/>
      <c r="L502" s="2"/>
      <c r="M502" s="19"/>
      <c r="N502" s="19"/>
      <c r="O502" s="84"/>
      <c r="P502" s="19"/>
      <c r="Q502" s="91"/>
      <c r="R502" s="19"/>
      <c r="S502" s="91"/>
      <c r="T502" s="19"/>
      <c r="U502" s="375"/>
    </row>
    <row r="503" spans="1:21" ht="15.75" customHeight="1" x14ac:dyDescent="0.25">
      <c r="A503" s="2"/>
      <c r="B503" s="19"/>
      <c r="C503" s="374"/>
      <c r="D503" s="2"/>
      <c r="E503" s="19"/>
      <c r="F503" s="19"/>
      <c r="G503" s="19"/>
      <c r="H503" s="19"/>
      <c r="I503" s="19"/>
      <c r="J503" s="19"/>
      <c r="K503" s="19"/>
      <c r="L503" s="2"/>
      <c r="M503" s="19"/>
      <c r="N503" s="19"/>
      <c r="O503" s="84"/>
      <c r="P503" s="19"/>
      <c r="Q503" s="91"/>
      <c r="R503" s="19"/>
      <c r="S503" s="91"/>
      <c r="T503" s="19"/>
      <c r="U503" s="375"/>
    </row>
    <row r="504" spans="1:21" ht="15.75" customHeight="1" x14ac:dyDescent="0.25">
      <c r="A504" s="2"/>
      <c r="B504" s="19"/>
      <c r="C504" s="374"/>
      <c r="D504" s="2"/>
      <c r="E504" s="19"/>
      <c r="F504" s="19"/>
      <c r="G504" s="19"/>
      <c r="H504" s="19"/>
      <c r="I504" s="19"/>
      <c r="J504" s="19"/>
      <c r="K504" s="19"/>
      <c r="L504" s="2"/>
      <c r="M504" s="19"/>
      <c r="N504" s="19"/>
      <c r="O504" s="84"/>
      <c r="P504" s="19"/>
      <c r="Q504" s="91"/>
      <c r="R504" s="19"/>
      <c r="S504" s="91"/>
      <c r="T504" s="19"/>
      <c r="U504" s="375"/>
    </row>
    <row r="505" spans="1:21" ht="15.75" customHeight="1" x14ac:dyDescent="0.25">
      <c r="A505" s="2"/>
      <c r="B505" s="19"/>
      <c r="C505" s="374"/>
      <c r="D505" s="2"/>
      <c r="E505" s="19"/>
      <c r="F505" s="19"/>
      <c r="G505" s="19"/>
      <c r="H505" s="19"/>
      <c r="I505" s="19"/>
      <c r="J505" s="19"/>
      <c r="K505" s="19"/>
      <c r="L505" s="2"/>
      <c r="M505" s="19"/>
      <c r="N505" s="19"/>
      <c r="O505" s="84"/>
      <c r="P505" s="19"/>
      <c r="Q505" s="91"/>
      <c r="R505" s="19"/>
      <c r="S505" s="91"/>
      <c r="T505" s="19"/>
      <c r="U505" s="375"/>
    </row>
    <row r="506" spans="1:21" ht="15.75" customHeight="1" x14ac:dyDescent="0.25">
      <c r="A506" s="2"/>
      <c r="B506" s="19"/>
      <c r="C506" s="374"/>
      <c r="D506" s="2"/>
      <c r="E506" s="19"/>
      <c r="F506" s="19"/>
      <c r="G506" s="19"/>
      <c r="H506" s="19"/>
      <c r="I506" s="19"/>
      <c r="J506" s="19"/>
      <c r="K506" s="19"/>
      <c r="L506" s="2"/>
      <c r="M506" s="19"/>
      <c r="N506" s="19"/>
      <c r="O506" s="84"/>
      <c r="P506" s="19"/>
      <c r="Q506" s="91"/>
      <c r="R506" s="19"/>
      <c r="S506" s="91"/>
      <c r="T506" s="19"/>
      <c r="U506" s="375"/>
    </row>
    <row r="507" spans="1:21" ht="15.75" customHeight="1" x14ac:dyDescent="0.25">
      <c r="A507" s="2"/>
      <c r="B507" s="19"/>
      <c r="C507" s="374"/>
      <c r="D507" s="2"/>
      <c r="E507" s="19"/>
      <c r="F507" s="19"/>
      <c r="G507" s="19"/>
      <c r="H507" s="19"/>
      <c r="I507" s="19"/>
      <c r="J507" s="19"/>
      <c r="K507" s="19"/>
      <c r="L507" s="2"/>
      <c r="M507" s="19"/>
      <c r="N507" s="19"/>
      <c r="O507" s="84"/>
      <c r="P507" s="19"/>
      <c r="Q507" s="91"/>
      <c r="R507" s="19"/>
      <c r="S507" s="91"/>
      <c r="T507" s="19"/>
      <c r="U507" s="375"/>
    </row>
    <row r="508" spans="1:21" ht="15.75" customHeight="1" x14ac:dyDescent="0.25">
      <c r="A508" s="2"/>
      <c r="B508" s="19"/>
      <c r="C508" s="374"/>
      <c r="D508" s="2"/>
      <c r="E508" s="19"/>
      <c r="F508" s="19"/>
      <c r="G508" s="19"/>
      <c r="H508" s="19"/>
      <c r="I508" s="19"/>
      <c r="J508" s="19"/>
      <c r="K508" s="19"/>
      <c r="L508" s="2"/>
      <c r="M508" s="19"/>
      <c r="N508" s="19"/>
      <c r="O508" s="84"/>
      <c r="P508" s="19"/>
      <c r="Q508" s="91"/>
      <c r="R508" s="19"/>
      <c r="S508" s="91"/>
      <c r="T508" s="19"/>
      <c r="U508" s="375"/>
    </row>
    <row r="509" spans="1:21" ht="15.75" customHeight="1" x14ac:dyDescent="0.25">
      <c r="A509" s="2"/>
      <c r="B509" s="19"/>
      <c r="C509" s="374"/>
      <c r="D509" s="2"/>
      <c r="E509" s="19"/>
      <c r="F509" s="19"/>
      <c r="G509" s="19"/>
      <c r="H509" s="19"/>
      <c r="I509" s="19"/>
      <c r="J509" s="19"/>
      <c r="K509" s="19"/>
      <c r="L509" s="2"/>
      <c r="M509" s="19"/>
      <c r="N509" s="19"/>
      <c r="O509" s="84"/>
      <c r="P509" s="19"/>
      <c r="Q509" s="91"/>
      <c r="R509" s="19"/>
      <c r="S509" s="91"/>
      <c r="T509" s="19"/>
      <c r="U509" s="375"/>
    </row>
    <row r="510" spans="1:21" ht="15.75" customHeight="1" x14ac:dyDescent="0.25">
      <c r="A510" s="2"/>
      <c r="B510" s="19"/>
      <c r="C510" s="374"/>
      <c r="D510" s="2"/>
      <c r="E510" s="19"/>
      <c r="F510" s="19"/>
      <c r="G510" s="19"/>
      <c r="H510" s="19"/>
      <c r="I510" s="19"/>
      <c r="J510" s="19"/>
      <c r="K510" s="19"/>
      <c r="L510" s="2"/>
      <c r="M510" s="19"/>
      <c r="N510" s="19"/>
      <c r="O510" s="84"/>
      <c r="P510" s="19"/>
      <c r="Q510" s="91"/>
      <c r="R510" s="19"/>
      <c r="S510" s="91"/>
      <c r="T510" s="19"/>
      <c r="U510" s="375"/>
    </row>
    <row r="511" spans="1:21" ht="15.75" customHeight="1" x14ac:dyDescent="0.25">
      <c r="A511" s="2"/>
      <c r="B511" s="19"/>
      <c r="C511" s="374"/>
      <c r="D511" s="2"/>
      <c r="E511" s="19"/>
      <c r="F511" s="19"/>
      <c r="G511" s="19"/>
      <c r="H511" s="19"/>
      <c r="I511" s="19"/>
      <c r="J511" s="19"/>
      <c r="K511" s="19"/>
      <c r="L511" s="2"/>
      <c r="M511" s="19"/>
      <c r="N511" s="19"/>
      <c r="O511" s="84"/>
      <c r="P511" s="19"/>
      <c r="Q511" s="91"/>
      <c r="R511" s="19"/>
      <c r="S511" s="91"/>
      <c r="T511" s="19"/>
      <c r="U511" s="375"/>
    </row>
    <row r="512" spans="1:21" ht="15.75" customHeight="1" x14ac:dyDescent="0.25">
      <c r="A512" s="2"/>
      <c r="B512" s="19"/>
      <c r="C512" s="374"/>
      <c r="D512" s="2"/>
      <c r="E512" s="19"/>
      <c r="F512" s="19"/>
      <c r="G512" s="19"/>
      <c r="H512" s="19"/>
      <c r="I512" s="19"/>
      <c r="J512" s="19"/>
      <c r="K512" s="19"/>
      <c r="L512" s="2"/>
      <c r="M512" s="19"/>
      <c r="N512" s="19"/>
      <c r="O512" s="84"/>
      <c r="P512" s="19"/>
      <c r="Q512" s="91"/>
      <c r="R512" s="19"/>
      <c r="S512" s="91"/>
      <c r="T512" s="19"/>
      <c r="U512" s="375"/>
    </row>
    <row r="513" spans="1:21" ht="15.75" customHeight="1" x14ac:dyDescent="0.25">
      <c r="A513" s="2"/>
      <c r="B513" s="19"/>
      <c r="C513" s="374"/>
      <c r="D513" s="2"/>
      <c r="E513" s="19"/>
      <c r="F513" s="19"/>
      <c r="G513" s="19"/>
      <c r="H513" s="19"/>
      <c r="I513" s="19"/>
      <c r="J513" s="19"/>
      <c r="K513" s="19"/>
      <c r="L513" s="2"/>
      <c r="M513" s="19"/>
      <c r="N513" s="19"/>
      <c r="O513" s="84"/>
      <c r="P513" s="19"/>
      <c r="Q513" s="91"/>
      <c r="R513" s="19"/>
      <c r="S513" s="91"/>
      <c r="T513" s="19"/>
      <c r="U513" s="375"/>
    </row>
    <row r="514" spans="1:21" ht="15.75" customHeight="1" x14ac:dyDescent="0.25">
      <c r="A514" s="2"/>
      <c r="B514" s="19"/>
      <c r="C514" s="374"/>
      <c r="D514" s="2"/>
      <c r="E514" s="19"/>
      <c r="F514" s="19"/>
      <c r="G514" s="19"/>
      <c r="H514" s="19"/>
      <c r="I514" s="19"/>
      <c r="J514" s="19"/>
      <c r="K514" s="19"/>
      <c r="L514" s="2"/>
      <c r="M514" s="19"/>
      <c r="N514" s="19"/>
      <c r="O514" s="84"/>
      <c r="P514" s="19"/>
      <c r="Q514" s="91"/>
      <c r="R514" s="19"/>
      <c r="S514" s="91"/>
      <c r="T514" s="19"/>
      <c r="U514" s="375"/>
    </row>
    <row r="515" spans="1:21" ht="15.75" customHeight="1" x14ac:dyDescent="0.25">
      <c r="A515" s="2"/>
      <c r="B515" s="19"/>
      <c r="C515" s="374"/>
      <c r="D515" s="2"/>
      <c r="E515" s="19"/>
      <c r="F515" s="19"/>
      <c r="G515" s="19"/>
      <c r="H515" s="19"/>
      <c r="I515" s="19"/>
      <c r="J515" s="19"/>
      <c r="K515" s="19"/>
      <c r="L515" s="2"/>
      <c r="M515" s="19"/>
      <c r="N515" s="19"/>
      <c r="O515" s="84"/>
      <c r="P515" s="19"/>
      <c r="Q515" s="91"/>
      <c r="R515" s="19"/>
      <c r="S515" s="91"/>
      <c r="T515" s="19"/>
      <c r="U515" s="375"/>
    </row>
    <row r="516" spans="1:21" ht="15.75" customHeight="1" x14ac:dyDescent="0.25">
      <c r="A516" s="2"/>
      <c r="B516" s="19"/>
      <c r="C516" s="374"/>
      <c r="D516" s="2"/>
      <c r="E516" s="19"/>
      <c r="F516" s="19"/>
      <c r="G516" s="19"/>
      <c r="H516" s="19"/>
      <c r="I516" s="19"/>
      <c r="J516" s="19"/>
      <c r="K516" s="19"/>
      <c r="L516" s="2"/>
      <c r="M516" s="19"/>
      <c r="N516" s="19"/>
      <c r="O516" s="84"/>
      <c r="P516" s="19"/>
      <c r="Q516" s="91"/>
      <c r="R516" s="19"/>
      <c r="S516" s="91"/>
      <c r="T516" s="19"/>
      <c r="U516" s="375"/>
    </row>
    <row r="517" spans="1:21" ht="15.75" customHeight="1" x14ac:dyDescent="0.25">
      <c r="A517" s="2"/>
      <c r="B517" s="19"/>
      <c r="C517" s="374"/>
      <c r="D517" s="2"/>
      <c r="E517" s="19"/>
      <c r="F517" s="19"/>
      <c r="G517" s="19"/>
      <c r="H517" s="19"/>
      <c r="I517" s="19"/>
      <c r="J517" s="19"/>
      <c r="K517" s="19"/>
      <c r="L517" s="2"/>
      <c r="M517" s="19"/>
      <c r="N517" s="19"/>
      <c r="O517" s="84"/>
      <c r="P517" s="19"/>
      <c r="Q517" s="91"/>
      <c r="R517" s="19"/>
      <c r="S517" s="91"/>
      <c r="T517" s="19"/>
      <c r="U517" s="375"/>
    </row>
    <row r="518" spans="1:21" ht="15.75" customHeight="1" x14ac:dyDescent="0.25">
      <c r="A518" s="2"/>
      <c r="B518" s="19"/>
      <c r="C518" s="374"/>
      <c r="D518" s="2"/>
      <c r="E518" s="19"/>
      <c r="F518" s="19"/>
      <c r="G518" s="19"/>
      <c r="H518" s="19"/>
      <c r="I518" s="19"/>
      <c r="J518" s="19"/>
      <c r="K518" s="19"/>
      <c r="L518" s="2"/>
      <c r="M518" s="19"/>
      <c r="N518" s="19"/>
      <c r="O518" s="84"/>
      <c r="P518" s="19"/>
      <c r="Q518" s="91"/>
      <c r="R518" s="19"/>
      <c r="S518" s="91"/>
      <c r="T518" s="19"/>
      <c r="U518" s="375"/>
    </row>
    <row r="519" spans="1:21" ht="15.75" customHeight="1" x14ac:dyDescent="0.25">
      <c r="A519" s="2"/>
      <c r="B519" s="19"/>
      <c r="C519" s="374"/>
      <c r="D519" s="2"/>
      <c r="E519" s="19"/>
      <c r="F519" s="19"/>
      <c r="G519" s="19"/>
      <c r="H519" s="19"/>
      <c r="I519" s="19"/>
      <c r="J519" s="19"/>
      <c r="K519" s="19"/>
      <c r="L519" s="2"/>
      <c r="M519" s="19"/>
      <c r="N519" s="19"/>
      <c r="O519" s="84"/>
      <c r="P519" s="19"/>
      <c r="Q519" s="91"/>
      <c r="R519" s="19"/>
      <c r="S519" s="91"/>
      <c r="T519" s="19"/>
      <c r="U519" s="375"/>
    </row>
    <row r="520" spans="1:21" ht="15.75" customHeight="1" x14ac:dyDescent="0.25">
      <c r="A520" s="2"/>
      <c r="B520" s="19"/>
      <c r="C520" s="374"/>
      <c r="D520" s="2"/>
      <c r="E520" s="19"/>
      <c r="F520" s="19"/>
      <c r="G520" s="19"/>
      <c r="H520" s="19"/>
      <c r="I520" s="19"/>
      <c r="J520" s="19"/>
      <c r="K520" s="19"/>
      <c r="L520" s="2"/>
      <c r="M520" s="19"/>
      <c r="N520" s="19"/>
      <c r="O520" s="84"/>
      <c r="P520" s="19"/>
      <c r="Q520" s="91"/>
      <c r="R520" s="19"/>
      <c r="S520" s="91"/>
      <c r="T520" s="19"/>
      <c r="U520" s="375"/>
    </row>
    <row r="521" spans="1:21" ht="15.75" customHeight="1" x14ac:dyDescent="0.25">
      <c r="A521" s="2"/>
      <c r="B521" s="19"/>
      <c r="C521" s="374"/>
      <c r="D521" s="2"/>
      <c r="E521" s="19"/>
      <c r="F521" s="19"/>
      <c r="G521" s="19"/>
      <c r="H521" s="19"/>
      <c r="I521" s="19"/>
      <c r="J521" s="19"/>
      <c r="K521" s="19"/>
      <c r="L521" s="2"/>
      <c r="M521" s="19"/>
      <c r="N521" s="19"/>
      <c r="O521" s="84"/>
      <c r="P521" s="19"/>
      <c r="Q521" s="91"/>
      <c r="R521" s="19"/>
      <c r="S521" s="91"/>
      <c r="T521" s="19"/>
      <c r="U521" s="375"/>
    </row>
    <row r="522" spans="1:21" ht="15.75" customHeight="1" x14ac:dyDescent="0.25">
      <c r="A522" s="2"/>
      <c r="B522" s="19"/>
      <c r="C522" s="374"/>
      <c r="D522" s="2"/>
      <c r="E522" s="19"/>
      <c r="F522" s="19"/>
      <c r="G522" s="19"/>
      <c r="H522" s="19"/>
      <c r="I522" s="19"/>
      <c r="J522" s="19"/>
      <c r="K522" s="19"/>
      <c r="L522" s="2"/>
      <c r="M522" s="19"/>
      <c r="N522" s="19"/>
      <c r="O522" s="84"/>
      <c r="P522" s="19"/>
      <c r="Q522" s="91"/>
      <c r="R522" s="19"/>
      <c r="S522" s="91"/>
      <c r="T522" s="19"/>
      <c r="U522" s="375"/>
    </row>
    <row r="523" spans="1:21" ht="15.75" customHeight="1" x14ac:dyDescent="0.25">
      <c r="A523" s="2"/>
      <c r="B523" s="19"/>
      <c r="C523" s="374"/>
      <c r="D523" s="2"/>
      <c r="E523" s="19"/>
      <c r="F523" s="19"/>
      <c r="G523" s="19"/>
      <c r="H523" s="19"/>
      <c r="I523" s="19"/>
      <c r="J523" s="19"/>
      <c r="K523" s="19"/>
      <c r="L523" s="2"/>
      <c r="M523" s="19"/>
      <c r="N523" s="19"/>
      <c r="O523" s="84"/>
      <c r="P523" s="19"/>
      <c r="Q523" s="91"/>
      <c r="R523" s="19"/>
      <c r="S523" s="91"/>
      <c r="T523" s="19"/>
      <c r="U523" s="375"/>
    </row>
    <row r="524" spans="1:21" ht="15.75" customHeight="1" x14ac:dyDescent="0.25">
      <c r="A524" s="2"/>
      <c r="B524" s="19"/>
      <c r="C524" s="374"/>
      <c r="D524" s="2"/>
      <c r="E524" s="19"/>
      <c r="F524" s="19"/>
      <c r="G524" s="19"/>
      <c r="H524" s="19"/>
      <c r="I524" s="19"/>
      <c r="J524" s="19"/>
      <c r="K524" s="19"/>
      <c r="L524" s="2"/>
      <c r="M524" s="19"/>
      <c r="N524" s="19"/>
      <c r="O524" s="84"/>
      <c r="P524" s="19"/>
      <c r="Q524" s="91"/>
      <c r="R524" s="19"/>
      <c r="S524" s="91"/>
      <c r="T524" s="19"/>
      <c r="U524" s="375"/>
    </row>
    <row r="525" spans="1:21" ht="15.75" customHeight="1" x14ac:dyDescent="0.25">
      <c r="A525" s="2"/>
      <c r="B525" s="19"/>
      <c r="C525" s="374"/>
      <c r="D525" s="2"/>
      <c r="E525" s="19"/>
      <c r="F525" s="19"/>
      <c r="G525" s="19"/>
      <c r="H525" s="19"/>
      <c r="I525" s="19"/>
      <c r="J525" s="19"/>
      <c r="K525" s="19"/>
      <c r="L525" s="2"/>
      <c r="M525" s="19"/>
      <c r="N525" s="19"/>
      <c r="O525" s="84"/>
      <c r="P525" s="19"/>
      <c r="Q525" s="91"/>
      <c r="R525" s="19"/>
      <c r="S525" s="91"/>
      <c r="T525" s="19"/>
      <c r="U525" s="375"/>
    </row>
    <row r="526" spans="1:21" ht="15.75" customHeight="1" x14ac:dyDescent="0.25">
      <c r="A526" s="2"/>
      <c r="B526" s="19"/>
      <c r="C526" s="374"/>
      <c r="D526" s="2"/>
      <c r="E526" s="19"/>
      <c r="F526" s="19"/>
      <c r="G526" s="19"/>
      <c r="H526" s="19"/>
      <c r="I526" s="19"/>
      <c r="J526" s="19"/>
      <c r="K526" s="19"/>
      <c r="L526" s="2"/>
      <c r="M526" s="19"/>
      <c r="N526" s="19"/>
      <c r="O526" s="84"/>
      <c r="P526" s="19"/>
      <c r="Q526" s="91"/>
      <c r="R526" s="19"/>
      <c r="S526" s="91"/>
      <c r="T526" s="19"/>
      <c r="U526" s="375"/>
    </row>
    <row r="527" spans="1:21" ht="15.75" customHeight="1" x14ac:dyDescent="0.25">
      <c r="A527" s="2"/>
      <c r="B527" s="19"/>
      <c r="C527" s="374"/>
      <c r="D527" s="2"/>
      <c r="E527" s="19"/>
      <c r="F527" s="19"/>
      <c r="G527" s="19"/>
      <c r="H527" s="19"/>
      <c r="I527" s="19"/>
      <c r="J527" s="19"/>
      <c r="K527" s="19"/>
      <c r="L527" s="2"/>
      <c r="M527" s="19"/>
      <c r="N527" s="19"/>
      <c r="O527" s="84"/>
      <c r="P527" s="19"/>
      <c r="Q527" s="91"/>
      <c r="R527" s="19"/>
      <c r="S527" s="91"/>
      <c r="T527" s="19"/>
      <c r="U527" s="375"/>
    </row>
    <row r="528" spans="1:21" ht="15.75" customHeight="1" x14ac:dyDescent="0.25">
      <c r="A528" s="2"/>
      <c r="B528" s="19"/>
      <c r="C528" s="374"/>
      <c r="D528" s="2"/>
      <c r="E528" s="19"/>
      <c r="F528" s="19"/>
      <c r="G528" s="19"/>
      <c r="H528" s="19"/>
      <c r="I528" s="19"/>
      <c r="J528" s="19"/>
      <c r="K528" s="19"/>
      <c r="L528" s="2"/>
      <c r="M528" s="19"/>
      <c r="N528" s="19"/>
      <c r="O528" s="84"/>
      <c r="P528" s="19"/>
      <c r="Q528" s="91"/>
      <c r="R528" s="19"/>
      <c r="S528" s="91"/>
      <c r="T528" s="19"/>
      <c r="U528" s="375"/>
    </row>
    <row r="529" spans="1:21" ht="15.75" customHeight="1" x14ac:dyDescent="0.25">
      <c r="A529" s="2"/>
      <c r="B529" s="19"/>
      <c r="C529" s="374"/>
      <c r="D529" s="2"/>
      <c r="E529" s="19"/>
      <c r="F529" s="19"/>
      <c r="G529" s="19"/>
      <c r="H529" s="19"/>
      <c r="I529" s="19"/>
      <c r="J529" s="19"/>
      <c r="K529" s="19"/>
      <c r="L529" s="2"/>
      <c r="M529" s="19"/>
      <c r="N529" s="19"/>
      <c r="O529" s="84"/>
      <c r="P529" s="19"/>
      <c r="Q529" s="91"/>
      <c r="R529" s="19"/>
      <c r="S529" s="91"/>
      <c r="T529" s="19"/>
      <c r="U529" s="375"/>
    </row>
    <row r="530" spans="1:21" ht="15.75" customHeight="1" x14ac:dyDescent="0.25">
      <c r="A530" s="2"/>
      <c r="B530" s="19"/>
      <c r="C530" s="374"/>
      <c r="D530" s="2"/>
      <c r="E530" s="19"/>
      <c r="F530" s="19"/>
      <c r="G530" s="19"/>
      <c r="H530" s="19"/>
      <c r="I530" s="19"/>
      <c r="J530" s="19"/>
      <c r="K530" s="19"/>
      <c r="L530" s="2"/>
      <c r="M530" s="19"/>
      <c r="N530" s="19"/>
      <c r="O530" s="84"/>
      <c r="P530" s="19"/>
      <c r="Q530" s="91"/>
      <c r="R530" s="19"/>
      <c r="S530" s="91"/>
      <c r="T530" s="19"/>
      <c r="U530" s="375"/>
    </row>
    <row r="531" spans="1:21" ht="15.75" customHeight="1" x14ac:dyDescent="0.25">
      <c r="A531" s="2"/>
      <c r="B531" s="19"/>
      <c r="C531" s="374"/>
      <c r="D531" s="2"/>
      <c r="E531" s="19"/>
      <c r="F531" s="19"/>
      <c r="G531" s="19"/>
      <c r="H531" s="19"/>
      <c r="I531" s="19"/>
      <c r="J531" s="19"/>
      <c r="K531" s="19"/>
      <c r="L531" s="2"/>
      <c r="M531" s="19"/>
      <c r="N531" s="19"/>
      <c r="O531" s="84"/>
      <c r="P531" s="19"/>
      <c r="Q531" s="91"/>
      <c r="R531" s="19"/>
      <c r="S531" s="91"/>
      <c r="T531" s="19"/>
      <c r="U531" s="375"/>
    </row>
    <row r="532" spans="1:21" ht="15.75" customHeight="1" x14ac:dyDescent="0.25">
      <c r="A532" s="2"/>
      <c r="B532" s="19"/>
      <c r="C532" s="374"/>
      <c r="D532" s="2"/>
      <c r="E532" s="19"/>
      <c r="F532" s="19"/>
      <c r="G532" s="19"/>
      <c r="H532" s="19"/>
      <c r="I532" s="19"/>
      <c r="J532" s="19"/>
      <c r="K532" s="19"/>
      <c r="L532" s="2"/>
      <c r="M532" s="19"/>
      <c r="N532" s="19"/>
      <c r="O532" s="84"/>
      <c r="P532" s="19"/>
      <c r="Q532" s="91"/>
      <c r="R532" s="19"/>
      <c r="S532" s="91"/>
      <c r="T532" s="19"/>
      <c r="U532" s="375"/>
    </row>
    <row r="533" spans="1:21" ht="15.75" customHeight="1" x14ac:dyDescent="0.25">
      <c r="A533" s="2"/>
      <c r="B533" s="19"/>
      <c r="C533" s="374"/>
      <c r="D533" s="2"/>
      <c r="E533" s="19"/>
      <c r="F533" s="19"/>
      <c r="G533" s="19"/>
      <c r="H533" s="19"/>
      <c r="I533" s="19"/>
      <c r="J533" s="19"/>
      <c r="K533" s="19"/>
      <c r="L533" s="2"/>
      <c r="M533" s="19"/>
      <c r="N533" s="19"/>
      <c r="O533" s="84"/>
      <c r="P533" s="19"/>
      <c r="Q533" s="91"/>
      <c r="R533" s="19"/>
      <c r="S533" s="91"/>
      <c r="T533" s="19"/>
      <c r="U533" s="375"/>
    </row>
    <row r="534" spans="1:21" ht="15.75" customHeight="1" x14ac:dyDescent="0.25">
      <c r="A534" s="2"/>
      <c r="B534" s="19"/>
      <c r="C534" s="374"/>
      <c r="D534" s="2"/>
      <c r="E534" s="19"/>
      <c r="F534" s="19"/>
      <c r="G534" s="19"/>
      <c r="H534" s="19"/>
      <c r="I534" s="19"/>
      <c r="J534" s="19"/>
      <c r="K534" s="19"/>
      <c r="L534" s="2"/>
      <c r="M534" s="19"/>
      <c r="N534" s="19"/>
      <c r="O534" s="84"/>
      <c r="P534" s="19"/>
      <c r="Q534" s="91"/>
      <c r="R534" s="19"/>
      <c r="S534" s="91"/>
      <c r="T534" s="19"/>
      <c r="U534" s="375"/>
    </row>
    <row r="535" spans="1:21" ht="15.75" customHeight="1" x14ac:dyDescent="0.25">
      <c r="A535" s="2"/>
      <c r="B535" s="19"/>
      <c r="C535" s="374"/>
      <c r="D535" s="2"/>
      <c r="E535" s="19"/>
      <c r="F535" s="19"/>
      <c r="G535" s="19"/>
      <c r="H535" s="19"/>
      <c r="I535" s="19"/>
      <c r="J535" s="19"/>
      <c r="K535" s="19"/>
      <c r="L535" s="2"/>
      <c r="M535" s="19"/>
      <c r="N535" s="19"/>
      <c r="O535" s="84"/>
      <c r="P535" s="19"/>
      <c r="Q535" s="91"/>
      <c r="R535" s="19"/>
      <c r="S535" s="91"/>
      <c r="T535" s="19"/>
      <c r="U535" s="375"/>
    </row>
    <row r="536" spans="1:21" ht="15.75" customHeight="1" x14ac:dyDescent="0.25">
      <c r="A536" s="2"/>
      <c r="B536" s="19"/>
      <c r="C536" s="374"/>
      <c r="D536" s="2"/>
      <c r="E536" s="19"/>
      <c r="F536" s="19"/>
      <c r="G536" s="19"/>
      <c r="H536" s="19"/>
      <c r="I536" s="19"/>
      <c r="J536" s="19"/>
      <c r="K536" s="19"/>
      <c r="L536" s="2"/>
      <c r="M536" s="19"/>
      <c r="N536" s="19"/>
      <c r="O536" s="84"/>
      <c r="P536" s="19"/>
      <c r="Q536" s="91"/>
      <c r="R536" s="19"/>
      <c r="S536" s="91"/>
      <c r="T536" s="19"/>
      <c r="U536" s="375"/>
    </row>
    <row r="537" spans="1:21" ht="15.75" customHeight="1" x14ac:dyDescent="0.25">
      <c r="A537" s="2"/>
      <c r="B537" s="19"/>
      <c r="C537" s="374"/>
      <c r="D537" s="2"/>
      <c r="E537" s="19"/>
      <c r="F537" s="19"/>
      <c r="G537" s="19"/>
      <c r="H537" s="19"/>
      <c r="I537" s="19"/>
      <c r="J537" s="19"/>
      <c r="K537" s="19"/>
      <c r="L537" s="2"/>
      <c r="M537" s="19"/>
      <c r="N537" s="19"/>
      <c r="O537" s="84"/>
      <c r="P537" s="19"/>
      <c r="Q537" s="91"/>
      <c r="R537" s="19"/>
      <c r="S537" s="91"/>
      <c r="T537" s="19"/>
      <c r="U537" s="375"/>
    </row>
    <row r="538" spans="1:21" ht="15.75" customHeight="1" x14ac:dyDescent="0.25">
      <c r="A538" s="2"/>
      <c r="B538" s="19"/>
      <c r="C538" s="374"/>
      <c r="D538" s="2"/>
      <c r="E538" s="19"/>
      <c r="F538" s="19"/>
      <c r="G538" s="19"/>
      <c r="H538" s="19"/>
      <c r="I538" s="19"/>
      <c r="J538" s="19"/>
      <c r="K538" s="19"/>
      <c r="L538" s="2"/>
      <c r="M538" s="19"/>
      <c r="N538" s="19"/>
      <c r="O538" s="84"/>
      <c r="P538" s="19"/>
      <c r="Q538" s="91"/>
      <c r="R538" s="19"/>
      <c r="S538" s="91"/>
      <c r="T538" s="19"/>
      <c r="U538" s="375"/>
    </row>
    <row r="539" spans="1:21" ht="15.75" customHeight="1" x14ac:dyDescent="0.25">
      <c r="A539" s="2"/>
      <c r="B539" s="19"/>
      <c r="C539" s="374"/>
      <c r="D539" s="2"/>
      <c r="E539" s="19"/>
      <c r="F539" s="19"/>
      <c r="G539" s="19"/>
      <c r="H539" s="19"/>
      <c r="I539" s="19"/>
      <c r="J539" s="19"/>
      <c r="K539" s="19"/>
      <c r="L539" s="2"/>
      <c r="M539" s="19"/>
      <c r="N539" s="19"/>
      <c r="O539" s="84"/>
      <c r="P539" s="19"/>
      <c r="Q539" s="91"/>
      <c r="R539" s="19"/>
      <c r="S539" s="91"/>
      <c r="T539" s="19"/>
      <c r="U539" s="375"/>
    </row>
    <row r="540" spans="1:21" ht="15.75" customHeight="1" x14ac:dyDescent="0.25">
      <c r="A540" s="2"/>
      <c r="B540" s="19"/>
      <c r="C540" s="374"/>
      <c r="D540" s="2"/>
      <c r="E540" s="19"/>
      <c r="F540" s="19"/>
      <c r="G540" s="19"/>
      <c r="H540" s="19"/>
      <c r="I540" s="19"/>
      <c r="J540" s="19"/>
      <c r="K540" s="19"/>
      <c r="L540" s="2"/>
      <c r="M540" s="19"/>
      <c r="N540" s="19"/>
      <c r="O540" s="84"/>
      <c r="P540" s="19"/>
      <c r="Q540" s="91"/>
      <c r="R540" s="19"/>
      <c r="S540" s="91"/>
      <c r="T540" s="19"/>
      <c r="U540" s="375"/>
    </row>
    <row r="541" spans="1:21" ht="15.75" customHeight="1" x14ac:dyDescent="0.25">
      <c r="A541" s="2"/>
      <c r="B541" s="19"/>
      <c r="C541" s="374"/>
      <c r="D541" s="2"/>
      <c r="E541" s="19"/>
      <c r="F541" s="19"/>
      <c r="G541" s="19"/>
      <c r="H541" s="19"/>
      <c r="I541" s="19"/>
      <c r="J541" s="19"/>
      <c r="K541" s="19"/>
      <c r="L541" s="2"/>
      <c r="M541" s="19"/>
      <c r="N541" s="19"/>
      <c r="O541" s="84"/>
      <c r="P541" s="19"/>
      <c r="Q541" s="91"/>
      <c r="R541" s="19"/>
      <c r="S541" s="91"/>
      <c r="T541" s="19"/>
      <c r="U541" s="375"/>
    </row>
    <row r="542" spans="1:21" ht="15.75" customHeight="1" x14ac:dyDescent="0.25">
      <c r="A542" s="2"/>
      <c r="B542" s="19"/>
      <c r="C542" s="374"/>
      <c r="D542" s="2"/>
      <c r="E542" s="19"/>
      <c r="F542" s="19"/>
      <c r="G542" s="19"/>
      <c r="H542" s="19"/>
      <c r="I542" s="19"/>
      <c r="J542" s="19"/>
      <c r="K542" s="19"/>
      <c r="L542" s="2"/>
      <c r="M542" s="19"/>
      <c r="N542" s="19"/>
      <c r="O542" s="84"/>
      <c r="P542" s="19"/>
      <c r="Q542" s="91"/>
      <c r="R542" s="19"/>
      <c r="S542" s="91"/>
      <c r="T542" s="19"/>
      <c r="U542" s="375"/>
    </row>
    <row r="543" spans="1:21" ht="15.75" customHeight="1" x14ac:dyDescent="0.25">
      <c r="A543" s="2"/>
      <c r="B543" s="19"/>
      <c r="C543" s="374"/>
      <c r="D543" s="2"/>
      <c r="E543" s="19"/>
      <c r="F543" s="19"/>
      <c r="G543" s="19"/>
      <c r="H543" s="19"/>
      <c r="I543" s="19"/>
      <c r="J543" s="19"/>
      <c r="K543" s="19"/>
      <c r="L543" s="2"/>
      <c r="M543" s="19"/>
      <c r="N543" s="19"/>
      <c r="O543" s="84"/>
      <c r="P543" s="19"/>
      <c r="Q543" s="91"/>
      <c r="R543" s="19"/>
      <c r="S543" s="91"/>
      <c r="T543" s="19"/>
      <c r="U543" s="375"/>
    </row>
    <row r="544" spans="1:21" ht="15.75" customHeight="1" x14ac:dyDescent="0.25">
      <c r="A544" s="2"/>
      <c r="B544" s="19"/>
      <c r="C544" s="374"/>
      <c r="D544" s="2"/>
      <c r="E544" s="19"/>
      <c r="F544" s="19"/>
      <c r="G544" s="19"/>
      <c r="H544" s="19"/>
      <c r="I544" s="19"/>
      <c r="J544" s="19"/>
      <c r="K544" s="19"/>
      <c r="L544" s="2"/>
      <c r="M544" s="19"/>
      <c r="N544" s="19"/>
      <c r="O544" s="84"/>
      <c r="P544" s="19"/>
      <c r="Q544" s="91"/>
      <c r="R544" s="19"/>
      <c r="S544" s="91"/>
      <c r="T544" s="19"/>
      <c r="U544" s="375"/>
    </row>
    <row r="545" spans="1:21" ht="15.75" customHeight="1" x14ac:dyDescent="0.25">
      <c r="A545" s="2"/>
      <c r="B545" s="19"/>
      <c r="C545" s="374"/>
      <c r="D545" s="2"/>
      <c r="E545" s="19"/>
      <c r="F545" s="19"/>
      <c r="G545" s="19"/>
      <c r="H545" s="19"/>
      <c r="I545" s="19"/>
      <c r="J545" s="19"/>
      <c r="K545" s="19"/>
      <c r="L545" s="2"/>
      <c r="M545" s="19"/>
      <c r="N545" s="19"/>
      <c r="O545" s="84"/>
      <c r="P545" s="19"/>
      <c r="Q545" s="91"/>
      <c r="R545" s="19"/>
      <c r="S545" s="91"/>
      <c r="T545" s="19"/>
      <c r="U545" s="375"/>
    </row>
    <row r="546" spans="1:21" ht="15.75" customHeight="1" x14ac:dyDescent="0.25">
      <c r="A546" s="2"/>
      <c r="B546" s="19"/>
      <c r="C546" s="374"/>
      <c r="D546" s="2"/>
      <c r="E546" s="19"/>
      <c r="F546" s="19"/>
      <c r="G546" s="19"/>
      <c r="H546" s="19"/>
      <c r="I546" s="19"/>
      <c r="J546" s="19"/>
      <c r="K546" s="19"/>
      <c r="L546" s="2"/>
      <c r="M546" s="19"/>
      <c r="N546" s="19"/>
      <c r="O546" s="84"/>
      <c r="P546" s="19"/>
      <c r="Q546" s="91"/>
      <c r="R546" s="19"/>
      <c r="S546" s="91"/>
      <c r="T546" s="19"/>
      <c r="U546" s="375"/>
    </row>
    <row r="547" spans="1:21" ht="15.75" customHeight="1" x14ac:dyDescent="0.25">
      <c r="A547" s="2"/>
      <c r="B547" s="19"/>
      <c r="C547" s="374"/>
      <c r="D547" s="2"/>
      <c r="E547" s="19"/>
      <c r="F547" s="19"/>
      <c r="G547" s="19"/>
      <c r="H547" s="19"/>
      <c r="I547" s="19"/>
      <c r="J547" s="19"/>
      <c r="K547" s="19"/>
      <c r="L547" s="2"/>
      <c r="M547" s="19"/>
      <c r="N547" s="19"/>
      <c r="O547" s="84"/>
      <c r="P547" s="19"/>
      <c r="Q547" s="91"/>
      <c r="R547" s="19"/>
      <c r="S547" s="91"/>
      <c r="T547" s="19"/>
      <c r="U547" s="375"/>
    </row>
    <row r="548" spans="1:21" ht="15.75" customHeight="1" x14ac:dyDescent="0.25">
      <c r="A548" s="2"/>
      <c r="B548" s="19"/>
      <c r="C548" s="374"/>
      <c r="D548" s="2"/>
      <c r="E548" s="19"/>
      <c r="F548" s="19"/>
      <c r="G548" s="19"/>
      <c r="H548" s="19"/>
      <c r="I548" s="19"/>
      <c r="J548" s="19"/>
      <c r="K548" s="19"/>
      <c r="L548" s="2"/>
      <c r="M548" s="19"/>
      <c r="N548" s="19"/>
      <c r="O548" s="84"/>
      <c r="P548" s="19"/>
      <c r="Q548" s="91"/>
      <c r="R548" s="19"/>
      <c r="S548" s="91"/>
      <c r="T548" s="19"/>
      <c r="U548" s="375"/>
    </row>
    <row r="549" spans="1:21" ht="15.75" customHeight="1" x14ac:dyDescent="0.25">
      <c r="A549" s="2"/>
      <c r="B549" s="19"/>
      <c r="C549" s="374"/>
      <c r="D549" s="2"/>
      <c r="E549" s="19"/>
      <c r="F549" s="19"/>
      <c r="G549" s="19"/>
      <c r="H549" s="19"/>
      <c r="I549" s="19"/>
      <c r="J549" s="19"/>
      <c r="K549" s="19"/>
      <c r="L549" s="2"/>
      <c r="M549" s="19"/>
      <c r="N549" s="19"/>
      <c r="O549" s="84"/>
      <c r="P549" s="19"/>
      <c r="Q549" s="91"/>
      <c r="R549" s="19"/>
      <c r="S549" s="91"/>
      <c r="T549" s="19"/>
      <c r="U549" s="375"/>
    </row>
    <row r="550" spans="1:21" ht="15.75" customHeight="1" x14ac:dyDescent="0.25">
      <c r="A550" s="2"/>
      <c r="B550" s="19"/>
      <c r="C550" s="374"/>
      <c r="D550" s="2"/>
      <c r="E550" s="19"/>
      <c r="F550" s="19"/>
      <c r="G550" s="19"/>
      <c r="H550" s="19"/>
      <c r="I550" s="19"/>
      <c r="J550" s="19"/>
      <c r="K550" s="19"/>
      <c r="L550" s="2"/>
      <c r="M550" s="19"/>
      <c r="N550" s="19"/>
      <c r="O550" s="84"/>
      <c r="P550" s="19"/>
      <c r="Q550" s="91"/>
      <c r="R550" s="19"/>
      <c r="S550" s="91"/>
      <c r="T550" s="19"/>
      <c r="U550" s="375"/>
    </row>
    <row r="551" spans="1:21" ht="15.75" customHeight="1" x14ac:dyDescent="0.25">
      <c r="A551" s="2"/>
      <c r="B551" s="19"/>
      <c r="C551" s="374"/>
      <c r="D551" s="2"/>
      <c r="E551" s="19"/>
      <c r="F551" s="19"/>
      <c r="G551" s="19"/>
      <c r="H551" s="19"/>
      <c r="I551" s="19"/>
      <c r="J551" s="19"/>
      <c r="K551" s="19"/>
      <c r="L551" s="2"/>
      <c r="M551" s="19"/>
      <c r="N551" s="19"/>
      <c r="O551" s="84"/>
      <c r="P551" s="19"/>
      <c r="Q551" s="91"/>
      <c r="R551" s="19"/>
      <c r="S551" s="91"/>
      <c r="T551" s="19"/>
      <c r="U551" s="375"/>
    </row>
    <row r="552" spans="1:21" ht="15.75" customHeight="1" x14ac:dyDescent="0.25">
      <c r="A552" s="2"/>
      <c r="B552" s="19"/>
      <c r="C552" s="374"/>
      <c r="D552" s="2"/>
      <c r="E552" s="19"/>
      <c r="F552" s="19"/>
      <c r="G552" s="19"/>
      <c r="H552" s="19"/>
      <c r="I552" s="19"/>
      <c r="J552" s="19"/>
      <c r="K552" s="19"/>
      <c r="L552" s="2"/>
      <c r="M552" s="19"/>
      <c r="N552" s="19"/>
      <c r="O552" s="84"/>
      <c r="P552" s="19"/>
      <c r="Q552" s="91"/>
      <c r="R552" s="19"/>
      <c r="S552" s="91"/>
      <c r="T552" s="19"/>
      <c r="U552" s="375"/>
    </row>
    <row r="553" spans="1:21" ht="15.75" customHeight="1" x14ac:dyDescent="0.25">
      <c r="A553" s="2"/>
      <c r="B553" s="19"/>
      <c r="C553" s="374"/>
      <c r="D553" s="2"/>
      <c r="E553" s="19"/>
      <c r="F553" s="19"/>
      <c r="G553" s="19"/>
      <c r="H553" s="19"/>
      <c r="I553" s="19"/>
      <c r="J553" s="19"/>
      <c r="K553" s="19"/>
      <c r="L553" s="2"/>
      <c r="M553" s="19"/>
      <c r="N553" s="19"/>
      <c r="O553" s="84"/>
      <c r="P553" s="19"/>
      <c r="Q553" s="91"/>
      <c r="R553" s="19"/>
      <c r="S553" s="91"/>
      <c r="T553" s="19"/>
      <c r="U553" s="375"/>
    </row>
    <row r="554" spans="1:21" ht="15.75" customHeight="1" x14ac:dyDescent="0.25">
      <c r="A554" s="2"/>
      <c r="B554" s="19"/>
      <c r="C554" s="374"/>
      <c r="D554" s="2"/>
      <c r="E554" s="19"/>
      <c r="F554" s="19"/>
      <c r="G554" s="19"/>
      <c r="H554" s="19"/>
      <c r="I554" s="19"/>
      <c r="J554" s="19"/>
      <c r="K554" s="19"/>
      <c r="L554" s="2"/>
      <c r="M554" s="19"/>
      <c r="N554" s="19"/>
      <c r="O554" s="84"/>
      <c r="P554" s="19"/>
      <c r="Q554" s="91"/>
      <c r="R554" s="19"/>
      <c r="S554" s="91"/>
      <c r="T554" s="19"/>
      <c r="U554" s="375"/>
    </row>
    <row r="555" spans="1:21" ht="15.75" customHeight="1" x14ac:dyDescent="0.25">
      <c r="A555" s="2"/>
      <c r="B555" s="19"/>
      <c r="C555" s="374"/>
      <c r="D555" s="2"/>
      <c r="E555" s="19"/>
      <c r="F555" s="19"/>
      <c r="G555" s="19"/>
      <c r="H555" s="19"/>
      <c r="I555" s="19"/>
      <c r="J555" s="19"/>
      <c r="K555" s="19"/>
      <c r="L555" s="2"/>
      <c r="M555" s="19"/>
      <c r="N555" s="19"/>
      <c r="O555" s="84"/>
      <c r="P555" s="19"/>
      <c r="Q555" s="91"/>
      <c r="R555" s="19"/>
      <c r="S555" s="91"/>
      <c r="T555" s="19"/>
      <c r="U555" s="375"/>
    </row>
    <row r="556" spans="1:21" ht="15.75" customHeight="1" x14ac:dyDescent="0.25">
      <c r="A556" s="2"/>
      <c r="B556" s="19"/>
      <c r="C556" s="374"/>
      <c r="D556" s="2"/>
      <c r="E556" s="19"/>
      <c r="F556" s="19"/>
      <c r="G556" s="19"/>
      <c r="H556" s="19"/>
      <c r="I556" s="19"/>
      <c r="J556" s="19"/>
      <c r="K556" s="19"/>
      <c r="L556" s="2"/>
      <c r="M556" s="19"/>
      <c r="N556" s="19"/>
      <c r="O556" s="84"/>
      <c r="P556" s="19"/>
      <c r="Q556" s="91"/>
      <c r="R556" s="19"/>
      <c r="S556" s="91"/>
      <c r="T556" s="19"/>
      <c r="U556" s="375"/>
    </row>
    <row r="557" spans="1:21" ht="15.75" customHeight="1" x14ac:dyDescent="0.25">
      <c r="A557" s="2"/>
      <c r="B557" s="19"/>
      <c r="C557" s="374"/>
      <c r="D557" s="2"/>
      <c r="E557" s="19"/>
      <c r="F557" s="19"/>
      <c r="G557" s="19"/>
      <c r="H557" s="19"/>
      <c r="I557" s="19"/>
      <c r="J557" s="19"/>
      <c r="K557" s="19"/>
      <c r="L557" s="2"/>
      <c r="M557" s="19"/>
      <c r="N557" s="19"/>
      <c r="O557" s="84"/>
      <c r="P557" s="19"/>
      <c r="Q557" s="91"/>
      <c r="R557" s="19"/>
      <c r="S557" s="91"/>
      <c r="T557" s="19"/>
      <c r="U557" s="375"/>
    </row>
    <row r="558" spans="1:21" ht="15.75" customHeight="1" x14ac:dyDescent="0.25">
      <c r="A558" s="2"/>
      <c r="B558" s="19"/>
      <c r="C558" s="374"/>
      <c r="D558" s="2"/>
      <c r="E558" s="19"/>
      <c r="F558" s="19"/>
      <c r="G558" s="19"/>
      <c r="H558" s="19"/>
      <c r="I558" s="19"/>
      <c r="J558" s="19"/>
      <c r="K558" s="19"/>
      <c r="L558" s="2"/>
      <c r="M558" s="19"/>
      <c r="N558" s="19"/>
      <c r="O558" s="84"/>
      <c r="P558" s="19"/>
      <c r="Q558" s="91"/>
      <c r="R558" s="19"/>
      <c r="S558" s="91"/>
      <c r="T558" s="19"/>
      <c r="U558" s="375"/>
    </row>
    <row r="559" spans="1:21" ht="15.75" customHeight="1" x14ac:dyDescent="0.25">
      <c r="A559" s="2"/>
      <c r="B559" s="19"/>
      <c r="C559" s="374"/>
      <c r="D559" s="2"/>
      <c r="E559" s="19"/>
      <c r="F559" s="19"/>
      <c r="G559" s="19"/>
      <c r="H559" s="19"/>
      <c r="I559" s="19"/>
      <c r="J559" s="19"/>
      <c r="K559" s="19"/>
      <c r="L559" s="2"/>
      <c r="M559" s="19"/>
      <c r="N559" s="19"/>
      <c r="O559" s="84"/>
      <c r="P559" s="19"/>
      <c r="Q559" s="91"/>
      <c r="R559" s="19"/>
      <c r="S559" s="91"/>
      <c r="T559" s="19"/>
      <c r="U559" s="375"/>
    </row>
    <row r="560" spans="1:21" ht="15.75" customHeight="1" x14ac:dyDescent="0.25">
      <c r="A560" s="2"/>
      <c r="B560" s="19"/>
      <c r="C560" s="374"/>
      <c r="D560" s="2"/>
      <c r="E560" s="19"/>
      <c r="F560" s="19"/>
      <c r="G560" s="19"/>
      <c r="H560" s="19"/>
      <c r="I560" s="19"/>
      <c r="J560" s="19"/>
      <c r="K560" s="19"/>
      <c r="L560" s="2"/>
      <c r="M560" s="19"/>
      <c r="N560" s="19"/>
      <c r="O560" s="84"/>
      <c r="P560" s="19"/>
      <c r="Q560" s="91"/>
      <c r="R560" s="19"/>
      <c r="S560" s="91"/>
      <c r="T560" s="19"/>
      <c r="U560" s="375"/>
    </row>
    <row r="561" spans="1:21" ht="15.75" customHeight="1" x14ac:dyDescent="0.25">
      <c r="A561" s="2"/>
      <c r="B561" s="19"/>
      <c r="C561" s="374"/>
      <c r="D561" s="2"/>
      <c r="E561" s="19"/>
      <c r="F561" s="19"/>
      <c r="G561" s="19"/>
      <c r="H561" s="19"/>
      <c r="I561" s="19"/>
      <c r="J561" s="19"/>
      <c r="K561" s="19"/>
      <c r="L561" s="2"/>
      <c r="M561" s="19"/>
      <c r="N561" s="19"/>
      <c r="O561" s="84"/>
      <c r="P561" s="19"/>
      <c r="Q561" s="91"/>
      <c r="R561" s="19"/>
      <c r="S561" s="91"/>
      <c r="T561" s="19"/>
      <c r="U561" s="375"/>
    </row>
    <row r="562" spans="1:21" ht="15.75" customHeight="1" x14ac:dyDescent="0.25">
      <c r="A562" s="2"/>
      <c r="B562" s="19"/>
      <c r="C562" s="374"/>
      <c r="D562" s="2"/>
      <c r="E562" s="19"/>
      <c r="F562" s="19"/>
      <c r="G562" s="19"/>
      <c r="H562" s="19"/>
      <c r="I562" s="19"/>
      <c r="J562" s="19"/>
      <c r="K562" s="19"/>
      <c r="L562" s="2"/>
      <c r="M562" s="19"/>
      <c r="N562" s="19"/>
      <c r="O562" s="84"/>
      <c r="P562" s="19"/>
      <c r="Q562" s="91"/>
      <c r="R562" s="19"/>
      <c r="S562" s="91"/>
      <c r="T562" s="19"/>
      <c r="U562" s="375"/>
    </row>
    <row r="563" spans="1:21" ht="15.75" customHeight="1" x14ac:dyDescent="0.25">
      <c r="A563" s="2"/>
      <c r="B563" s="19"/>
      <c r="C563" s="374"/>
      <c r="D563" s="2"/>
      <c r="E563" s="19"/>
      <c r="F563" s="19"/>
      <c r="G563" s="19"/>
      <c r="H563" s="19"/>
      <c r="I563" s="19"/>
      <c r="J563" s="19"/>
      <c r="K563" s="19"/>
      <c r="L563" s="2"/>
      <c r="M563" s="19"/>
      <c r="N563" s="19"/>
      <c r="O563" s="84"/>
      <c r="P563" s="19"/>
      <c r="Q563" s="91"/>
      <c r="R563" s="19"/>
      <c r="S563" s="91"/>
      <c r="T563" s="19"/>
      <c r="U563" s="375"/>
    </row>
    <row r="564" spans="1:21" ht="15.75" customHeight="1" x14ac:dyDescent="0.25">
      <c r="A564" s="2"/>
      <c r="B564" s="19"/>
      <c r="C564" s="374"/>
      <c r="D564" s="2"/>
      <c r="E564" s="19"/>
      <c r="F564" s="19"/>
      <c r="G564" s="19"/>
      <c r="H564" s="19"/>
      <c r="I564" s="19"/>
      <c r="J564" s="19"/>
      <c r="K564" s="19"/>
      <c r="L564" s="2"/>
      <c r="M564" s="19"/>
      <c r="N564" s="19"/>
      <c r="O564" s="84"/>
      <c r="P564" s="19"/>
      <c r="Q564" s="91"/>
      <c r="R564" s="19"/>
      <c r="S564" s="91"/>
      <c r="T564" s="19"/>
      <c r="U564" s="375"/>
    </row>
    <row r="565" spans="1:21" ht="15.75" customHeight="1" x14ac:dyDescent="0.25">
      <c r="A565" s="2"/>
      <c r="B565" s="19"/>
      <c r="C565" s="374"/>
      <c r="D565" s="2"/>
      <c r="E565" s="19"/>
      <c r="F565" s="19"/>
      <c r="G565" s="19"/>
      <c r="H565" s="19"/>
      <c r="I565" s="19"/>
      <c r="J565" s="19"/>
      <c r="K565" s="19"/>
      <c r="L565" s="2"/>
      <c r="M565" s="19"/>
      <c r="N565" s="19"/>
      <c r="O565" s="84"/>
      <c r="P565" s="19"/>
      <c r="Q565" s="91"/>
      <c r="R565" s="19"/>
      <c r="S565" s="91"/>
      <c r="T565" s="19"/>
      <c r="U565" s="375"/>
    </row>
    <row r="566" spans="1:21" ht="15.75" customHeight="1" x14ac:dyDescent="0.25">
      <c r="A566" s="2"/>
      <c r="B566" s="19"/>
      <c r="C566" s="374"/>
      <c r="D566" s="2"/>
      <c r="E566" s="19"/>
      <c r="F566" s="19"/>
      <c r="G566" s="19"/>
      <c r="H566" s="19"/>
      <c r="I566" s="19"/>
      <c r="J566" s="19"/>
      <c r="K566" s="19"/>
      <c r="L566" s="2"/>
      <c r="M566" s="19"/>
      <c r="N566" s="19"/>
      <c r="O566" s="84"/>
      <c r="P566" s="19"/>
      <c r="Q566" s="91"/>
      <c r="R566" s="19"/>
      <c r="S566" s="91"/>
      <c r="T566" s="19"/>
      <c r="U566" s="375"/>
    </row>
    <row r="567" spans="1:21" ht="15.75" customHeight="1" x14ac:dyDescent="0.25">
      <c r="A567" s="2"/>
      <c r="B567" s="19"/>
      <c r="C567" s="374"/>
      <c r="D567" s="2"/>
      <c r="E567" s="19"/>
      <c r="F567" s="19"/>
      <c r="G567" s="19"/>
      <c r="H567" s="19"/>
      <c r="I567" s="19"/>
      <c r="J567" s="19"/>
      <c r="K567" s="19"/>
      <c r="L567" s="2"/>
      <c r="M567" s="19"/>
      <c r="N567" s="19"/>
      <c r="O567" s="84"/>
      <c r="P567" s="19"/>
      <c r="Q567" s="91"/>
      <c r="R567" s="19"/>
      <c r="S567" s="91"/>
      <c r="T567" s="19"/>
      <c r="U567" s="375"/>
    </row>
    <row r="568" spans="1:21" ht="15.75" customHeight="1" x14ac:dyDescent="0.25">
      <c r="A568" s="2"/>
      <c r="B568" s="19"/>
      <c r="C568" s="374"/>
      <c r="D568" s="2"/>
      <c r="E568" s="19"/>
      <c r="F568" s="19"/>
      <c r="G568" s="19"/>
      <c r="H568" s="19"/>
      <c r="I568" s="19"/>
      <c r="J568" s="19"/>
      <c r="K568" s="19"/>
      <c r="L568" s="2"/>
      <c r="M568" s="19"/>
      <c r="N568" s="19"/>
      <c r="O568" s="84"/>
      <c r="P568" s="19"/>
      <c r="Q568" s="91"/>
      <c r="R568" s="19"/>
      <c r="S568" s="91"/>
      <c r="T568" s="19"/>
      <c r="U568" s="375"/>
    </row>
    <row r="569" spans="1:21" ht="15.75" customHeight="1" x14ac:dyDescent="0.25">
      <c r="A569" s="2"/>
      <c r="B569" s="19"/>
      <c r="C569" s="374"/>
      <c r="D569" s="2"/>
      <c r="E569" s="19"/>
      <c r="F569" s="19"/>
      <c r="G569" s="19"/>
      <c r="H569" s="19"/>
      <c r="I569" s="19"/>
      <c r="J569" s="19"/>
      <c r="K569" s="19"/>
      <c r="L569" s="2"/>
      <c r="M569" s="19"/>
      <c r="N569" s="19"/>
      <c r="O569" s="84"/>
      <c r="P569" s="19"/>
      <c r="Q569" s="91"/>
      <c r="R569" s="19"/>
      <c r="S569" s="91"/>
      <c r="T569" s="19"/>
      <c r="U569" s="375"/>
    </row>
    <row r="570" spans="1:21" ht="15.75" customHeight="1" x14ac:dyDescent="0.25">
      <c r="A570" s="2"/>
      <c r="B570" s="19"/>
      <c r="C570" s="374"/>
      <c r="D570" s="2"/>
      <c r="E570" s="19"/>
      <c r="F570" s="19"/>
      <c r="G570" s="19"/>
      <c r="H570" s="19"/>
      <c r="I570" s="19"/>
      <c r="J570" s="19"/>
      <c r="K570" s="19"/>
      <c r="L570" s="2"/>
      <c r="M570" s="19"/>
      <c r="N570" s="19"/>
      <c r="O570" s="84"/>
      <c r="P570" s="19"/>
      <c r="Q570" s="91"/>
      <c r="R570" s="19"/>
      <c r="S570" s="91"/>
      <c r="T570" s="19"/>
      <c r="U570" s="375"/>
    </row>
    <row r="571" spans="1:21" ht="15.75" customHeight="1" x14ac:dyDescent="0.25">
      <c r="A571" s="2"/>
      <c r="B571" s="19"/>
      <c r="C571" s="374"/>
      <c r="D571" s="2"/>
      <c r="E571" s="19"/>
      <c r="F571" s="19"/>
      <c r="G571" s="19"/>
      <c r="H571" s="19"/>
      <c r="I571" s="19"/>
      <c r="J571" s="19"/>
      <c r="K571" s="19"/>
      <c r="L571" s="2"/>
      <c r="M571" s="19"/>
      <c r="N571" s="19"/>
      <c r="O571" s="84"/>
      <c r="P571" s="19"/>
      <c r="Q571" s="91"/>
      <c r="R571" s="19"/>
      <c r="S571" s="91"/>
      <c r="T571" s="19"/>
      <c r="U571" s="375"/>
    </row>
    <row r="572" spans="1:21" ht="15.75" customHeight="1" x14ac:dyDescent="0.25">
      <c r="A572" s="2"/>
      <c r="B572" s="19"/>
      <c r="C572" s="374"/>
      <c r="D572" s="2"/>
      <c r="E572" s="19"/>
      <c r="F572" s="19"/>
      <c r="G572" s="19"/>
      <c r="H572" s="19"/>
      <c r="I572" s="19"/>
      <c r="J572" s="19"/>
      <c r="K572" s="19"/>
      <c r="L572" s="2"/>
      <c r="M572" s="19"/>
      <c r="N572" s="19"/>
      <c r="O572" s="84"/>
      <c r="P572" s="19"/>
      <c r="Q572" s="91"/>
      <c r="R572" s="19"/>
      <c r="S572" s="91"/>
      <c r="T572" s="19"/>
      <c r="U572" s="375"/>
    </row>
    <row r="573" spans="1:21" ht="15.75" customHeight="1" x14ac:dyDescent="0.25">
      <c r="A573" s="2"/>
      <c r="B573" s="19"/>
      <c r="C573" s="374"/>
      <c r="D573" s="2"/>
      <c r="E573" s="19"/>
      <c r="F573" s="19"/>
      <c r="G573" s="19"/>
      <c r="H573" s="19"/>
      <c r="I573" s="19"/>
      <c r="J573" s="19"/>
      <c r="K573" s="19"/>
      <c r="L573" s="2"/>
      <c r="M573" s="19"/>
      <c r="N573" s="19"/>
      <c r="O573" s="84"/>
      <c r="P573" s="19"/>
      <c r="Q573" s="91"/>
      <c r="R573" s="19"/>
      <c r="S573" s="91"/>
      <c r="T573" s="19"/>
      <c r="U573" s="375"/>
    </row>
    <row r="574" spans="1:21" ht="15.75" customHeight="1" x14ac:dyDescent="0.25">
      <c r="A574" s="2"/>
      <c r="B574" s="19"/>
      <c r="C574" s="374"/>
      <c r="D574" s="2"/>
      <c r="E574" s="19"/>
      <c r="F574" s="19"/>
      <c r="G574" s="19"/>
      <c r="H574" s="19"/>
      <c r="I574" s="19"/>
      <c r="J574" s="19"/>
      <c r="K574" s="19"/>
      <c r="L574" s="2"/>
      <c r="M574" s="19"/>
      <c r="N574" s="19"/>
      <c r="O574" s="84"/>
      <c r="P574" s="19"/>
      <c r="Q574" s="91"/>
      <c r="R574" s="19"/>
      <c r="S574" s="91"/>
      <c r="T574" s="19"/>
      <c r="U574" s="375"/>
    </row>
    <row r="575" spans="1:21" ht="15.75" customHeight="1" x14ac:dyDescent="0.25">
      <c r="A575" s="2"/>
      <c r="B575" s="19"/>
      <c r="C575" s="374"/>
      <c r="D575" s="2"/>
      <c r="E575" s="19"/>
      <c r="F575" s="19"/>
      <c r="G575" s="19"/>
      <c r="H575" s="19"/>
      <c r="I575" s="19"/>
      <c r="J575" s="19"/>
      <c r="K575" s="19"/>
      <c r="L575" s="2"/>
      <c r="M575" s="19"/>
      <c r="N575" s="19"/>
      <c r="O575" s="84"/>
      <c r="P575" s="19"/>
      <c r="Q575" s="91"/>
      <c r="R575" s="19"/>
      <c r="S575" s="91"/>
      <c r="T575" s="19"/>
      <c r="U575" s="375"/>
    </row>
    <row r="576" spans="1:21" ht="15.75" customHeight="1" x14ac:dyDescent="0.25">
      <c r="A576" s="2"/>
      <c r="B576" s="19"/>
      <c r="C576" s="374"/>
      <c r="D576" s="2"/>
      <c r="E576" s="19"/>
      <c r="F576" s="19"/>
      <c r="G576" s="19"/>
      <c r="H576" s="19"/>
      <c r="I576" s="19"/>
      <c r="J576" s="19"/>
      <c r="K576" s="19"/>
      <c r="L576" s="2"/>
      <c r="M576" s="19"/>
      <c r="N576" s="19"/>
      <c r="O576" s="84"/>
      <c r="P576" s="19"/>
      <c r="Q576" s="91"/>
      <c r="R576" s="19"/>
      <c r="S576" s="91"/>
      <c r="T576" s="19"/>
      <c r="U576" s="375"/>
    </row>
    <row r="577" spans="1:21" ht="15.75" customHeight="1" x14ac:dyDescent="0.25">
      <c r="A577" s="2"/>
      <c r="B577" s="19"/>
      <c r="C577" s="374"/>
      <c r="D577" s="2"/>
      <c r="E577" s="19"/>
      <c r="F577" s="19"/>
      <c r="G577" s="19"/>
      <c r="H577" s="19"/>
      <c r="I577" s="19"/>
      <c r="J577" s="19"/>
      <c r="K577" s="19"/>
      <c r="L577" s="2"/>
      <c r="M577" s="19"/>
      <c r="N577" s="19"/>
      <c r="O577" s="84"/>
      <c r="P577" s="19"/>
      <c r="Q577" s="91"/>
      <c r="R577" s="19"/>
      <c r="S577" s="91"/>
      <c r="T577" s="19"/>
      <c r="U577" s="375"/>
    </row>
    <row r="578" spans="1:21" ht="15.75" customHeight="1" x14ac:dyDescent="0.25">
      <c r="A578" s="2"/>
      <c r="B578" s="19"/>
      <c r="C578" s="374"/>
      <c r="D578" s="2"/>
      <c r="E578" s="19"/>
      <c r="F578" s="19"/>
      <c r="G578" s="19"/>
      <c r="H578" s="19"/>
      <c r="I578" s="19"/>
      <c r="J578" s="19"/>
      <c r="K578" s="19"/>
      <c r="L578" s="2"/>
      <c r="M578" s="19"/>
      <c r="N578" s="19"/>
      <c r="O578" s="84"/>
      <c r="P578" s="19"/>
      <c r="Q578" s="91"/>
      <c r="R578" s="19"/>
      <c r="S578" s="91"/>
      <c r="T578" s="19"/>
      <c r="U578" s="375"/>
    </row>
    <row r="579" spans="1:21" ht="15.75" customHeight="1" x14ac:dyDescent="0.25">
      <c r="A579" s="2"/>
      <c r="B579" s="19"/>
      <c r="C579" s="374"/>
      <c r="D579" s="2"/>
      <c r="E579" s="19"/>
      <c r="F579" s="19"/>
      <c r="G579" s="19"/>
      <c r="H579" s="19"/>
      <c r="I579" s="19"/>
      <c r="J579" s="19"/>
      <c r="K579" s="19"/>
      <c r="L579" s="2"/>
      <c r="M579" s="19"/>
      <c r="N579" s="19"/>
      <c r="O579" s="84"/>
      <c r="P579" s="19"/>
      <c r="Q579" s="91"/>
      <c r="R579" s="19"/>
      <c r="S579" s="91"/>
      <c r="T579" s="19"/>
      <c r="U579" s="375"/>
    </row>
    <row r="580" spans="1:21" ht="15.75" customHeight="1" x14ac:dyDescent="0.25">
      <c r="A580" s="2"/>
      <c r="B580" s="19"/>
      <c r="C580" s="374"/>
      <c r="D580" s="2"/>
      <c r="E580" s="19"/>
      <c r="F580" s="19"/>
      <c r="G580" s="19"/>
      <c r="H580" s="19"/>
      <c r="I580" s="19"/>
      <c r="J580" s="19"/>
      <c r="K580" s="19"/>
      <c r="L580" s="2"/>
      <c r="M580" s="19"/>
      <c r="N580" s="19"/>
      <c r="O580" s="84"/>
      <c r="P580" s="19"/>
      <c r="Q580" s="91"/>
      <c r="R580" s="19"/>
      <c r="S580" s="91"/>
      <c r="T580" s="19"/>
      <c r="U580" s="375"/>
    </row>
    <row r="581" spans="1:21" ht="15.75" customHeight="1" x14ac:dyDescent="0.25">
      <c r="A581" s="2"/>
      <c r="B581" s="19"/>
      <c r="C581" s="374"/>
      <c r="D581" s="2"/>
      <c r="E581" s="19"/>
      <c r="F581" s="19"/>
      <c r="G581" s="19"/>
      <c r="H581" s="19"/>
      <c r="I581" s="19"/>
      <c r="J581" s="19"/>
      <c r="K581" s="19"/>
      <c r="L581" s="2"/>
      <c r="M581" s="19"/>
      <c r="N581" s="19"/>
      <c r="O581" s="84"/>
      <c r="P581" s="19"/>
      <c r="Q581" s="91"/>
      <c r="R581" s="19"/>
      <c r="S581" s="91"/>
      <c r="T581" s="19"/>
      <c r="U581" s="375"/>
    </row>
    <row r="582" spans="1:21" ht="15.75" customHeight="1" x14ac:dyDescent="0.25">
      <c r="A582" s="2"/>
      <c r="B582" s="19"/>
      <c r="C582" s="374"/>
      <c r="D582" s="2"/>
      <c r="E582" s="19"/>
      <c r="F582" s="19"/>
      <c r="G582" s="19"/>
      <c r="H582" s="19"/>
      <c r="I582" s="19"/>
      <c r="J582" s="19"/>
      <c r="K582" s="19"/>
      <c r="L582" s="2"/>
      <c r="M582" s="19"/>
      <c r="N582" s="19"/>
      <c r="O582" s="84"/>
      <c r="P582" s="19"/>
      <c r="Q582" s="91"/>
      <c r="R582" s="19"/>
      <c r="S582" s="91"/>
      <c r="T582" s="19"/>
      <c r="U582" s="375"/>
    </row>
    <row r="583" spans="1:21" ht="15.75" customHeight="1" x14ac:dyDescent="0.25">
      <c r="A583" s="2"/>
      <c r="B583" s="19"/>
      <c r="C583" s="374"/>
      <c r="D583" s="2"/>
      <c r="E583" s="19"/>
      <c r="F583" s="19"/>
      <c r="G583" s="19"/>
      <c r="H583" s="19"/>
      <c r="I583" s="19"/>
      <c r="J583" s="19"/>
      <c r="K583" s="19"/>
      <c r="L583" s="2"/>
      <c r="M583" s="19"/>
      <c r="N583" s="19"/>
      <c r="O583" s="84"/>
      <c r="P583" s="19"/>
      <c r="Q583" s="91"/>
      <c r="R583" s="19"/>
      <c r="S583" s="91"/>
      <c r="T583" s="19"/>
      <c r="U583" s="375"/>
    </row>
    <row r="584" spans="1:21" ht="15.75" customHeight="1" x14ac:dyDescent="0.25">
      <c r="A584" s="2"/>
      <c r="B584" s="19"/>
      <c r="C584" s="374"/>
      <c r="D584" s="2"/>
      <c r="E584" s="19"/>
      <c r="F584" s="19"/>
      <c r="G584" s="19"/>
      <c r="H584" s="19"/>
      <c r="I584" s="19"/>
      <c r="J584" s="19"/>
      <c r="K584" s="19"/>
      <c r="L584" s="2"/>
      <c r="M584" s="19"/>
      <c r="N584" s="19"/>
      <c r="O584" s="84"/>
      <c r="P584" s="19"/>
      <c r="Q584" s="91"/>
      <c r="R584" s="19"/>
      <c r="S584" s="91"/>
      <c r="T584" s="19"/>
      <c r="U584" s="375"/>
    </row>
    <row r="585" spans="1:21" ht="15.75" customHeight="1" x14ac:dyDescent="0.25">
      <c r="A585" s="2"/>
      <c r="B585" s="19"/>
      <c r="C585" s="374"/>
      <c r="D585" s="2"/>
      <c r="E585" s="19"/>
      <c r="F585" s="19"/>
      <c r="G585" s="19"/>
      <c r="H585" s="19"/>
      <c r="I585" s="19"/>
      <c r="J585" s="19"/>
      <c r="K585" s="19"/>
      <c r="L585" s="2"/>
      <c r="M585" s="19"/>
      <c r="N585" s="19"/>
      <c r="O585" s="84"/>
      <c r="P585" s="19"/>
      <c r="Q585" s="91"/>
      <c r="R585" s="19"/>
      <c r="S585" s="91"/>
      <c r="T585" s="19"/>
      <c r="U585" s="375"/>
    </row>
    <row r="586" spans="1:21" ht="15.75" customHeight="1" x14ac:dyDescent="0.25">
      <c r="A586" s="2"/>
      <c r="B586" s="19"/>
      <c r="C586" s="374"/>
      <c r="D586" s="2"/>
      <c r="E586" s="19"/>
      <c r="F586" s="19"/>
      <c r="G586" s="19"/>
      <c r="H586" s="19"/>
      <c r="I586" s="19"/>
      <c r="J586" s="19"/>
      <c r="K586" s="19"/>
      <c r="L586" s="2"/>
      <c r="M586" s="19"/>
      <c r="N586" s="19"/>
      <c r="O586" s="84"/>
      <c r="P586" s="19"/>
      <c r="Q586" s="91"/>
      <c r="R586" s="19"/>
      <c r="S586" s="91"/>
      <c r="T586" s="19"/>
      <c r="U586" s="375"/>
    </row>
    <row r="587" spans="1:21" ht="15.75" customHeight="1" x14ac:dyDescent="0.25">
      <c r="A587" s="2"/>
      <c r="B587" s="19"/>
      <c r="C587" s="374"/>
      <c r="D587" s="2"/>
      <c r="E587" s="19"/>
      <c r="F587" s="19"/>
      <c r="G587" s="19"/>
      <c r="H587" s="19"/>
      <c r="I587" s="19"/>
      <c r="J587" s="19"/>
      <c r="K587" s="19"/>
      <c r="L587" s="2"/>
      <c r="M587" s="19"/>
      <c r="N587" s="19"/>
      <c r="O587" s="84"/>
      <c r="P587" s="19"/>
      <c r="Q587" s="91"/>
      <c r="R587" s="19"/>
      <c r="S587" s="91"/>
      <c r="T587" s="19"/>
      <c r="U587" s="375"/>
    </row>
    <row r="588" spans="1:21" ht="15.75" customHeight="1" x14ac:dyDescent="0.25">
      <c r="A588" s="2"/>
      <c r="B588" s="19"/>
      <c r="C588" s="374"/>
      <c r="D588" s="2"/>
      <c r="E588" s="19"/>
      <c r="F588" s="19"/>
      <c r="G588" s="19"/>
      <c r="H588" s="19"/>
      <c r="I588" s="19"/>
      <c r="J588" s="19"/>
      <c r="K588" s="19"/>
      <c r="L588" s="2"/>
      <c r="M588" s="19"/>
      <c r="N588" s="19"/>
      <c r="O588" s="84"/>
      <c r="P588" s="19"/>
      <c r="Q588" s="91"/>
      <c r="R588" s="19"/>
      <c r="S588" s="91"/>
      <c r="T588" s="19"/>
      <c r="U588" s="375"/>
    </row>
    <row r="589" spans="1:21" ht="15.75" customHeight="1" x14ac:dyDescent="0.25">
      <c r="A589" s="2"/>
      <c r="B589" s="19"/>
      <c r="C589" s="374"/>
      <c r="D589" s="2"/>
      <c r="E589" s="19"/>
      <c r="F589" s="19"/>
      <c r="G589" s="19"/>
      <c r="H589" s="19"/>
      <c r="I589" s="19"/>
      <c r="J589" s="19"/>
      <c r="K589" s="19"/>
      <c r="L589" s="2"/>
      <c r="M589" s="19"/>
      <c r="N589" s="19"/>
      <c r="O589" s="84"/>
      <c r="P589" s="19"/>
      <c r="Q589" s="91"/>
      <c r="R589" s="19"/>
      <c r="S589" s="91"/>
      <c r="T589" s="19"/>
      <c r="U589" s="375"/>
    </row>
    <row r="590" spans="1:21" ht="15.75" customHeight="1" x14ac:dyDescent="0.25">
      <c r="A590" s="2"/>
      <c r="B590" s="19"/>
      <c r="C590" s="374"/>
      <c r="D590" s="2"/>
      <c r="E590" s="19"/>
      <c r="F590" s="19"/>
      <c r="G590" s="19"/>
      <c r="H590" s="19"/>
      <c r="I590" s="19"/>
      <c r="J590" s="19"/>
      <c r="K590" s="19"/>
      <c r="L590" s="2"/>
      <c r="M590" s="19"/>
      <c r="N590" s="19"/>
      <c r="O590" s="84"/>
      <c r="P590" s="19"/>
      <c r="Q590" s="91"/>
      <c r="R590" s="19"/>
      <c r="S590" s="91"/>
      <c r="T590" s="19"/>
      <c r="U590" s="375"/>
    </row>
    <row r="591" spans="1:21" ht="15.75" customHeight="1" x14ac:dyDescent="0.25">
      <c r="A591" s="2"/>
      <c r="B591" s="19"/>
      <c r="C591" s="374"/>
      <c r="D591" s="2"/>
      <c r="E591" s="19"/>
      <c r="F591" s="19"/>
      <c r="G591" s="19"/>
      <c r="H591" s="19"/>
      <c r="I591" s="19"/>
      <c r="J591" s="19"/>
      <c r="K591" s="19"/>
      <c r="L591" s="2"/>
      <c r="M591" s="19"/>
      <c r="N591" s="19"/>
      <c r="O591" s="84"/>
      <c r="P591" s="19"/>
      <c r="Q591" s="91"/>
      <c r="R591" s="19"/>
      <c r="S591" s="91"/>
      <c r="T591" s="19"/>
      <c r="U591" s="375"/>
    </row>
    <row r="592" spans="1:21" ht="15.75" customHeight="1" x14ac:dyDescent="0.25">
      <c r="A592" s="2"/>
      <c r="B592" s="19"/>
      <c r="C592" s="374"/>
      <c r="D592" s="2"/>
      <c r="E592" s="19"/>
      <c r="F592" s="19"/>
      <c r="G592" s="19"/>
      <c r="H592" s="19"/>
      <c r="I592" s="19"/>
      <c r="J592" s="19"/>
      <c r="K592" s="19"/>
      <c r="L592" s="2"/>
      <c r="M592" s="19"/>
      <c r="N592" s="19"/>
      <c r="O592" s="84"/>
      <c r="P592" s="19"/>
      <c r="Q592" s="91"/>
      <c r="R592" s="19"/>
      <c r="S592" s="91"/>
      <c r="T592" s="19"/>
      <c r="U592" s="375"/>
    </row>
    <row r="593" spans="1:21" ht="15.75" customHeight="1" x14ac:dyDescent="0.25">
      <c r="A593" s="2"/>
      <c r="B593" s="19"/>
      <c r="C593" s="374"/>
      <c r="D593" s="2"/>
      <c r="E593" s="19"/>
      <c r="F593" s="19"/>
      <c r="G593" s="19"/>
      <c r="H593" s="19"/>
      <c r="I593" s="19"/>
      <c r="J593" s="19"/>
      <c r="K593" s="19"/>
      <c r="L593" s="2"/>
      <c r="M593" s="19"/>
      <c r="N593" s="19"/>
      <c r="O593" s="84"/>
      <c r="P593" s="19"/>
      <c r="Q593" s="91"/>
      <c r="R593" s="19"/>
      <c r="S593" s="91"/>
      <c r="T593" s="19"/>
      <c r="U593" s="375"/>
    </row>
    <row r="594" spans="1:21" ht="15.75" customHeight="1" x14ac:dyDescent="0.25">
      <c r="A594" s="2"/>
      <c r="B594" s="19"/>
      <c r="C594" s="374"/>
      <c r="D594" s="2"/>
      <c r="E594" s="19"/>
      <c r="F594" s="19"/>
      <c r="G594" s="19"/>
      <c r="H594" s="19"/>
      <c r="I594" s="19"/>
      <c r="J594" s="19"/>
      <c r="K594" s="19"/>
      <c r="L594" s="2"/>
      <c r="M594" s="19"/>
      <c r="N594" s="19"/>
      <c r="O594" s="84"/>
      <c r="P594" s="19"/>
      <c r="Q594" s="91"/>
      <c r="R594" s="19"/>
      <c r="S594" s="91"/>
      <c r="T594" s="19"/>
      <c r="U594" s="375"/>
    </row>
    <row r="595" spans="1:21" ht="15.75" customHeight="1" x14ac:dyDescent="0.25">
      <c r="A595" s="2"/>
      <c r="B595" s="19"/>
      <c r="C595" s="374"/>
      <c r="D595" s="2"/>
      <c r="E595" s="19"/>
      <c r="F595" s="19"/>
      <c r="G595" s="19"/>
      <c r="H595" s="19"/>
      <c r="I595" s="19"/>
      <c r="J595" s="19"/>
      <c r="K595" s="19"/>
      <c r="L595" s="2"/>
      <c r="M595" s="19"/>
      <c r="N595" s="19"/>
      <c r="O595" s="84"/>
      <c r="P595" s="19"/>
      <c r="Q595" s="91"/>
      <c r="R595" s="19"/>
      <c r="S595" s="91"/>
      <c r="T595" s="19"/>
      <c r="U595" s="375"/>
    </row>
    <row r="596" spans="1:21" ht="15.75" customHeight="1" x14ac:dyDescent="0.25">
      <c r="A596" s="2"/>
      <c r="B596" s="19"/>
      <c r="C596" s="374"/>
      <c r="D596" s="2"/>
      <c r="E596" s="19"/>
      <c r="F596" s="19"/>
      <c r="G596" s="19"/>
      <c r="H596" s="19"/>
      <c r="I596" s="19"/>
      <c r="J596" s="19"/>
      <c r="K596" s="19"/>
      <c r="L596" s="2"/>
      <c r="M596" s="19"/>
      <c r="N596" s="19"/>
      <c r="O596" s="84"/>
      <c r="P596" s="19"/>
      <c r="Q596" s="91"/>
      <c r="R596" s="19"/>
      <c r="S596" s="91"/>
      <c r="T596" s="19"/>
      <c r="U596" s="375"/>
    </row>
    <row r="597" spans="1:21" ht="15.75" customHeight="1" x14ac:dyDescent="0.25">
      <c r="A597" s="2"/>
      <c r="B597" s="19"/>
      <c r="C597" s="374"/>
      <c r="D597" s="2"/>
      <c r="E597" s="19"/>
      <c r="F597" s="19"/>
      <c r="G597" s="19"/>
      <c r="H597" s="19"/>
      <c r="I597" s="19"/>
      <c r="J597" s="19"/>
      <c r="K597" s="19"/>
      <c r="L597" s="2"/>
      <c r="M597" s="19"/>
      <c r="N597" s="19"/>
      <c r="O597" s="84"/>
      <c r="P597" s="19"/>
      <c r="Q597" s="91"/>
      <c r="R597" s="19"/>
      <c r="S597" s="91"/>
      <c r="T597" s="19"/>
      <c r="U597" s="375"/>
    </row>
    <row r="598" spans="1:21" ht="15.75" customHeight="1" x14ac:dyDescent="0.25">
      <c r="A598" s="2"/>
      <c r="B598" s="19"/>
      <c r="C598" s="374"/>
      <c r="D598" s="2"/>
      <c r="E598" s="19"/>
      <c r="F598" s="19"/>
      <c r="G598" s="19"/>
      <c r="H598" s="19"/>
      <c r="I598" s="19"/>
      <c r="J598" s="19"/>
      <c r="K598" s="19"/>
      <c r="L598" s="2"/>
      <c r="M598" s="19"/>
      <c r="N598" s="19"/>
      <c r="O598" s="84"/>
      <c r="P598" s="19"/>
      <c r="Q598" s="91"/>
      <c r="R598" s="19"/>
      <c r="S598" s="91"/>
      <c r="T598" s="19"/>
      <c r="U598" s="375"/>
    </row>
    <row r="599" spans="1:21" ht="15.75" customHeight="1" x14ac:dyDescent="0.25">
      <c r="A599" s="2"/>
      <c r="B599" s="19"/>
      <c r="C599" s="374"/>
      <c r="D599" s="2"/>
      <c r="E599" s="19"/>
      <c r="F599" s="19"/>
      <c r="G599" s="19"/>
      <c r="H599" s="19"/>
      <c r="I599" s="19"/>
      <c r="J599" s="19"/>
      <c r="K599" s="19"/>
      <c r="L599" s="2"/>
      <c r="M599" s="19"/>
      <c r="N599" s="19"/>
      <c r="O599" s="84"/>
      <c r="P599" s="19"/>
      <c r="Q599" s="91"/>
      <c r="R599" s="19"/>
      <c r="S599" s="91"/>
      <c r="T599" s="19"/>
      <c r="U599" s="375"/>
    </row>
    <row r="600" spans="1:21" ht="15.75" customHeight="1" x14ac:dyDescent="0.25">
      <c r="A600" s="2"/>
      <c r="B600" s="19"/>
      <c r="C600" s="374"/>
      <c r="D600" s="2"/>
      <c r="E600" s="19"/>
      <c r="F600" s="19"/>
      <c r="G600" s="19"/>
      <c r="H600" s="19"/>
      <c r="I600" s="19"/>
      <c r="J600" s="19"/>
      <c r="K600" s="19"/>
      <c r="L600" s="2"/>
      <c r="M600" s="19"/>
      <c r="N600" s="19"/>
      <c r="O600" s="84"/>
      <c r="P600" s="19"/>
      <c r="Q600" s="91"/>
      <c r="R600" s="19"/>
      <c r="S600" s="91"/>
      <c r="T600" s="19"/>
      <c r="U600" s="375"/>
    </row>
    <row r="601" spans="1:21" ht="15.75" customHeight="1" x14ac:dyDescent="0.25">
      <c r="A601" s="2"/>
      <c r="B601" s="19"/>
      <c r="C601" s="374"/>
      <c r="D601" s="2"/>
      <c r="E601" s="19"/>
      <c r="F601" s="19"/>
      <c r="G601" s="19"/>
      <c r="H601" s="19"/>
      <c r="I601" s="19"/>
      <c r="J601" s="19"/>
      <c r="K601" s="19"/>
      <c r="L601" s="2"/>
      <c r="M601" s="19"/>
      <c r="N601" s="19"/>
      <c r="O601" s="84"/>
      <c r="P601" s="19"/>
      <c r="Q601" s="91"/>
      <c r="R601" s="19"/>
      <c r="S601" s="91"/>
      <c r="T601" s="19"/>
      <c r="U601" s="375"/>
    </row>
    <row r="602" spans="1:21" ht="15.75" customHeight="1" x14ac:dyDescent="0.25">
      <c r="A602" s="2"/>
      <c r="B602" s="19"/>
      <c r="C602" s="374"/>
      <c r="D602" s="2"/>
      <c r="E602" s="19"/>
      <c r="F602" s="19"/>
      <c r="G602" s="19"/>
      <c r="H602" s="19"/>
      <c r="I602" s="19"/>
      <c r="J602" s="19"/>
      <c r="K602" s="19"/>
      <c r="L602" s="2"/>
      <c r="M602" s="19"/>
      <c r="N602" s="19"/>
      <c r="O602" s="84"/>
      <c r="P602" s="19"/>
      <c r="Q602" s="91"/>
      <c r="R602" s="19"/>
      <c r="S602" s="91"/>
      <c r="T602" s="19"/>
      <c r="U602" s="375"/>
    </row>
    <row r="603" spans="1:21" ht="15.75" customHeight="1" x14ac:dyDescent="0.25">
      <c r="A603" s="2"/>
      <c r="B603" s="19"/>
      <c r="C603" s="374"/>
      <c r="D603" s="2"/>
      <c r="E603" s="19"/>
      <c r="F603" s="19"/>
      <c r="G603" s="19"/>
      <c r="H603" s="19"/>
      <c r="I603" s="19"/>
      <c r="J603" s="19"/>
      <c r="K603" s="19"/>
      <c r="L603" s="2"/>
      <c r="M603" s="19"/>
      <c r="N603" s="19"/>
      <c r="O603" s="84"/>
      <c r="P603" s="19"/>
      <c r="Q603" s="91"/>
      <c r="R603" s="19"/>
      <c r="S603" s="91"/>
      <c r="T603" s="19"/>
      <c r="U603" s="375"/>
    </row>
    <row r="604" spans="1:21" ht="15.75" customHeight="1" x14ac:dyDescent="0.25">
      <c r="A604" s="2"/>
      <c r="B604" s="19"/>
      <c r="C604" s="374"/>
      <c r="D604" s="2"/>
      <c r="E604" s="19"/>
      <c r="F604" s="19"/>
      <c r="G604" s="19"/>
      <c r="H604" s="19"/>
      <c r="I604" s="19"/>
      <c r="J604" s="19"/>
      <c r="K604" s="19"/>
      <c r="L604" s="2"/>
      <c r="M604" s="19"/>
      <c r="N604" s="19"/>
      <c r="O604" s="84"/>
      <c r="P604" s="19"/>
      <c r="Q604" s="91"/>
      <c r="R604" s="19"/>
      <c r="S604" s="91"/>
      <c r="T604" s="19"/>
      <c r="U604" s="375"/>
    </row>
    <row r="605" spans="1:21" ht="15.75" customHeight="1" x14ac:dyDescent="0.25">
      <c r="A605" s="2"/>
      <c r="B605" s="19"/>
      <c r="C605" s="374"/>
      <c r="D605" s="2"/>
      <c r="E605" s="19"/>
      <c r="F605" s="19"/>
      <c r="G605" s="19"/>
      <c r="H605" s="19"/>
      <c r="I605" s="19"/>
      <c r="J605" s="19"/>
      <c r="K605" s="19"/>
      <c r="L605" s="2"/>
      <c r="M605" s="19"/>
      <c r="N605" s="19"/>
      <c r="O605" s="84"/>
      <c r="P605" s="19"/>
      <c r="Q605" s="91"/>
      <c r="R605" s="19"/>
      <c r="S605" s="91"/>
      <c r="T605" s="19"/>
      <c r="U605" s="375"/>
    </row>
    <row r="606" spans="1:21" ht="15.75" customHeight="1" x14ac:dyDescent="0.25">
      <c r="A606" s="2"/>
      <c r="B606" s="19"/>
      <c r="C606" s="374"/>
      <c r="D606" s="2"/>
      <c r="E606" s="19"/>
      <c r="F606" s="19"/>
      <c r="G606" s="19"/>
      <c r="H606" s="19"/>
      <c r="I606" s="19"/>
      <c r="J606" s="19"/>
      <c r="K606" s="19"/>
      <c r="L606" s="2"/>
      <c r="M606" s="19"/>
      <c r="N606" s="19"/>
      <c r="O606" s="84"/>
      <c r="P606" s="19"/>
      <c r="Q606" s="91"/>
      <c r="R606" s="19"/>
      <c r="S606" s="91"/>
      <c r="T606" s="19"/>
      <c r="U606" s="375"/>
    </row>
    <row r="607" spans="1:21" ht="15.75" customHeight="1" x14ac:dyDescent="0.25">
      <c r="A607" s="2"/>
      <c r="B607" s="19"/>
      <c r="C607" s="374"/>
      <c r="D607" s="2"/>
      <c r="E607" s="19"/>
      <c r="F607" s="19"/>
      <c r="G607" s="19"/>
      <c r="H607" s="19"/>
      <c r="I607" s="19"/>
      <c r="J607" s="19"/>
      <c r="K607" s="19"/>
      <c r="L607" s="2"/>
      <c r="M607" s="19"/>
      <c r="N607" s="19"/>
      <c r="O607" s="84"/>
      <c r="P607" s="19"/>
      <c r="Q607" s="91"/>
      <c r="R607" s="19"/>
      <c r="S607" s="91"/>
      <c r="T607" s="19"/>
      <c r="U607" s="375"/>
    </row>
    <row r="608" spans="1:21" ht="15.75" customHeight="1" x14ac:dyDescent="0.25">
      <c r="A608" s="2"/>
      <c r="B608" s="19"/>
      <c r="C608" s="374"/>
      <c r="D608" s="2"/>
      <c r="E608" s="19"/>
      <c r="F608" s="19"/>
      <c r="G608" s="19"/>
      <c r="H608" s="19"/>
      <c r="I608" s="19"/>
      <c r="J608" s="19"/>
      <c r="K608" s="19"/>
      <c r="L608" s="2"/>
      <c r="M608" s="19"/>
      <c r="N608" s="19"/>
      <c r="O608" s="84"/>
      <c r="P608" s="19"/>
      <c r="Q608" s="91"/>
      <c r="R608" s="19"/>
      <c r="S608" s="91"/>
      <c r="T608" s="19"/>
      <c r="U608" s="375"/>
    </row>
    <row r="609" spans="1:21" ht="15.75" customHeight="1" x14ac:dyDescent="0.25">
      <c r="A609" s="2"/>
      <c r="B609" s="19"/>
      <c r="C609" s="374"/>
      <c r="D609" s="2"/>
      <c r="E609" s="19"/>
      <c r="F609" s="19"/>
      <c r="G609" s="19"/>
      <c r="H609" s="19"/>
      <c r="I609" s="19"/>
      <c r="J609" s="19"/>
      <c r="K609" s="19"/>
      <c r="L609" s="2"/>
      <c r="M609" s="19"/>
      <c r="N609" s="19"/>
      <c r="O609" s="84"/>
      <c r="P609" s="19"/>
      <c r="Q609" s="91"/>
      <c r="R609" s="19"/>
      <c r="S609" s="91"/>
      <c r="T609" s="19"/>
      <c r="U609" s="375"/>
    </row>
    <row r="610" spans="1:21" ht="15.75" customHeight="1" x14ac:dyDescent="0.25">
      <c r="A610" s="2"/>
      <c r="B610" s="19"/>
      <c r="C610" s="374"/>
      <c r="D610" s="2"/>
      <c r="E610" s="19"/>
      <c r="F610" s="19"/>
      <c r="G610" s="19"/>
      <c r="H610" s="19"/>
      <c r="I610" s="19"/>
      <c r="J610" s="19"/>
      <c r="K610" s="19"/>
      <c r="L610" s="2"/>
      <c r="M610" s="19"/>
      <c r="N610" s="19"/>
      <c r="O610" s="84"/>
      <c r="P610" s="19"/>
      <c r="Q610" s="91"/>
      <c r="R610" s="19"/>
      <c r="S610" s="91"/>
      <c r="T610" s="19"/>
      <c r="U610" s="375"/>
    </row>
    <row r="611" spans="1:21" ht="15.75" customHeight="1" x14ac:dyDescent="0.25">
      <c r="A611" s="2"/>
      <c r="B611" s="19"/>
      <c r="C611" s="374"/>
      <c r="D611" s="2"/>
      <c r="E611" s="19"/>
      <c r="F611" s="19"/>
      <c r="G611" s="19"/>
      <c r="H611" s="19"/>
      <c r="I611" s="19"/>
      <c r="J611" s="19"/>
      <c r="K611" s="19"/>
      <c r="L611" s="2"/>
      <c r="M611" s="19"/>
      <c r="N611" s="19"/>
      <c r="O611" s="84"/>
      <c r="P611" s="19"/>
      <c r="Q611" s="91"/>
      <c r="R611" s="19"/>
      <c r="S611" s="91"/>
      <c r="T611" s="19"/>
      <c r="U611" s="375"/>
    </row>
    <row r="612" spans="1:21" ht="15.75" customHeight="1" x14ac:dyDescent="0.25">
      <c r="A612" s="2"/>
      <c r="B612" s="19"/>
      <c r="C612" s="374"/>
      <c r="D612" s="2"/>
      <c r="E612" s="19"/>
      <c r="F612" s="19"/>
      <c r="G612" s="19"/>
      <c r="H612" s="19"/>
      <c r="I612" s="19"/>
      <c r="J612" s="19"/>
      <c r="K612" s="19"/>
      <c r="L612" s="2"/>
      <c r="M612" s="19"/>
      <c r="N612" s="19"/>
      <c r="O612" s="84"/>
      <c r="P612" s="19"/>
      <c r="Q612" s="91"/>
      <c r="R612" s="19"/>
      <c r="S612" s="91"/>
      <c r="T612" s="19"/>
      <c r="U612" s="375"/>
    </row>
    <row r="613" spans="1:21" ht="15.75" customHeight="1" x14ac:dyDescent="0.25">
      <c r="A613" s="2"/>
      <c r="B613" s="19"/>
      <c r="C613" s="374"/>
      <c r="D613" s="2"/>
      <c r="E613" s="19"/>
      <c r="F613" s="19"/>
      <c r="G613" s="19"/>
      <c r="H613" s="19"/>
      <c r="I613" s="19"/>
      <c r="J613" s="19"/>
      <c r="K613" s="19"/>
      <c r="L613" s="2"/>
      <c r="M613" s="19"/>
      <c r="N613" s="19"/>
      <c r="O613" s="84"/>
      <c r="P613" s="19"/>
      <c r="Q613" s="91"/>
      <c r="R613" s="19"/>
      <c r="S613" s="91"/>
      <c r="T613" s="19"/>
      <c r="U613" s="375"/>
    </row>
    <row r="614" spans="1:21" ht="15.75" customHeight="1" x14ac:dyDescent="0.25">
      <c r="A614" s="2"/>
      <c r="B614" s="19"/>
      <c r="C614" s="374"/>
      <c r="D614" s="2"/>
      <c r="E614" s="19"/>
      <c r="F614" s="19"/>
      <c r="G614" s="19"/>
      <c r="H614" s="19"/>
      <c r="I614" s="19"/>
      <c r="J614" s="19"/>
      <c r="K614" s="19"/>
      <c r="L614" s="2"/>
      <c r="M614" s="19"/>
      <c r="N614" s="19"/>
      <c r="O614" s="84"/>
      <c r="P614" s="19"/>
      <c r="Q614" s="91"/>
      <c r="R614" s="19"/>
      <c r="S614" s="91"/>
      <c r="T614" s="19"/>
      <c r="U614" s="375"/>
    </row>
    <row r="615" spans="1:21" ht="15.75" customHeight="1" x14ac:dyDescent="0.25">
      <c r="A615" s="2"/>
      <c r="B615" s="19"/>
      <c r="C615" s="374"/>
      <c r="D615" s="2"/>
      <c r="E615" s="19"/>
      <c r="F615" s="19"/>
      <c r="G615" s="19"/>
      <c r="H615" s="19"/>
      <c r="I615" s="19"/>
      <c r="J615" s="19"/>
      <c r="K615" s="19"/>
      <c r="L615" s="2"/>
      <c r="M615" s="19"/>
      <c r="N615" s="19"/>
      <c r="O615" s="84"/>
      <c r="P615" s="19"/>
      <c r="Q615" s="91"/>
      <c r="R615" s="19"/>
      <c r="S615" s="91"/>
      <c r="T615" s="19"/>
      <c r="U615" s="375"/>
    </row>
    <row r="616" spans="1:21" ht="15.75" customHeight="1" x14ac:dyDescent="0.25">
      <c r="A616" s="2"/>
      <c r="B616" s="19"/>
      <c r="C616" s="374"/>
      <c r="D616" s="2"/>
      <c r="E616" s="19"/>
      <c r="F616" s="19"/>
      <c r="G616" s="19"/>
      <c r="H616" s="19"/>
      <c r="I616" s="19"/>
      <c r="J616" s="19"/>
      <c r="K616" s="19"/>
      <c r="L616" s="2"/>
      <c r="M616" s="19"/>
      <c r="N616" s="19"/>
      <c r="O616" s="84"/>
      <c r="P616" s="19"/>
      <c r="Q616" s="91"/>
      <c r="R616" s="19"/>
      <c r="S616" s="91"/>
      <c r="T616" s="19"/>
      <c r="U616" s="375"/>
    </row>
    <row r="617" spans="1:21" ht="15.75" customHeight="1" x14ac:dyDescent="0.25">
      <c r="A617" s="2"/>
      <c r="B617" s="19"/>
      <c r="C617" s="374"/>
      <c r="D617" s="2"/>
      <c r="E617" s="19"/>
      <c r="F617" s="19"/>
      <c r="G617" s="19"/>
      <c r="H617" s="19"/>
      <c r="I617" s="19"/>
      <c r="J617" s="19"/>
      <c r="K617" s="19"/>
      <c r="L617" s="2"/>
      <c r="M617" s="19"/>
      <c r="N617" s="19"/>
      <c r="O617" s="84"/>
      <c r="P617" s="19"/>
      <c r="Q617" s="91"/>
      <c r="R617" s="19"/>
      <c r="S617" s="91"/>
      <c r="T617" s="19"/>
      <c r="U617" s="375"/>
    </row>
    <row r="618" spans="1:21" ht="15.75" customHeight="1" x14ac:dyDescent="0.25">
      <c r="A618" s="2"/>
      <c r="B618" s="19"/>
      <c r="C618" s="374"/>
      <c r="D618" s="2"/>
      <c r="E618" s="19"/>
      <c r="F618" s="19"/>
      <c r="G618" s="19"/>
      <c r="H618" s="19"/>
      <c r="I618" s="19"/>
      <c r="J618" s="19"/>
      <c r="K618" s="19"/>
      <c r="L618" s="2"/>
      <c r="M618" s="19"/>
      <c r="N618" s="19"/>
      <c r="O618" s="84"/>
      <c r="P618" s="19"/>
      <c r="Q618" s="91"/>
      <c r="R618" s="19"/>
      <c r="S618" s="91"/>
      <c r="T618" s="19"/>
      <c r="U618" s="375"/>
    </row>
    <row r="619" spans="1:21" ht="15.75" customHeight="1" x14ac:dyDescent="0.25">
      <c r="A619" s="2"/>
      <c r="B619" s="19"/>
      <c r="C619" s="374"/>
      <c r="D619" s="2"/>
      <c r="E619" s="19"/>
      <c r="F619" s="19"/>
      <c r="G619" s="19"/>
      <c r="H619" s="19"/>
      <c r="I619" s="19"/>
      <c r="J619" s="19"/>
      <c r="K619" s="19"/>
      <c r="L619" s="2"/>
      <c r="M619" s="19"/>
      <c r="N619" s="19"/>
      <c r="O619" s="84"/>
      <c r="P619" s="19"/>
      <c r="Q619" s="91"/>
      <c r="R619" s="19"/>
      <c r="S619" s="91"/>
      <c r="T619" s="19"/>
      <c r="U619" s="375"/>
    </row>
    <row r="620" spans="1:21" ht="15.75" customHeight="1" x14ac:dyDescent="0.25">
      <c r="A620" s="2"/>
      <c r="B620" s="19"/>
      <c r="C620" s="374"/>
      <c r="D620" s="2"/>
      <c r="E620" s="19"/>
      <c r="F620" s="19"/>
      <c r="G620" s="19"/>
      <c r="H620" s="19"/>
      <c r="I620" s="19"/>
      <c r="J620" s="19"/>
      <c r="K620" s="19"/>
      <c r="L620" s="2"/>
      <c r="M620" s="19"/>
      <c r="N620" s="19"/>
      <c r="O620" s="84"/>
      <c r="P620" s="19"/>
      <c r="Q620" s="91"/>
      <c r="R620" s="19"/>
      <c r="S620" s="91"/>
      <c r="T620" s="19"/>
      <c r="U620" s="375"/>
    </row>
    <row r="621" spans="1:21" ht="15.75" customHeight="1" x14ac:dyDescent="0.25">
      <c r="A621" s="2"/>
      <c r="B621" s="19"/>
      <c r="C621" s="374"/>
      <c r="D621" s="2"/>
      <c r="E621" s="19"/>
      <c r="F621" s="19"/>
      <c r="G621" s="19"/>
      <c r="H621" s="19"/>
      <c r="I621" s="19"/>
      <c r="J621" s="19"/>
      <c r="K621" s="19"/>
      <c r="L621" s="2"/>
      <c r="M621" s="19"/>
      <c r="N621" s="19"/>
      <c r="O621" s="84"/>
      <c r="P621" s="19"/>
      <c r="Q621" s="91"/>
      <c r="R621" s="19"/>
      <c r="S621" s="91"/>
      <c r="T621" s="19"/>
      <c r="U621" s="375"/>
    </row>
    <row r="622" spans="1:21" ht="15.75" customHeight="1" x14ac:dyDescent="0.25">
      <c r="A622" s="2"/>
      <c r="B622" s="19"/>
      <c r="C622" s="374"/>
      <c r="D622" s="2"/>
      <c r="E622" s="19"/>
      <c r="F622" s="19"/>
      <c r="G622" s="19"/>
      <c r="H622" s="19"/>
      <c r="I622" s="19"/>
      <c r="J622" s="19"/>
      <c r="K622" s="19"/>
      <c r="L622" s="2"/>
      <c r="M622" s="19"/>
      <c r="N622" s="19"/>
      <c r="O622" s="84"/>
      <c r="P622" s="19"/>
      <c r="Q622" s="91"/>
      <c r="R622" s="19"/>
      <c r="S622" s="91"/>
      <c r="T622" s="19"/>
      <c r="U622" s="375"/>
    </row>
    <row r="623" spans="1:21" ht="15.75" customHeight="1" x14ac:dyDescent="0.25">
      <c r="A623" s="2"/>
      <c r="B623" s="19"/>
      <c r="C623" s="374"/>
      <c r="D623" s="2"/>
      <c r="E623" s="19"/>
      <c r="F623" s="19"/>
      <c r="G623" s="19"/>
      <c r="H623" s="19"/>
      <c r="I623" s="19"/>
      <c r="J623" s="19"/>
      <c r="K623" s="19"/>
      <c r="L623" s="2"/>
      <c r="M623" s="19"/>
      <c r="N623" s="19"/>
      <c r="O623" s="84"/>
      <c r="P623" s="19"/>
      <c r="Q623" s="91"/>
      <c r="R623" s="19"/>
      <c r="S623" s="91"/>
      <c r="T623" s="19"/>
      <c r="U623" s="375"/>
    </row>
    <row r="624" spans="1:21" ht="15.75" customHeight="1" x14ac:dyDescent="0.25">
      <c r="A624" s="2"/>
      <c r="B624" s="19"/>
      <c r="C624" s="374"/>
      <c r="D624" s="2"/>
      <c r="E624" s="19"/>
      <c r="F624" s="19"/>
      <c r="G624" s="19"/>
      <c r="H624" s="19"/>
      <c r="I624" s="19"/>
      <c r="J624" s="19"/>
      <c r="K624" s="19"/>
      <c r="L624" s="2"/>
      <c r="M624" s="19"/>
      <c r="N624" s="19"/>
      <c r="O624" s="84"/>
      <c r="P624" s="19"/>
      <c r="Q624" s="91"/>
      <c r="R624" s="19"/>
      <c r="S624" s="91"/>
      <c r="T624" s="19"/>
      <c r="U624" s="375"/>
    </row>
    <row r="625" spans="1:21" ht="15.75" customHeight="1" x14ac:dyDescent="0.25">
      <c r="A625" s="2"/>
      <c r="B625" s="19"/>
      <c r="C625" s="374"/>
      <c r="D625" s="2"/>
      <c r="E625" s="19"/>
      <c r="F625" s="19"/>
      <c r="G625" s="19"/>
      <c r="H625" s="19"/>
      <c r="I625" s="19"/>
      <c r="J625" s="19"/>
      <c r="K625" s="19"/>
      <c r="L625" s="2"/>
      <c r="M625" s="19"/>
      <c r="N625" s="19"/>
      <c r="O625" s="84"/>
      <c r="P625" s="19"/>
      <c r="Q625" s="91"/>
      <c r="R625" s="19"/>
      <c r="S625" s="91"/>
      <c r="T625" s="19"/>
      <c r="U625" s="375"/>
    </row>
    <row r="626" spans="1:21" ht="15.75" customHeight="1" x14ac:dyDescent="0.25">
      <c r="A626" s="2"/>
      <c r="B626" s="19"/>
      <c r="C626" s="374"/>
      <c r="D626" s="2"/>
      <c r="E626" s="19"/>
      <c r="F626" s="19"/>
      <c r="G626" s="19"/>
      <c r="H626" s="19"/>
      <c r="I626" s="19"/>
      <c r="J626" s="19"/>
      <c r="K626" s="19"/>
      <c r="L626" s="2"/>
      <c r="M626" s="19"/>
      <c r="N626" s="19"/>
      <c r="O626" s="84"/>
      <c r="P626" s="19"/>
      <c r="Q626" s="91"/>
      <c r="R626" s="19"/>
      <c r="S626" s="91"/>
      <c r="T626" s="19"/>
      <c r="U626" s="375"/>
    </row>
    <row r="627" spans="1:21" ht="15.75" customHeight="1" x14ac:dyDescent="0.25">
      <c r="A627" s="2"/>
      <c r="B627" s="19"/>
      <c r="C627" s="374"/>
      <c r="D627" s="2"/>
      <c r="E627" s="19"/>
      <c r="F627" s="19"/>
      <c r="G627" s="19"/>
      <c r="H627" s="19"/>
      <c r="I627" s="19"/>
      <c r="J627" s="19"/>
      <c r="K627" s="19"/>
      <c r="L627" s="2"/>
      <c r="M627" s="19"/>
      <c r="N627" s="19"/>
      <c r="O627" s="84"/>
      <c r="P627" s="19"/>
      <c r="Q627" s="91"/>
      <c r="R627" s="19"/>
      <c r="S627" s="91"/>
      <c r="T627" s="19"/>
      <c r="U627" s="375"/>
    </row>
    <row r="628" spans="1:21" ht="15.75" customHeight="1" x14ac:dyDescent="0.25">
      <c r="A628" s="2"/>
      <c r="B628" s="19"/>
      <c r="C628" s="374"/>
      <c r="D628" s="2"/>
      <c r="E628" s="19"/>
      <c r="F628" s="19"/>
      <c r="G628" s="19"/>
      <c r="H628" s="19"/>
      <c r="I628" s="19"/>
      <c r="J628" s="19"/>
      <c r="K628" s="19"/>
      <c r="L628" s="2"/>
      <c r="M628" s="19"/>
      <c r="N628" s="19"/>
      <c r="O628" s="84"/>
      <c r="P628" s="19"/>
      <c r="Q628" s="91"/>
      <c r="R628" s="19"/>
      <c r="S628" s="91"/>
      <c r="T628" s="19"/>
      <c r="U628" s="375"/>
    </row>
    <row r="629" spans="1:21" ht="15.75" customHeight="1" x14ac:dyDescent="0.25">
      <c r="A629" s="2"/>
      <c r="B629" s="19"/>
      <c r="C629" s="374"/>
      <c r="D629" s="2"/>
      <c r="E629" s="19"/>
      <c r="F629" s="19"/>
      <c r="G629" s="19"/>
      <c r="H629" s="19"/>
      <c r="I629" s="19"/>
      <c r="J629" s="19"/>
      <c r="K629" s="19"/>
      <c r="L629" s="2"/>
      <c r="M629" s="19"/>
      <c r="N629" s="19"/>
      <c r="O629" s="84"/>
      <c r="P629" s="19"/>
      <c r="Q629" s="91"/>
      <c r="R629" s="19"/>
      <c r="S629" s="91"/>
      <c r="T629" s="19"/>
      <c r="U629" s="375"/>
    </row>
    <row r="630" spans="1:21" ht="15.75" customHeight="1" x14ac:dyDescent="0.25">
      <c r="A630" s="2"/>
      <c r="B630" s="19"/>
      <c r="C630" s="374"/>
      <c r="D630" s="2"/>
      <c r="E630" s="19"/>
      <c r="F630" s="19"/>
      <c r="G630" s="19"/>
      <c r="H630" s="19"/>
      <c r="I630" s="19"/>
      <c r="J630" s="19"/>
      <c r="K630" s="19"/>
      <c r="L630" s="2"/>
      <c r="M630" s="19"/>
      <c r="N630" s="19"/>
      <c r="O630" s="84"/>
      <c r="P630" s="19"/>
      <c r="Q630" s="91"/>
      <c r="R630" s="19"/>
      <c r="S630" s="91"/>
      <c r="T630" s="19"/>
      <c r="U630" s="375"/>
    </row>
    <row r="631" spans="1:21" ht="15.75" customHeight="1" x14ac:dyDescent="0.25">
      <c r="A631" s="2"/>
      <c r="B631" s="19"/>
      <c r="C631" s="374"/>
      <c r="D631" s="2"/>
      <c r="E631" s="19"/>
      <c r="F631" s="19"/>
      <c r="G631" s="19"/>
      <c r="H631" s="19"/>
      <c r="I631" s="19"/>
      <c r="J631" s="19"/>
      <c r="K631" s="19"/>
      <c r="L631" s="2"/>
      <c r="M631" s="19"/>
      <c r="N631" s="19"/>
      <c r="O631" s="84"/>
      <c r="P631" s="19"/>
      <c r="Q631" s="91"/>
      <c r="R631" s="19"/>
      <c r="S631" s="91"/>
      <c r="T631" s="19"/>
      <c r="U631" s="375"/>
    </row>
    <row r="632" spans="1:21" ht="15.75" customHeight="1" x14ac:dyDescent="0.25">
      <c r="A632" s="2"/>
      <c r="B632" s="19"/>
      <c r="C632" s="374"/>
      <c r="D632" s="2"/>
      <c r="E632" s="19"/>
      <c r="F632" s="19"/>
      <c r="G632" s="19"/>
      <c r="H632" s="19"/>
      <c r="I632" s="19"/>
      <c r="J632" s="19"/>
      <c r="K632" s="19"/>
      <c r="L632" s="2"/>
      <c r="M632" s="19"/>
      <c r="N632" s="19"/>
      <c r="O632" s="84"/>
      <c r="P632" s="19"/>
      <c r="Q632" s="91"/>
      <c r="R632" s="19"/>
      <c r="S632" s="91"/>
      <c r="T632" s="19"/>
      <c r="U632" s="375"/>
    </row>
    <row r="633" spans="1:21" ht="15.75" customHeight="1" x14ac:dyDescent="0.25">
      <c r="A633" s="2"/>
      <c r="B633" s="19"/>
      <c r="C633" s="374"/>
      <c r="D633" s="2"/>
      <c r="E633" s="19"/>
      <c r="F633" s="19"/>
      <c r="G633" s="19"/>
      <c r="H633" s="19"/>
      <c r="I633" s="19"/>
      <c r="J633" s="19"/>
      <c r="K633" s="19"/>
      <c r="L633" s="2"/>
      <c r="M633" s="19"/>
      <c r="N633" s="19"/>
      <c r="O633" s="84"/>
      <c r="P633" s="19"/>
      <c r="Q633" s="91"/>
      <c r="R633" s="19"/>
      <c r="S633" s="91"/>
      <c r="T633" s="19"/>
      <c r="U633" s="375"/>
    </row>
    <row r="634" spans="1:21" ht="15.75" customHeight="1" x14ac:dyDescent="0.25">
      <c r="A634" s="2"/>
      <c r="B634" s="19"/>
      <c r="C634" s="374"/>
      <c r="D634" s="2"/>
      <c r="E634" s="19"/>
      <c r="F634" s="19"/>
      <c r="G634" s="19"/>
      <c r="H634" s="19"/>
      <c r="I634" s="19"/>
      <c r="J634" s="19"/>
      <c r="K634" s="19"/>
      <c r="L634" s="2"/>
      <c r="M634" s="19"/>
      <c r="N634" s="19"/>
      <c r="O634" s="84"/>
      <c r="P634" s="19"/>
      <c r="Q634" s="91"/>
      <c r="R634" s="19"/>
      <c r="S634" s="91"/>
      <c r="T634" s="19"/>
      <c r="U634" s="375"/>
    </row>
    <row r="635" spans="1:21" ht="15.75" customHeight="1" x14ac:dyDescent="0.25">
      <c r="A635" s="2"/>
      <c r="B635" s="19"/>
      <c r="C635" s="374"/>
      <c r="D635" s="2"/>
      <c r="E635" s="19"/>
      <c r="F635" s="19"/>
      <c r="G635" s="19"/>
      <c r="H635" s="19"/>
      <c r="I635" s="19"/>
      <c r="J635" s="19"/>
      <c r="K635" s="19"/>
      <c r="L635" s="2"/>
      <c r="M635" s="19"/>
      <c r="N635" s="19"/>
      <c r="O635" s="84"/>
      <c r="P635" s="19"/>
      <c r="Q635" s="91"/>
      <c r="R635" s="19"/>
      <c r="S635" s="91"/>
      <c r="T635" s="19"/>
      <c r="U635" s="375"/>
    </row>
    <row r="636" spans="1:21" ht="15.75" customHeight="1" x14ac:dyDescent="0.25">
      <c r="A636" s="2"/>
      <c r="B636" s="19"/>
      <c r="C636" s="374"/>
      <c r="D636" s="2"/>
      <c r="E636" s="19"/>
      <c r="F636" s="19"/>
      <c r="G636" s="19"/>
      <c r="H636" s="19"/>
      <c r="I636" s="19"/>
      <c r="J636" s="19"/>
      <c r="K636" s="19"/>
      <c r="L636" s="2"/>
      <c r="M636" s="19"/>
      <c r="N636" s="19"/>
      <c r="O636" s="84"/>
      <c r="P636" s="19"/>
      <c r="Q636" s="91"/>
      <c r="R636" s="19"/>
      <c r="S636" s="91"/>
      <c r="T636" s="19"/>
      <c r="U636" s="375"/>
    </row>
    <row r="637" spans="1:21" ht="15.75" customHeight="1" x14ac:dyDescent="0.25">
      <c r="A637" s="2"/>
      <c r="B637" s="19"/>
      <c r="C637" s="374"/>
      <c r="D637" s="2"/>
      <c r="E637" s="19"/>
      <c r="F637" s="19"/>
      <c r="G637" s="19"/>
      <c r="H637" s="19"/>
      <c r="I637" s="19"/>
      <c r="J637" s="19"/>
      <c r="K637" s="19"/>
      <c r="L637" s="2"/>
      <c r="M637" s="19"/>
      <c r="N637" s="19"/>
      <c r="O637" s="84"/>
      <c r="P637" s="19"/>
      <c r="Q637" s="91"/>
      <c r="R637" s="19"/>
      <c r="S637" s="91"/>
      <c r="T637" s="19"/>
      <c r="U637" s="375"/>
    </row>
    <row r="638" spans="1:21" ht="15.75" customHeight="1" x14ac:dyDescent="0.25">
      <c r="A638" s="2"/>
      <c r="B638" s="19"/>
      <c r="C638" s="374"/>
      <c r="D638" s="2"/>
      <c r="E638" s="19"/>
      <c r="F638" s="19"/>
      <c r="G638" s="19"/>
      <c r="H638" s="19"/>
      <c r="I638" s="19"/>
      <c r="J638" s="19"/>
      <c r="K638" s="19"/>
      <c r="L638" s="2"/>
      <c r="M638" s="19"/>
      <c r="N638" s="19"/>
      <c r="O638" s="84"/>
      <c r="P638" s="19"/>
      <c r="Q638" s="91"/>
      <c r="R638" s="19"/>
      <c r="S638" s="91"/>
      <c r="T638" s="19"/>
      <c r="U638" s="375"/>
    </row>
    <row r="639" spans="1:21" ht="15.75" customHeight="1" x14ac:dyDescent="0.25">
      <c r="A639" s="2"/>
      <c r="B639" s="19"/>
      <c r="C639" s="374"/>
      <c r="D639" s="2"/>
      <c r="E639" s="19"/>
      <c r="F639" s="19"/>
      <c r="G639" s="19"/>
      <c r="H639" s="19"/>
      <c r="I639" s="19"/>
      <c r="J639" s="19"/>
      <c r="K639" s="19"/>
      <c r="L639" s="2"/>
      <c r="M639" s="19"/>
      <c r="N639" s="19"/>
      <c r="O639" s="84"/>
      <c r="P639" s="19"/>
      <c r="Q639" s="91"/>
      <c r="R639" s="19"/>
      <c r="S639" s="91"/>
      <c r="T639" s="19"/>
      <c r="U639" s="375"/>
    </row>
    <row r="640" spans="1:21" ht="15.75" customHeight="1" x14ac:dyDescent="0.25">
      <c r="A640" s="2"/>
      <c r="B640" s="19"/>
      <c r="C640" s="374"/>
      <c r="D640" s="2"/>
      <c r="E640" s="19"/>
      <c r="F640" s="19"/>
      <c r="G640" s="19"/>
      <c r="H640" s="19"/>
      <c r="I640" s="19"/>
      <c r="J640" s="19"/>
      <c r="K640" s="19"/>
      <c r="L640" s="2"/>
      <c r="M640" s="19"/>
      <c r="N640" s="19"/>
      <c r="O640" s="84"/>
      <c r="P640" s="19"/>
      <c r="Q640" s="91"/>
      <c r="R640" s="19"/>
      <c r="S640" s="91"/>
      <c r="T640" s="19"/>
      <c r="U640" s="375"/>
    </row>
    <row r="641" spans="1:21" ht="15.75" customHeight="1" x14ac:dyDescent="0.25">
      <c r="A641" s="2"/>
      <c r="B641" s="19"/>
      <c r="C641" s="374"/>
      <c r="D641" s="2"/>
      <c r="E641" s="19"/>
      <c r="F641" s="19"/>
      <c r="G641" s="19"/>
      <c r="H641" s="19"/>
      <c r="I641" s="19"/>
      <c r="J641" s="19"/>
      <c r="K641" s="19"/>
      <c r="L641" s="2"/>
      <c r="M641" s="19"/>
      <c r="N641" s="19"/>
      <c r="O641" s="84"/>
      <c r="P641" s="19"/>
      <c r="Q641" s="91"/>
      <c r="R641" s="19"/>
      <c r="S641" s="91"/>
      <c r="T641" s="19"/>
      <c r="U641" s="375"/>
    </row>
    <row r="642" spans="1:21" ht="15.75" customHeight="1" x14ac:dyDescent="0.25">
      <c r="A642" s="2"/>
      <c r="B642" s="19"/>
      <c r="C642" s="374"/>
      <c r="D642" s="2"/>
      <c r="E642" s="19"/>
      <c r="F642" s="19"/>
      <c r="G642" s="19"/>
      <c r="H642" s="19"/>
      <c r="I642" s="19"/>
      <c r="J642" s="19"/>
      <c r="K642" s="19"/>
      <c r="L642" s="2"/>
      <c r="M642" s="19"/>
      <c r="N642" s="19"/>
      <c r="O642" s="84"/>
      <c r="P642" s="19"/>
      <c r="Q642" s="91"/>
      <c r="R642" s="19"/>
      <c r="S642" s="91"/>
      <c r="T642" s="19"/>
      <c r="U642" s="375"/>
    </row>
    <row r="643" spans="1:21" ht="15.75" customHeight="1" x14ac:dyDescent="0.25">
      <c r="A643" s="2"/>
      <c r="B643" s="19"/>
      <c r="C643" s="374"/>
      <c r="D643" s="2"/>
      <c r="E643" s="19"/>
      <c r="F643" s="19"/>
      <c r="G643" s="19"/>
      <c r="H643" s="19"/>
      <c r="I643" s="19"/>
      <c r="J643" s="19"/>
      <c r="K643" s="19"/>
      <c r="L643" s="2"/>
      <c r="M643" s="19"/>
      <c r="N643" s="19"/>
      <c r="O643" s="84"/>
      <c r="P643" s="19"/>
      <c r="Q643" s="91"/>
      <c r="R643" s="19"/>
      <c r="S643" s="91"/>
      <c r="T643" s="19"/>
      <c r="U643" s="375"/>
    </row>
    <row r="644" spans="1:21" ht="15.75" customHeight="1" x14ac:dyDescent="0.25">
      <c r="A644" s="2"/>
      <c r="B644" s="19"/>
      <c r="C644" s="374"/>
      <c r="D644" s="2"/>
      <c r="E644" s="19"/>
      <c r="F644" s="19"/>
      <c r="G644" s="19"/>
      <c r="H644" s="19"/>
      <c r="I644" s="19"/>
      <c r="J644" s="19"/>
      <c r="K644" s="19"/>
      <c r="L644" s="2"/>
      <c r="M644" s="19"/>
      <c r="N644" s="19"/>
      <c r="O644" s="84"/>
      <c r="P644" s="19"/>
      <c r="Q644" s="91"/>
      <c r="R644" s="19"/>
      <c r="S644" s="91"/>
      <c r="T644" s="19"/>
      <c r="U644" s="375"/>
    </row>
    <row r="645" spans="1:21" ht="15.75" customHeight="1" x14ac:dyDescent="0.25">
      <c r="A645" s="2"/>
      <c r="B645" s="19"/>
      <c r="C645" s="374"/>
      <c r="D645" s="2"/>
      <c r="E645" s="19"/>
      <c r="F645" s="19"/>
      <c r="G645" s="19"/>
      <c r="H645" s="19"/>
      <c r="I645" s="19"/>
      <c r="J645" s="19"/>
      <c r="K645" s="19"/>
      <c r="L645" s="2"/>
      <c r="M645" s="19"/>
      <c r="N645" s="19"/>
      <c r="O645" s="84"/>
      <c r="P645" s="19"/>
      <c r="Q645" s="91"/>
      <c r="R645" s="19"/>
      <c r="S645" s="91"/>
      <c r="T645" s="19"/>
      <c r="U645" s="375"/>
    </row>
    <row r="646" spans="1:21" ht="15.75" customHeight="1" x14ac:dyDescent="0.25">
      <c r="A646" s="2"/>
      <c r="B646" s="19"/>
      <c r="C646" s="374"/>
      <c r="D646" s="2"/>
      <c r="E646" s="19"/>
      <c r="F646" s="19"/>
      <c r="G646" s="19"/>
      <c r="H646" s="19"/>
      <c r="I646" s="19"/>
      <c r="J646" s="19"/>
      <c r="K646" s="19"/>
      <c r="L646" s="2"/>
      <c r="M646" s="19"/>
      <c r="N646" s="19"/>
      <c r="O646" s="84"/>
      <c r="P646" s="19"/>
      <c r="Q646" s="91"/>
      <c r="R646" s="19"/>
      <c r="S646" s="91"/>
      <c r="T646" s="19"/>
      <c r="U646" s="375"/>
    </row>
    <row r="647" spans="1:21" ht="15.75" customHeight="1" x14ac:dyDescent="0.25">
      <c r="A647" s="2"/>
      <c r="B647" s="19"/>
      <c r="C647" s="374"/>
      <c r="D647" s="2"/>
      <c r="E647" s="19"/>
      <c r="F647" s="19"/>
      <c r="G647" s="19"/>
      <c r="H647" s="19"/>
      <c r="I647" s="19"/>
      <c r="J647" s="19"/>
      <c r="K647" s="19"/>
      <c r="L647" s="2"/>
      <c r="M647" s="19"/>
      <c r="N647" s="19"/>
      <c r="O647" s="84"/>
      <c r="P647" s="19"/>
      <c r="Q647" s="91"/>
      <c r="R647" s="19"/>
      <c r="S647" s="91"/>
      <c r="T647" s="19"/>
      <c r="U647" s="375"/>
    </row>
    <row r="648" spans="1:21" ht="15.75" customHeight="1" x14ac:dyDescent="0.25">
      <c r="A648" s="2"/>
      <c r="B648" s="19"/>
      <c r="C648" s="374"/>
      <c r="D648" s="2"/>
      <c r="E648" s="19"/>
      <c r="F648" s="19"/>
      <c r="G648" s="19"/>
      <c r="H648" s="19"/>
      <c r="I648" s="19"/>
      <c r="J648" s="19"/>
      <c r="K648" s="19"/>
      <c r="L648" s="2"/>
      <c r="M648" s="19"/>
      <c r="N648" s="19"/>
      <c r="O648" s="84"/>
      <c r="P648" s="19"/>
      <c r="Q648" s="91"/>
      <c r="R648" s="19"/>
      <c r="S648" s="91"/>
      <c r="T648" s="19"/>
      <c r="U648" s="375"/>
    </row>
    <row r="649" spans="1:21" ht="15.75" customHeight="1" x14ac:dyDescent="0.25">
      <c r="A649" s="2"/>
      <c r="B649" s="19"/>
      <c r="C649" s="374"/>
      <c r="D649" s="2"/>
      <c r="E649" s="19"/>
      <c r="F649" s="19"/>
      <c r="G649" s="19"/>
      <c r="H649" s="19"/>
      <c r="I649" s="19"/>
      <c r="J649" s="19"/>
      <c r="K649" s="19"/>
      <c r="L649" s="2"/>
      <c r="M649" s="19"/>
      <c r="N649" s="19"/>
      <c r="O649" s="84"/>
      <c r="P649" s="19"/>
      <c r="Q649" s="91"/>
      <c r="R649" s="19"/>
      <c r="S649" s="91"/>
      <c r="T649" s="19"/>
      <c r="U649" s="375"/>
    </row>
    <row r="650" spans="1:21" ht="15.75" customHeight="1" x14ac:dyDescent="0.25">
      <c r="A650" s="2"/>
      <c r="B650" s="19"/>
      <c r="C650" s="374"/>
      <c r="D650" s="2"/>
      <c r="E650" s="19"/>
      <c r="F650" s="19"/>
      <c r="G650" s="19"/>
      <c r="H650" s="19"/>
      <c r="I650" s="19"/>
      <c r="J650" s="19"/>
      <c r="K650" s="19"/>
      <c r="L650" s="2"/>
      <c r="M650" s="19"/>
      <c r="N650" s="19"/>
      <c r="O650" s="84"/>
      <c r="P650" s="19"/>
      <c r="Q650" s="91"/>
      <c r="R650" s="19"/>
      <c r="S650" s="91"/>
      <c r="T650" s="19"/>
      <c r="U650" s="375"/>
    </row>
    <row r="651" spans="1:21" ht="15.75" customHeight="1" x14ac:dyDescent="0.25">
      <c r="A651" s="2"/>
      <c r="B651" s="19"/>
      <c r="C651" s="374"/>
      <c r="D651" s="2"/>
      <c r="E651" s="19"/>
      <c r="F651" s="19"/>
      <c r="G651" s="19"/>
      <c r="H651" s="19"/>
      <c r="I651" s="19"/>
      <c r="J651" s="19"/>
      <c r="K651" s="19"/>
      <c r="L651" s="2"/>
      <c r="M651" s="19"/>
      <c r="N651" s="19"/>
      <c r="O651" s="84"/>
      <c r="P651" s="19"/>
      <c r="Q651" s="91"/>
      <c r="R651" s="19"/>
      <c r="S651" s="91"/>
      <c r="T651" s="19"/>
      <c r="U651" s="375"/>
    </row>
    <row r="652" spans="1:21" ht="15.75" customHeight="1" x14ac:dyDescent="0.25">
      <c r="A652" s="2"/>
      <c r="B652" s="19"/>
      <c r="C652" s="374"/>
      <c r="D652" s="2"/>
      <c r="E652" s="19"/>
      <c r="F652" s="19"/>
      <c r="G652" s="19"/>
      <c r="H652" s="19"/>
      <c r="I652" s="19"/>
      <c r="J652" s="19"/>
      <c r="K652" s="19"/>
      <c r="L652" s="2"/>
      <c r="M652" s="19"/>
      <c r="N652" s="19"/>
      <c r="O652" s="84"/>
      <c r="P652" s="19"/>
      <c r="Q652" s="91"/>
      <c r="R652" s="19"/>
      <c r="S652" s="91"/>
      <c r="T652" s="19"/>
      <c r="U652" s="375"/>
    </row>
    <row r="653" spans="1:21" ht="15.75" customHeight="1" x14ac:dyDescent="0.25">
      <c r="A653" s="2"/>
      <c r="B653" s="19"/>
      <c r="C653" s="374"/>
      <c r="D653" s="2"/>
      <c r="E653" s="19"/>
      <c r="F653" s="19"/>
      <c r="G653" s="19"/>
      <c r="H653" s="19"/>
      <c r="I653" s="19"/>
      <c r="J653" s="19"/>
      <c r="K653" s="19"/>
      <c r="L653" s="2"/>
      <c r="M653" s="19"/>
      <c r="N653" s="19"/>
      <c r="O653" s="84"/>
      <c r="P653" s="19"/>
      <c r="Q653" s="91"/>
      <c r="R653" s="19"/>
      <c r="S653" s="91"/>
      <c r="T653" s="19"/>
      <c r="U653" s="375"/>
    </row>
    <row r="654" spans="1:21" ht="15.75" customHeight="1" x14ac:dyDescent="0.25">
      <c r="A654" s="2"/>
      <c r="B654" s="19"/>
      <c r="C654" s="374"/>
      <c r="D654" s="2"/>
      <c r="E654" s="19"/>
      <c r="F654" s="19"/>
      <c r="G654" s="19"/>
      <c r="H654" s="19"/>
      <c r="I654" s="19"/>
      <c r="J654" s="19"/>
      <c r="K654" s="19"/>
      <c r="L654" s="2"/>
      <c r="M654" s="19"/>
      <c r="N654" s="19"/>
      <c r="O654" s="84"/>
      <c r="P654" s="19"/>
      <c r="Q654" s="91"/>
      <c r="R654" s="19"/>
      <c r="S654" s="91"/>
      <c r="T654" s="19"/>
      <c r="U654" s="375"/>
    </row>
    <row r="655" spans="1:21" ht="15.75" customHeight="1" x14ac:dyDescent="0.25">
      <c r="A655" s="2"/>
      <c r="B655" s="19"/>
      <c r="C655" s="374"/>
      <c r="D655" s="2"/>
      <c r="E655" s="19"/>
      <c r="F655" s="19"/>
      <c r="G655" s="19"/>
      <c r="H655" s="19"/>
      <c r="I655" s="19"/>
      <c r="J655" s="19"/>
      <c r="K655" s="19"/>
      <c r="L655" s="2"/>
      <c r="M655" s="19"/>
      <c r="N655" s="19"/>
      <c r="O655" s="84"/>
      <c r="P655" s="19"/>
      <c r="Q655" s="91"/>
      <c r="R655" s="19"/>
      <c r="S655" s="91"/>
      <c r="T655" s="19"/>
      <c r="U655" s="375"/>
    </row>
    <row r="656" spans="1:21" ht="15.75" customHeight="1" x14ac:dyDescent="0.25">
      <c r="A656" s="2"/>
      <c r="B656" s="19"/>
      <c r="C656" s="374"/>
      <c r="D656" s="2"/>
      <c r="E656" s="19"/>
      <c r="F656" s="19"/>
      <c r="G656" s="19"/>
      <c r="H656" s="19"/>
      <c r="I656" s="19"/>
      <c r="J656" s="19"/>
      <c r="K656" s="19"/>
      <c r="L656" s="2"/>
      <c r="M656" s="19"/>
      <c r="N656" s="19"/>
      <c r="O656" s="84"/>
      <c r="P656" s="19"/>
      <c r="Q656" s="91"/>
      <c r="R656" s="19"/>
      <c r="S656" s="91"/>
      <c r="T656" s="19"/>
      <c r="U656" s="375"/>
    </row>
    <row r="657" spans="1:21" ht="15.75" customHeight="1" x14ac:dyDescent="0.25">
      <c r="A657" s="2"/>
      <c r="B657" s="19"/>
      <c r="C657" s="374"/>
      <c r="D657" s="2"/>
      <c r="E657" s="19"/>
      <c r="F657" s="19"/>
      <c r="G657" s="19"/>
      <c r="H657" s="19"/>
      <c r="I657" s="19"/>
      <c r="J657" s="19"/>
      <c r="K657" s="19"/>
      <c r="L657" s="2"/>
      <c r="M657" s="19"/>
      <c r="N657" s="19"/>
      <c r="O657" s="84"/>
      <c r="P657" s="19"/>
      <c r="Q657" s="91"/>
      <c r="R657" s="19"/>
      <c r="S657" s="91"/>
      <c r="T657" s="19"/>
      <c r="U657" s="375"/>
    </row>
    <row r="658" spans="1:21" ht="15.75" customHeight="1" x14ac:dyDescent="0.25">
      <c r="A658" s="2"/>
      <c r="B658" s="19"/>
      <c r="C658" s="374"/>
      <c r="D658" s="2"/>
      <c r="E658" s="19"/>
      <c r="F658" s="19"/>
      <c r="G658" s="19"/>
      <c r="H658" s="19"/>
      <c r="I658" s="19"/>
      <c r="J658" s="19"/>
      <c r="K658" s="19"/>
      <c r="L658" s="2"/>
      <c r="M658" s="19"/>
      <c r="N658" s="19"/>
      <c r="O658" s="84"/>
      <c r="P658" s="19"/>
      <c r="Q658" s="91"/>
      <c r="R658" s="19"/>
      <c r="S658" s="91"/>
      <c r="T658" s="19"/>
      <c r="U658" s="375"/>
    </row>
    <row r="659" spans="1:21" ht="15.75" customHeight="1" x14ac:dyDescent="0.25">
      <c r="A659" s="2"/>
      <c r="B659" s="19"/>
      <c r="C659" s="374"/>
      <c r="D659" s="2"/>
      <c r="E659" s="19"/>
      <c r="F659" s="19"/>
      <c r="G659" s="19"/>
      <c r="H659" s="19"/>
      <c r="I659" s="19"/>
      <c r="J659" s="19"/>
      <c r="K659" s="19"/>
      <c r="L659" s="2"/>
      <c r="M659" s="19"/>
      <c r="N659" s="19"/>
      <c r="O659" s="84"/>
      <c r="P659" s="19"/>
      <c r="Q659" s="91"/>
      <c r="R659" s="19"/>
      <c r="S659" s="91"/>
      <c r="T659" s="19"/>
      <c r="U659" s="375"/>
    </row>
    <row r="660" spans="1:21" ht="15.75" customHeight="1" x14ac:dyDescent="0.25">
      <c r="A660" s="2"/>
      <c r="B660" s="19"/>
      <c r="C660" s="374"/>
      <c r="D660" s="2"/>
      <c r="E660" s="19"/>
      <c r="F660" s="19"/>
      <c r="G660" s="19"/>
      <c r="H660" s="19"/>
      <c r="I660" s="19"/>
      <c r="J660" s="19"/>
      <c r="K660" s="19"/>
      <c r="L660" s="2"/>
      <c r="M660" s="19"/>
      <c r="N660" s="19"/>
      <c r="O660" s="84"/>
      <c r="P660" s="19"/>
      <c r="Q660" s="91"/>
      <c r="R660" s="19"/>
      <c r="S660" s="91"/>
      <c r="T660" s="19"/>
      <c r="U660" s="375"/>
    </row>
    <row r="661" spans="1:21" ht="15.75" customHeight="1" x14ac:dyDescent="0.25">
      <c r="A661" s="2"/>
      <c r="B661" s="19"/>
      <c r="C661" s="374"/>
      <c r="D661" s="2"/>
      <c r="E661" s="19"/>
      <c r="F661" s="19"/>
      <c r="G661" s="19"/>
      <c r="H661" s="19"/>
      <c r="I661" s="19"/>
      <c r="J661" s="19"/>
      <c r="K661" s="19"/>
      <c r="L661" s="2"/>
      <c r="M661" s="19"/>
      <c r="N661" s="19"/>
      <c r="O661" s="84"/>
      <c r="P661" s="19"/>
      <c r="Q661" s="91"/>
      <c r="R661" s="19"/>
      <c r="S661" s="91"/>
      <c r="T661" s="19"/>
      <c r="U661" s="375"/>
    </row>
    <row r="662" spans="1:21" ht="15.75" customHeight="1" x14ac:dyDescent="0.25">
      <c r="A662" s="2"/>
      <c r="B662" s="19"/>
      <c r="C662" s="374"/>
      <c r="D662" s="2"/>
      <c r="E662" s="19"/>
      <c r="F662" s="19"/>
      <c r="G662" s="19"/>
      <c r="H662" s="19"/>
      <c r="I662" s="19"/>
      <c r="J662" s="19"/>
      <c r="K662" s="19"/>
      <c r="L662" s="2"/>
      <c r="M662" s="19"/>
      <c r="N662" s="19"/>
      <c r="O662" s="84"/>
      <c r="P662" s="19"/>
      <c r="Q662" s="91"/>
      <c r="R662" s="19"/>
      <c r="S662" s="91"/>
      <c r="T662" s="19"/>
      <c r="U662" s="375"/>
    </row>
    <row r="663" spans="1:21" ht="15.75" customHeight="1" x14ac:dyDescent="0.25">
      <c r="A663" s="2"/>
      <c r="B663" s="19"/>
      <c r="C663" s="374"/>
      <c r="D663" s="2"/>
      <c r="E663" s="19"/>
      <c r="F663" s="19"/>
      <c r="G663" s="19"/>
      <c r="H663" s="19"/>
      <c r="I663" s="19"/>
      <c r="J663" s="19"/>
      <c r="K663" s="19"/>
      <c r="L663" s="2"/>
      <c r="M663" s="19"/>
      <c r="N663" s="19"/>
      <c r="O663" s="84"/>
      <c r="P663" s="19"/>
      <c r="Q663" s="91"/>
      <c r="R663" s="19"/>
      <c r="S663" s="91"/>
      <c r="T663" s="19"/>
      <c r="U663" s="375"/>
    </row>
    <row r="664" spans="1:21" ht="15.75" customHeight="1" x14ac:dyDescent="0.25">
      <c r="A664" s="2"/>
      <c r="B664" s="19"/>
      <c r="C664" s="374"/>
      <c r="D664" s="2"/>
      <c r="E664" s="19"/>
      <c r="F664" s="19"/>
      <c r="G664" s="19"/>
      <c r="H664" s="19"/>
      <c r="I664" s="19"/>
      <c r="J664" s="19"/>
      <c r="K664" s="19"/>
      <c r="L664" s="2"/>
      <c r="M664" s="19"/>
      <c r="N664" s="19"/>
      <c r="O664" s="84"/>
      <c r="P664" s="19"/>
      <c r="Q664" s="91"/>
      <c r="R664" s="19"/>
      <c r="S664" s="91"/>
      <c r="T664" s="19"/>
      <c r="U664" s="375"/>
    </row>
    <row r="665" spans="1:21" ht="15.75" customHeight="1" x14ac:dyDescent="0.25">
      <c r="A665" s="2"/>
      <c r="B665" s="19"/>
      <c r="C665" s="374"/>
      <c r="D665" s="2"/>
      <c r="E665" s="19"/>
      <c r="F665" s="19"/>
      <c r="G665" s="19"/>
      <c r="H665" s="19"/>
      <c r="I665" s="19"/>
      <c r="J665" s="19"/>
      <c r="K665" s="19"/>
      <c r="L665" s="2"/>
      <c r="M665" s="19"/>
      <c r="N665" s="19"/>
      <c r="O665" s="84"/>
      <c r="P665" s="19"/>
      <c r="Q665" s="91"/>
      <c r="R665" s="19"/>
      <c r="S665" s="91"/>
      <c r="T665" s="19"/>
      <c r="U665" s="375"/>
    </row>
    <row r="666" spans="1:21" ht="15.75" customHeight="1" x14ac:dyDescent="0.25">
      <c r="A666" s="2"/>
      <c r="B666" s="19"/>
      <c r="C666" s="374"/>
      <c r="D666" s="2"/>
      <c r="E666" s="19"/>
      <c r="F666" s="19"/>
      <c r="G666" s="19"/>
      <c r="H666" s="19"/>
      <c r="I666" s="19"/>
      <c r="J666" s="19"/>
      <c r="K666" s="19"/>
      <c r="L666" s="2"/>
      <c r="M666" s="19"/>
      <c r="N666" s="19"/>
      <c r="O666" s="84"/>
      <c r="P666" s="19"/>
      <c r="Q666" s="91"/>
      <c r="R666" s="19"/>
      <c r="S666" s="91"/>
      <c r="T666" s="19"/>
      <c r="U666" s="375"/>
    </row>
    <row r="667" spans="1:21" ht="15.75" customHeight="1" x14ac:dyDescent="0.25">
      <c r="A667" s="2"/>
      <c r="B667" s="19"/>
      <c r="C667" s="374"/>
      <c r="D667" s="2"/>
      <c r="E667" s="19"/>
      <c r="F667" s="19"/>
      <c r="G667" s="19"/>
      <c r="H667" s="19"/>
      <c r="I667" s="19"/>
      <c r="J667" s="19"/>
      <c r="K667" s="19"/>
      <c r="L667" s="2"/>
      <c r="M667" s="19"/>
      <c r="N667" s="19"/>
      <c r="O667" s="84"/>
      <c r="P667" s="19"/>
      <c r="Q667" s="91"/>
      <c r="R667" s="19"/>
      <c r="S667" s="91"/>
      <c r="T667" s="19"/>
      <c r="U667" s="375"/>
    </row>
    <row r="668" spans="1:21" ht="15.75" customHeight="1" x14ac:dyDescent="0.25">
      <c r="A668" s="2"/>
      <c r="B668" s="19"/>
      <c r="C668" s="374"/>
      <c r="D668" s="2"/>
      <c r="E668" s="19"/>
      <c r="F668" s="19"/>
      <c r="G668" s="19"/>
      <c r="H668" s="19"/>
      <c r="I668" s="19"/>
      <c r="J668" s="19"/>
      <c r="K668" s="19"/>
      <c r="L668" s="2"/>
      <c r="M668" s="19"/>
      <c r="N668" s="19"/>
      <c r="O668" s="84"/>
      <c r="P668" s="19"/>
      <c r="Q668" s="91"/>
      <c r="R668" s="19"/>
      <c r="S668" s="91"/>
      <c r="T668" s="19"/>
      <c r="U668" s="375"/>
    </row>
    <row r="669" spans="1:21" ht="15.75" customHeight="1" x14ac:dyDescent="0.25">
      <c r="A669" s="2"/>
      <c r="B669" s="19"/>
      <c r="C669" s="374"/>
      <c r="D669" s="2"/>
      <c r="E669" s="19"/>
      <c r="F669" s="19"/>
      <c r="G669" s="19"/>
      <c r="H669" s="19"/>
      <c r="I669" s="19"/>
      <c r="J669" s="19"/>
      <c r="K669" s="19"/>
      <c r="L669" s="2"/>
      <c r="M669" s="19"/>
      <c r="N669" s="19"/>
      <c r="O669" s="84"/>
      <c r="P669" s="19"/>
      <c r="Q669" s="91"/>
      <c r="R669" s="19"/>
      <c r="S669" s="91"/>
      <c r="T669" s="19"/>
      <c r="U669" s="375"/>
    </row>
    <row r="670" spans="1:21" ht="15.75" customHeight="1" x14ac:dyDescent="0.25">
      <c r="A670" s="2"/>
      <c r="B670" s="19"/>
      <c r="C670" s="374"/>
      <c r="D670" s="2"/>
      <c r="E670" s="19"/>
      <c r="F670" s="19"/>
      <c r="G670" s="19"/>
      <c r="H670" s="19"/>
      <c r="I670" s="19"/>
      <c r="J670" s="19"/>
      <c r="K670" s="19"/>
      <c r="L670" s="2"/>
      <c r="M670" s="19"/>
      <c r="N670" s="19"/>
      <c r="O670" s="84"/>
      <c r="P670" s="19"/>
      <c r="Q670" s="91"/>
      <c r="R670" s="19"/>
      <c r="S670" s="91"/>
      <c r="T670" s="19"/>
      <c r="U670" s="375"/>
    </row>
    <row r="671" spans="1:21" ht="15.75" customHeight="1" x14ac:dyDescent="0.25">
      <c r="A671" s="2"/>
      <c r="B671" s="19"/>
      <c r="C671" s="374"/>
      <c r="D671" s="2"/>
      <c r="E671" s="19"/>
      <c r="F671" s="19"/>
      <c r="G671" s="19"/>
      <c r="H671" s="19"/>
      <c r="I671" s="19"/>
      <c r="J671" s="19"/>
      <c r="K671" s="19"/>
      <c r="L671" s="2"/>
      <c r="M671" s="19"/>
      <c r="N671" s="19"/>
      <c r="O671" s="84"/>
      <c r="P671" s="19"/>
      <c r="Q671" s="91"/>
      <c r="R671" s="19"/>
      <c r="S671" s="91"/>
      <c r="T671" s="19"/>
      <c r="U671" s="375"/>
    </row>
    <row r="672" spans="1:21" ht="15.75" customHeight="1" x14ac:dyDescent="0.25">
      <c r="A672" s="2"/>
      <c r="B672" s="19"/>
      <c r="C672" s="374"/>
      <c r="D672" s="2"/>
      <c r="E672" s="19"/>
      <c r="F672" s="19"/>
      <c r="G672" s="19"/>
      <c r="H672" s="19"/>
      <c r="I672" s="19"/>
      <c r="J672" s="19"/>
      <c r="K672" s="19"/>
      <c r="L672" s="2"/>
      <c r="M672" s="19"/>
      <c r="N672" s="19"/>
      <c r="O672" s="84"/>
      <c r="P672" s="19"/>
      <c r="Q672" s="91"/>
      <c r="R672" s="19"/>
      <c r="S672" s="91"/>
      <c r="T672" s="19"/>
      <c r="U672" s="375"/>
    </row>
    <row r="673" spans="1:21" ht="15.75" customHeight="1" x14ac:dyDescent="0.25">
      <c r="A673" s="2"/>
      <c r="B673" s="19"/>
      <c r="C673" s="374"/>
      <c r="D673" s="2"/>
      <c r="E673" s="19"/>
      <c r="F673" s="19"/>
      <c r="G673" s="19"/>
      <c r="H673" s="19"/>
      <c r="I673" s="19"/>
      <c r="J673" s="19"/>
      <c r="K673" s="19"/>
      <c r="L673" s="2"/>
      <c r="M673" s="19"/>
      <c r="N673" s="19"/>
      <c r="O673" s="84"/>
      <c r="P673" s="19"/>
      <c r="Q673" s="91"/>
      <c r="R673" s="19"/>
      <c r="S673" s="91"/>
      <c r="T673" s="19"/>
      <c r="U673" s="375"/>
    </row>
    <row r="674" spans="1:21" ht="15.75" customHeight="1" x14ac:dyDescent="0.25">
      <c r="A674" s="2"/>
      <c r="B674" s="19"/>
      <c r="C674" s="374"/>
      <c r="D674" s="2"/>
      <c r="E674" s="19"/>
      <c r="F674" s="19"/>
      <c r="G674" s="19"/>
      <c r="H674" s="19"/>
      <c r="I674" s="19"/>
      <c r="J674" s="19"/>
      <c r="K674" s="19"/>
      <c r="L674" s="2"/>
      <c r="M674" s="19"/>
      <c r="N674" s="19"/>
      <c r="O674" s="84"/>
      <c r="P674" s="19"/>
      <c r="Q674" s="91"/>
      <c r="R674" s="19"/>
      <c r="S674" s="91"/>
      <c r="T674" s="19"/>
      <c r="U674" s="375"/>
    </row>
    <row r="675" spans="1:21" ht="15.75" customHeight="1" x14ac:dyDescent="0.25">
      <c r="A675" s="2"/>
      <c r="B675" s="19"/>
      <c r="C675" s="374"/>
      <c r="D675" s="2"/>
      <c r="E675" s="19"/>
      <c r="F675" s="19"/>
      <c r="G675" s="19"/>
      <c r="H675" s="19"/>
      <c r="I675" s="19"/>
      <c r="J675" s="19"/>
      <c r="K675" s="19"/>
      <c r="L675" s="2"/>
      <c r="M675" s="19"/>
      <c r="N675" s="19"/>
      <c r="O675" s="84"/>
      <c r="P675" s="19"/>
      <c r="Q675" s="91"/>
      <c r="R675" s="19"/>
      <c r="S675" s="91"/>
      <c r="T675" s="19"/>
      <c r="U675" s="375"/>
    </row>
    <row r="676" spans="1:21" ht="15.75" customHeight="1" x14ac:dyDescent="0.25">
      <c r="A676" s="2"/>
      <c r="B676" s="19"/>
      <c r="C676" s="374"/>
      <c r="D676" s="2"/>
      <c r="E676" s="19"/>
      <c r="F676" s="19"/>
      <c r="G676" s="19"/>
      <c r="H676" s="19"/>
      <c r="I676" s="19"/>
      <c r="J676" s="19"/>
      <c r="K676" s="19"/>
      <c r="L676" s="2"/>
      <c r="M676" s="19"/>
      <c r="N676" s="19"/>
      <c r="O676" s="84"/>
      <c r="P676" s="19"/>
      <c r="Q676" s="91"/>
      <c r="R676" s="19"/>
      <c r="S676" s="91"/>
      <c r="T676" s="19"/>
      <c r="U676" s="375"/>
    </row>
    <row r="677" spans="1:21" ht="15.75" customHeight="1" x14ac:dyDescent="0.25">
      <c r="A677" s="2"/>
      <c r="B677" s="19"/>
      <c r="C677" s="374"/>
      <c r="D677" s="2"/>
      <c r="E677" s="19"/>
      <c r="F677" s="19"/>
      <c r="G677" s="19"/>
      <c r="H677" s="19"/>
      <c r="I677" s="19"/>
      <c r="J677" s="19"/>
      <c r="K677" s="19"/>
      <c r="L677" s="2"/>
      <c r="M677" s="19"/>
      <c r="N677" s="19"/>
      <c r="O677" s="84"/>
      <c r="P677" s="19"/>
      <c r="Q677" s="91"/>
      <c r="R677" s="19"/>
      <c r="S677" s="91"/>
      <c r="T677" s="19"/>
      <c r="U677" s="375"/>
    </row>
    <row r="678" spans="1:21" ht="15.75" customHeight="1" x14ac:dyDescent="0.25">
      <c r="A678" s="2"/>
      <c r="B678" s="19"/>
      <c r="C678" s="374"/>
      <c r="D678" s="2"/>
      <c r="E678" s="19"/>
      <c r="F678" s="19"/>
      <c r="G678" s="19"/>
      <c r="H678" s="19"/>
      <c r="I678" s="19"/>
      <c r="J678" s="19"/>
      <c r="K678" s="19"/>
      <c r="L678" s="2"/>
      <c r="M678" s="19"/>
      <c r="N678" s="19"/>
      <c r="O678" s="84"/>
      <c r="P678" s="19"/>
      <c r="Q678" s="91"/>
      <c r="R678" s="19"/>
      <c r="S678" s="91"/>
      <c r="T678" s="19"/>
      <c r="U678" s="375"/>
    </row>
    <row r="679" spans="1:21" ht="15.75" customHeight="1" x14ac:dyDescent="0.25">
      <c r="A679" s="2"/>
      <c r="B679" s="19"/>
      <c r="C679" s="374"/>
      <c r="D679" s="2"/>
      <c r="E679" s="19"/>
      <c r="F679" s="19"/>
      <c r="G679" s="19"/>
      <c r="H679" s="19"/>
      <c r="I679" s="19"/>
      <c r="J679" s="19"/>
      <c r="K679" s="19"/>
      <c r="L679" s="2"/>
      <c r="M679" s="19"/>
      <c r="N679" s="19"/>
      <c r="O679" s="84"/>
      <c r="P679" s="19"/>
      <c r="Q679" s="91"/>
      <c r="R679" s="19"/>
      <c r="S679" s="91"/>
      <c r="T679" s="19"/>
      <c r="U679" s="375"/>
    </row>
    <row r="680" spans="1:21" ht="15.75" customHeight="1" x14ac:dyDescent="0.25">
      <c r="A680" s="2"/>
      <c r="B680" s="19"/>
      <c r="C680" s="374"/>
      <c r="D680" s="2"/>
      <c r="E680" s="19"/>
      <c r="F680" s="19"/>
      <c r="G680" s="19"/>
      <c r="H680" s="19"/>
      <c r="I680" s="19"/>
      <c r="J680" s="19"/>
      <c r="K680" s="19"/>
      <c r="L680" s="2"/>
      <c r="M680" s="19"/>
      <c r="N680" s="19"/>
      <c r="O680" s="84"/>
      <c r="P680" s="19"/>
      <c r="Q680" s="91"/>
      <c r="R680" s="19"/>
      <c r="S680" s="91"/>
      <c r="T680" s="19"/>
      <c r="U680" s="375"/>
    </row>
    <row r="681" spans="1:21" ht="15.75" customHeight="1" x14ac:dyDescent="0.25">
      <c r="A681" s="2"/>
      <c r="B681" s="19"/>
      <c r="C681" s="374"/>
      <c r="D681" s="2"/>
      <c r="E681" s="19"/>
      <c r="F681" s="19"/>
      <c r="G681" s="19"/>
      <c r="H681" s="19"/>
      <c r="I681" s="19"/>
      <c r="J681" s="19"/>
      <c r="K681" s="19"/>
      <c r="L681" s="2"/>
      <c r="M681" s="19"/>
      <c r="N681" s="19"/>
      <c r="O681" s="84"/>
      <c r="P681" s="19"/>
      <c r="Q681" s="91"/>
      <c r="R681" s="19"/>
      <c r="S681" s="91"/>
      <c r="T681" s="19"/>
      <c r="U681" s="375"/>
    </row>
    <row r="682" spans="1:21" ht="15.75" customHeight="1" x14ac:dyDescent="0.25">
      <c r="A682" s="2"/>
      <c r="B682" s="19"/>
      <c r="C682" s="374"/>
      <c r="D682" s="2"/>
      <c r="E682" s="19"/>
      <c r="F682" s="19"/>
      <c r="G682" s="19"/>
      <c r="H682" s="19"/>
      <c r="I682" s="19"/>
      <c r="J682" s="19"/>
      <c r="K682" s="19"/>
      <c r="L682" s="2"/>
      <c r="M682" s="19"/>
      <c r="N682" s="19"/>
      <c r="O682" s="84"/>
      <c r="P682" s="19"/>
      <c r="Q682" s="91"/>
      <c r="R682" s="19"/>
      <c r="S682" s="91"/>
      <c r="T682" s="19"/>
      <c r="U682" s="375"/>
    </row>
    <row r="683" spans="1:21" ht="15.75" customHeight="1" x14ac:dyDescent="0.25">
      <c r="A683" s="2"/>
      <c r="B683" s="19"/>
      <c r="C683" s="374"/>
      <c r="D683" s="2"/>
      <c r="E683" s="19"/>
      <c r="F683" s="19"/>
      <c r="G683" s="19"/>
      <c r="H683" s="19"/>
      <c r="I683" s="19"/>
      <c r="J683" s="19"/>
      <c r="K683" s="19"/>
      <c r="L683" s="2"/>
      <c r="M683" s="19"/>
      <c r="N683" s="19"/>
      <c r="O683" s="84"/>
      <c r="P683" s="19"/>
      <c r="Q683" s="91"/>
      <c r="R683" s="19"/>
      <c r="S683" s="91"/>
      <c r="T683" s="19"/>
      <c r="U683" s="375"/>
    </row>
    <row r="684" spans="1:21" ht="15.75" customHeight="1" x14ac:dyDescent="0.25">
      <c r="A684" s="2"/>
      <c r="B684" s="19"/>
      <c r="C684" s="374"/>
      <c r="D684" s="2"/>
      <c r="E684" s="19"/>
      <c r="F684" s="19"/>
      <c r="G684" s="19"/>
      <c r="H684" s="19"/>
      <c r="I684" s="19"/>
      <c r="J684" s="19"/>
      <c r="K684" s="19"/>
      <c r="L684" s="2"/>
      <c r="M684" s="19"/>
      <c r="N684" s="19"/>
      <c r="O684" s="84"/>
      <c r="P684" s="19"/>
      <c r="Q684" s="91"/>
      <c r="R684" s="19"/>
      <c r="S684" s="91"/>
      <c r="T684" s="19"/>
      <c r="U684" s="375"/>
    </row>
    <row r="685" spans="1:21" ht="15.75" customHeight="1" x14ac:dyDescent="0.25">
      <c r="A685" s="2"/>
      <c r="B685" s="19"/>
      <c r="C685" s="374"/>
      <c r="D685" s="2"/>
      <c r="E685" s="19"/>
      <c r="F685" s="19"/>
      <c r="G685" s="19"/>
      <c r="H685" s="19"/>
      <c r="I685" s="19"/>
      <c r="J685" s="19"/>
      <c r="K685" s="19"/>
      <c r="L685" s="2"/>
      <c r="M685" s="19"/>
      <c r="N685" s="19"/>
      <c r="O685" s="84"/>
      <c r="P685" s="19"/>
      <c r="Q685" s="91"/>
      <c r="R685" s="19"/>
      <c r="S685" s="91"/>
      <c r="T685" s="19"/>
      <c r="U685" s="375"/>
    </row>
    <row r="686" spans="1:21" ht="15.75" customHeight="1" x14ac:dyDescent="0.25">
      <c r="A686" s="2"/>
      <c r="B686" s="19"/>
      <c r="C686" s="374"/>
      <c r="D686" s="2"/>
      <c r="E686" s="19"/>
      <c r="F686" s="19"/>
      <c r="G686" s="19"/>
      <c r="H686" s="19"/>
      <c r="I686" s="19"/>
      <c r="J686" s="19"/>
      <c r="K686" s="19"/>
      <c r="L686" s="2"/>
      <c r="M686" s="19"/>
      <c r="N686" s="19"/>
      <c r="O686" s="84"/>
      <c r="P686" s="19"/>
      <c r="Q686" s="91"/>
      <c r="R686" s="19"/>
      <c r="S686" s="91"/>
      <c r="T686" s="19"/>
      <c r="U686" s="375"/>
    </row>
    <row r="687" spans="1:21" ht="15.75" customHeight="1" x14ac:dyDescent="0.25">
      <c r="A687" s="2"/>
      <c r="B687" s="19"/>
      <c r="C687" s="374"/>
      <c r="D687" s="2"/>
      <c r="E687" s="19"/>
      <c r="F687" s="19"/>
      <c r="G687" s="19"/>
      <c r="H687" s="19"/>
      <c r="I687" s="19"/>
      <c r="J687" s="19"/>
      <c r="K687" s="19"/>
      <c r="L687" s="2"/>
      <c r="M687" s="19"/>
      <c r="N687" s="19"/>
      <c r="O687" s="84"/>
      <c r="P687" s="19"/>
      <c r="Q687" s="91"/>
      <c r="R687" s="19"/>
      <c r="S687" s="91"/>
      <c r="T687" s="19"/>
      <c r="U687" s="375"/>
    </row>
    <row r="688" spans="1:21" ht="15.75" customHeight="1" x14ac:dyDescent="0.25">
      <c r="A688" s="2"/>
      <c r="B688" s="19"/>
      <c r="C688" s="374"/>
      <c r="D688" s="2"/>
      <c r="E688" s="19"/>
      <c r="F688" s="19"/>
      <c r="G688" s="19"/>
      <c r="H688" s="19"/>
      <c r="I688" s="19"/>
      <c r="J688" s="19"/>
      <c r="K688" s="19"/>
      <c r="L688" s="2"/>
      <c r="M688" s="19"/>
      <c r="N688" s="19"/>
      <c r="O688" s="84"/>
      <c r="P688" s="19"/>
      <c r="Q688" s="91"/>
      <c r="R688" s="19"/>
      <c r="S688" s="91"/>
      <c r="T688" s="19"/>
      <c r="U688" s="375"/>
    </row>
    <row r="689" spans="1:21" ht="15.75" customHeight="1" x14ac:dyDescent="0.25">
      <c r="A689" s="2"/>
      <c r="B689" s="19"/>
      <c r="C689" s="374"/>
      <c r="D689" s="2"/>
      <c r="E689" s="19"/>
      <c r="F689" s="19"/>
      <c r="G689" s="19"/>
      <c r="H689" s="19"/>
      <c r="I689" s="19"/>
      <c r="J689" s="19"/>
      <c r="K689" s="19"/>
      <c r="L689" s="2"/>
      <c r="M689" s="19"/>
      <c r="N689" s="19"/>
      <c r="O689" s="84"/>
      <c r="P689" s="19"/>
      <c r="Q689" s="91"/>
      <c r="R689" s="19"/>
      <c r="S689" s="91"/>
      <c r="T689" s="19"/>
      <c r="U689" s="375"/>
    </row>
    <row r="690" spans="1:21" ht="15.75" customHeight="1" x14ac:dyDescent="0.25">
      <c r="A690" s="2"/>
      <c r="B690" s="19"/>
      <c r="C690" s="374"/>
      <c r="D690" s="2"/>
      <c r="E690" s="19"/>
      <c r="F690" s="19"/>
      <c r="G690" s="19"/>
      <c r="H690" s="19"/>
      <c r="I690" s="19"/>
      <c r="J690" s="19"/>
      <c r="K690" s="19"/>
      <c r="L690" s="2"/>
      <c r="M690" s="19"/>
      <c r="N690" s="19"/>
      <c r="O690" s="84"/>
      <c r="P690" s="19"/>
      <c r="Q690" s="91"/>
      <c r="R690" s="19"/>
      <c r="S690" s="91"/>
      <c r="T690" s="19"/>
      <c r="U690" s="375"/>
    </row>
    <row r="691" spans="1:21" ht="15.75" customHeight="1" x14ac:dyDescent="0.25">
      <c r="A691" s="2"/>
      <c r="B691" s="19"/>
      <c r="C691" s="374"/>
      <c r="D691" s="2"/>
      <c r="E691" s="19"/>
      <c r="F691" s="19"/>
      <c r="G691" s="19"/>
      <c r="H691" s="19"/>
      <c r="I691" s="19"/>
      <c r="J691" s="19"/>
      <c r="K691" s="19"/>
      <c r="L691" s="2"/>
      <c r="M691" s="19"/>
      <c r="N691" s="19"/>
      <c r="O691" s="84"/>
      <c r="P691" s="19"/>
      <c r="Q691" s="91"/>
      <c r="R691" s="19"/>
      <c r="S691" s="91"/>
      <c r="T691" s="19"/>
      <c r="U691" s="375"/>
    </row>
    <row r="692" spans="1:21" ht="15.75" customHeight="1" x14ac:dyDescent="0.25">
      <c r="A692" s="2"/>
      <c r="B692" s="19"/>
      <c r="C692" s="374"/>
      <c r="D692" s="2"/>
      <c r="E692" s="19"/>
      <c r="F692" s="19"/>
      <c r="G692" s="19"/>
      <c r="H692" s="19"/>
      <c r="I692" s="19"/>
      <c r="J692" s="19"/>
      <c r="K692" s="19"/>
      <c r="L692" s="2"/>
      <c r="M692" s="19"/>
      <c r="N692" s="19"/>
      <c r="O692" s="84"/>
      <c r="P692" s="19"/>
      <c r="Q692" s="91"/>
      <c r="R692" s="19"/>
      <c r="S692" s="91"/>
      <c r="T692" s="19"/>
      <c r="U692" s="375"/>
    </row>
    <row r="693" spans="1:21" ht="15.75" customHeight="1" x14ac:dyDescent="0.25">
      <c r="A693" s="2"/>
      <c r="B693" s="19"/>
      <c r="C693" s="374"/>
      <c r="D693" s="2"/>
      <c r="E693" s="19"/>
      <c r="F693" s="19"/>
      <c r="G693" s="19"/>
      <c r="H693" s="19"/>
      <c r="I693" s="19"/>
      <c r="J693" s="19"/>
      <c r="K693" s="19"/>
      <c r="L693" s="2"/>
      <c r="M693" s="19"/>
      <c r="N693" s="19"/>
      <c r="O693" s="84"/>
      <c r="P693" s="19"/>
      <c r="Q693" s="91"/>
      <c r="R693" s="19"/>
      <c r="S693" s="91"/>
      <c r="T693" s="19"/>
      <c r="U693" s="375"/>
    </row>
    <row r="694" spans="1:21" ht="15.75" customHeight="1" x14ac:dyDescent="0.25">
      <c r="A694" s="2"/>
      <c r="B694" s="19"/>
      <c r="C694" s="374"/>
      <c r="D694" s="2"/>
      <c r="E694" s="19"/>
      <c r="F694" s="19"/>
      <c r="G694" s="19"/>
      <c r="H694" s="19"/>
      <c r="I694" s="19"/>
      <c r="J694" s="19"/>
      <c r="K694" s="19"/>
      <c r="L694" s="2"/>
      <c r="M694" s="19"/>
      <c r="N694" s="19"/>
      <c r="O694" s="84"/>
      <c r="P694" s="19"/>
      <c r="Q694" s="91"/>
      <c r="R694" s="19"/>
      <c r="S694" s="91"/>
      <c r="T694" s="19"/>
      <c r="U694" s="375"/>
    </row>
    <row r="695" spans="1:21" ht="15.75" customHeight="1" x14ac:dyDescent="0.25">
      <c r="A695" s="2"/>
      <c r="B695" s="19"/>
      <c r="C695" s="374"/>
      <c r="D695" s="2"/>
      <c r="E695" s="19"/>
      <c r="F695" s="19"/>
      <c r="G695" s="19"/>
      <c r="H695" s="19"/>
      <c r="I695" s="19"/>
      <c r="J695" s="19"/>
      <c r="K695" s="19"/>
      <c r="L695" s="2"/>
      <c r="M695" s="19"/>
      <c r="N695" s="19"/>
      <c r="O695" s="84"/>
      <c r="P695" s="19"/>
      <c r="Q695" s="91"/>
      <c r="R695" s="19"/>
      <c r="S695" s="91"/>
      <c r="T695" s="19"/>
      <c r="U695" s="375"/>
    </row>
    <row r="696" spans="1:21" ht="15.75" customHeight="1" x14ac:dyDescent="0.25">
      <c r="A696" s="2"/>
      <c r="B696" s="19"/>
      <c r="C696" s="374"/>
      <c r="D696" s="2"/>
      <c r="E696" s="19"/>
      <c r="F696" s="19"/>
      <c r="G696" s="19"/>
      <c r="H696" s="19"/>
      <c r="I696" s="19"/>
      <c r="J696" s="19"/>
      <c r="K696" s="19"/>
      <c r="L696" s="2"/>
      <c r="M696" s="19"/>
      <c r="N696" s="19"/>
      <c r="O696" s="84"/>
      <c r="P696" s="19"/>
      <c r="Q696" s="91"/>
      <c r="R696" s="19"/>
      <c r="S696" s="91"/>
      <c r="T696" s="19"/>
      <c r="U696" s="375"/>
    </row>
    <row r="697" spans="1:21" ht="15.75" customHeight="1" x14ac:dyDescent="0.25">
      <c r="A697" s="2"/>
      <c r="B697" s="19"/>
      <c r="C697" s="374"/>
      <c r="D697" s="2"/>
      <c r="E697" s="19"/>
      <c r="F697" s="19"/>
      <c r="G697" s="19"/>
      <c r="H697" s="19"/>
      <c r="I697" s="19"/>
      <c r="J697" s="19"/>
      <c r="K697" s="19"/>
      <c r="L697" s="2"/>
      <c r="M697" s="19"/>
      <c r="N697" s="19"/>
      <c r="O697" s="84"/>
      <c r="P697" s="19"/>
      <c r="Q697" s="91"/>
      <c r="R697" s="19"/>
      <c r="S697" s="91"/>
      <c r="T697" s="19"/>
      <c r="U697" s="375"/>
    </row>
    <row r="698" spans="1:21" ht="15.75" customHeight="1" x14ac:dyDescent="0.25">
      <c r="A698" s="2"/>
      <c r="B698" s="19"/>
      <c r="C698" s="374"/>
      <c r="D698" s="2"/>
      <c r="E698" s="19"/>
      <c r="F698" s="19"/>
      <c r="G698" s="19"/>
      <c r="H698" s="19"/>
      <c r="I698" s="19"/>
      <c r="J698" s="19"/>
      <c r="K698" s="19"/>
      <c r="L698" s="2"/>
      <c r="M698" s="19"/>
      <c r="N698" s="19"/>
      <c r="O698" s="84"/>
      <c r="P698" s="19"/>
      <c r="Q698" s="91"/>
      <c r="R698" s="19"/>
      <c r="S698" s="91"/>
      <c r="T698" s="19"/>
      <c r="U698" s="375"/>
    </row>
    <row r="699" spans="1:21" ht="15.75" customHeight="1" x14ac:dyDescent="0.25">
      <c r="A699" s="2"/>
      <c r="B699" s="19"/>
      <c r="C699" s="374"/>
      <c r="D699" s="2"/>
      <c r="E699" s="19"/>
      <c r="F699" s="19"/>
      <c r="G699" s="19"/>
      <c r="H699" s="19"/>
      <c r="I699" s="19"/>
      <c r="J699" s="19"/>
      <c r="K699" s="19"/>
      <c r="L699" s="2"/>
      <c r="M699" s="19"/>
      <c r="N699" s="19"/>
      <c r="O699" s="84"/>
      <c r="P699" s="19"/>
      <c r="Q699" s="91"/>
      <c r="R699" s="19"/>
      <c r="S699" s="91"/>
      <c r="T699" s="19"/>
      <c r="U699" s="375"/>
    </row>
    <row r="700" spans="1:21" ht="15.75" customHeight="1" x14ac:dyDescent="0.25">
      <c r="A700" s="2"/>
      <c r="B700" s="19"/>
      <c r="C700" s="374"/>
      <c r="D700" s="2"/>
      <c r="E700" s="19"/>
      <c r="F700" s="19"/>
      <c r="G700" s="19"/>
      <c r="H700" s="19"/>
      <c r="I700" s="19"/>
      <c r="J700" s="19"/>
      <c r="K700" s="19"/>
      <c r="L700" s="2"/>
      <c r="M700" s="19"/>
      <c r="N700" s="19"/>
      <c r="O700" s="84"/>
      <c r="P700" s="19"/>
      <c r="Q700" s="91"/>
      <c r="R700" s="19"/>
      <c r="S700" s="91"/>
      <c r="T700" s="19"/>
      <c r="U700" s="375"/>
    </row>
    <row r="701" spans="1:21" ht="15.75" customHeight="1" x14ac:dyDescent="0.25">
      <c r="A701" s="2"/>
      <c r="B701" s="19"/>
      <c r="C701" s="374"/>
      <c r="D701" s="2"/>
      <c r="E701" s="19"/>
      <c r="F701" s="19"/>
      <c r="G701" s="19"/>
      <c r="H701" s="19"/>
      <c r="I701" s="19"/>
      <c r="J701" s="19"/>
      <c r="K701" s="19"/>
      <c r="L701" s="2"/>
      <c r="M701" s="19"/>
      <c r="N701" s="19"/>
      <c r="O701" s="84"/>
      <c r="P701" s="19"/>
      <c r="Q701" s="91"/>
      <c r="R701" s="19"/>
      <c r="S701" s="91"/>
      <c r="T701" s="19"/>
      <c r="U701" s="375"/>
    </row>
    <row r="702" spans="1:21" ht="15.75" customHeight="1" x14ac:dyDescent="0.25">
      <c r="A702" s="2"/>
      <c r="B702" s="19"/>
      <c r="C702" s="374"/>
      <c r="D702" s="2"/>
      <c r="E702" s="19"/>
      <c r="F702" s="19"/>
      <c r="G702" s="19"/>
      <c r="H702" s="19"/>
      <c r="I702" s="19"/>
      <c r="J702" s="19"/>
      <c r="K702" s="19"/>
      <c r="L702" s="2"/>
      <c r="M702" s="19"/>
      <c r="N702" s="19"/>
      <c r="O702" s="84"/>
      <c r="P702" s="19"/>
      <c r="Q702" s="91"/>
      <c r="R702" s="19"/>
      <c r="S702" s="91"/>
      <c r="T702" s="19"/>
      <c r="U702" s="375"/>
    </row>
    <row r="703" spans="1:21" ht="15.75" customHeight="1" x14ac:dyDescent="0.25">
      <c r="A703" s="2"/>
      <c r="B703" s="19"/>
      <c r="C703" s="374"/>
      <c r="D703" s="2"/>
      <c r="E703" s="19"/>
      <c r="F703" s="19"/>
      <c r="G703" s="19"/>
      <c r="H703" s="19"/>
      <c r="I703" s="19"/>
      <c r="J703" s="19"/>
      <c r="K703" s="19"/>
      <c r="L703" s="2"/>
      <c r="M703" s="19"/>
      <c r="N703" s="19"/>
      <c r="O703" s="84"/>
      <c r="P703" s="19"/>
      <c r="Q703" s="91"/>
      <c r="R703" s="19"/>
      <c r="S703" s="91"/>
      <c r="T703" s="19"/>
      <c r="U703" s="375"/>
    </row>
    <row r="704" spans="1:21" ht="15.75" customHeight="1" x14ac:dyDescent="0.25">
      <c r="A704" s="2"/>
      <c r="B704" s="19"/>
      <c r="C704" s="374"/>
      <c r="D704" s="2"/>
      <c r="E704" s="19"/>
      <c r="F704" s="19"/>
      <c r="G704" s="19"/>
      <c r="H704" s="19"/>
      <c r="I704" s="19"/>
      <c r="J704" s="19"/>
      <c r="K704" s="19"/>
      <c r="L704" s="2"/>
      <c r="M704" s="19"/>
      <c r="N704" s="19"/>
      <c r="O704" s="84"/>
      <c r="P704" s="19"/>
      <c r="Q704" s="91"/>
      <c r="R704" s="19"/>
      <c r="S704" s="91"/>
      <c r="T704" s="19"/>
      <c r="U704" s="375"/>
    </row>
    <row r="705" spans="1:21" ht="15.75" customHeight="1" x14ac:dyDescent="0.25">
      <c r="A705" s="2"/>
      <c r="B705" s="19"/>
      <c r="C705" s="374"/>
      <c r="D705" s="2"/>
      <c r="E705" s="19"/>
      <c r="F705" s="19"/>
      <c r="G705" s="19"/>
      <c r="H705" s="19"/>
      <c r="I705" s="19"/>
      <c r="J705" s="19"/>
      <c r="K705" s="19"/>
      <c r="L705" s="2"/>
      <c r="M705" s="19"/>
      <c r="N705" s="19"/>
      <c r="O705" s="84"/>
      <c r="P705" s="19"/>
      <c r="Q705" s="91"/>
      <c r="R705" s="19"/>
      <c r="S705" s="91"/>
      <c r="T705" s="19"/>
      <c r="U705" s="375"/>
    </row>
    <row r="706" spans="1:21" ht="15.75" customHeight="1" x14ac:dyDescent="0.25">
      <c r="A706" s="2"/>
      <c r="B706" s="19"/>
      <c r="C706" s="374"/>
      <c r="D706" s="2"/>
      <c r="E706" s="19"/>
      <c r="F706" s="19"/>
      <c r="G706" s="19"/>
      <c r="H706" s="19"/>
      <c r="I706" s="19"/>
      <c r="J706" s="19"/>
      <c r="K706" s="19"/>
      <c r="L706" s="2"/>
      <c r="M706" s="19"/>
      <c r="N706" s="19"/>
      <c r="O706" s="84"/>
      <c r="P706" s="19"/>
      <c r="Q706" s="91"/>
      <c r="R706" s="19"/>
      <c r="S706" s="91"/>
      <c r="T706" s="19"/>
      <c r="U706" s="375"/>
    </row>
    <row r="707" spans="1:21" ht="15.75" customHeight="1" x14ac:dyDescent="0.25">
      <c r="A707" s="2"/>
      <c r="B707" s="19"/>
      <c r="C707" s="374"/>
      <c r="D707" s="2"/>
      <c r="E707" s="19"/>
      <c r="F707" s="19"/>
      <c r="G707" s="19"/>
      <c r="H707" s="19"/>
      <c r="I707" s="19"/>
      <c r="J707" s="19"/>
      <c r="K707" s="19"/>
      <c r="L707" s="2"/>
      <c r="M707" s="19"/>
      <c r="N707" s="19"/>
      <c r="O707" s="84"/>
      <c r="P707" s="19"/>
      <c r="Q707" s="91"/>
      <c r="R707" s="19"/>
      <c r="S707" s="91"/>
      <c r="T707" s="19"/>
      <c r="U707" s="375"/>
    </row>
    <row r="708" spans="1:21" ht="15.75" customHeight="1" x14ac:dyDescent="0.25">
      <c r="A708" s="2"/>
      <c r="B708" s="19"/>
      <c r="C708" s="374"/>
      <c r="D708" s="2"/>
      <c r="E708" s="19"/>
      <c r="F708" s="19"/>
      <c r="G708" s="19"/>
      <c r="H708" s="19"/>
      <c r="I708" s="19"/>
      <c r="J708" s="19"/>
      <c r="K708" s="19"/>
      <c r="L708" s="2"/>
      <c r="M708" s="19"/>
      <c r="N708" s="19"/>
      <c r="O708" s="84"/>
      <c r="P708" s="19"/>
      <c r="Q708" s="91"/>
      <c r="R708" s="19"/>
      <c r="S708" s="91"/>
      <c r="T708" s="19"/>
      <c r="U708" s="375"/>
    </row>
    <row r="709" spans="1:21" ht="15.75" customHeight="1" x14ac:dyDescent="0.25">
      <c r="A709" s="2"/>
      <c r="B709" s="19"/>
      <c r="C709" s="374"/>
      <c r="D709" s="2"/>
      <c r="E709" s="19"/>
      <c r="F709" s="19"/>
      <c r="G709" s="19"/>
      <c r="H709" s="19"/>
      <c r="I709" s="19"/>
      <c r="J709" s="19"/>
      <c r="K709" s="19"/>
      <c r="L709" s="2"/>
      <c r="M709" s="19"/>
      <c r="N709" s="19"/>
      <c r="O709" s="84"/>
      <c r="P709" s="19"/>
      <c r="Q709" s="91"/>
      <c r="R709" s="19"/>
      <c r="S709" s="91"/>
      <c r="T709" s="19"/>
      <c r="U709" s="375"/>
    </row>
    <row r="710" spans="1:21" ht="15.75" customHeight="1" x14ac:dyDescent="0.25">
      <c r="A710" s="2"/>
      <c r="B710" s="19"/>
      <c r="C710" s="374"/>
      <c r="D710" s="2"/>
      <c r="E710" s="19"/>
      <c r="F710" s="19"/>
      <c r="G710" s="19"/>
      <c r="H710" s="19"/>
      <c r="I710" s="19"/>
      <c r="J710" s="19"/>
      <c r="K710" s="19"/>
      <c r="L710" s="2"/>
      <c r="M710" s="19"/>
      <c r="N710" s="19"/>
      <c r="O710" s="84"/>
      <c r="P710" s="19"/>
      <c r="Q710" s="91"/>
      <c r="R710" s="19"/>
      <c r="S710" s="91"/>
      <c r="T710" s="19"/>
      <c r="U710" s="375"/>
    </row>
    <row r="711" spans="1:21" ht="15.75" customHeight="1" x14ac:dyDescent="0.25">
      <c r="A711" s="2"/>
      <c r="B711" s="19"/>
      <c r="C711" s="374"/>
      <c r="D711" s="2"/>
      <c r="E711" s="19"/>
      <c r="F711" s="19"/>
      <c r="G711" s="19"/>
      <c r="H711" s="19"/>
      <c r="I711" s="19"/>
      <c r="J711" s="19"/>
      <c r="K711" s="19"/>
      <c r="L711" s="2"/>
      <c r="M711" s="19"/>
      <c r="N711" s="19"/>
      <c r="O711" s="84"/>
      <c r="P711" s="19"/>
      <c r="Q711" s="91"/>
      <c r="R711" s="19"/>
      <c r="S711" s="91"/>
      <c r="T711" s="19"/>
      <c r="U711" s="375"/>
    </row>
    <row r="712" spans="1:21" ht="15.75" customHeight="1" x14ac:dyDescent="0.25">
      <c r="A712" s="2"/>
      <c r="B712" s="19"/>
      <c r="C712" s="374"/>
      <c r="D712" s="2"/>
      <c r="E712" s="19"/>
      <c r="F712" s="19"/>
      <c r="G712" s="19"/>
      <c r="H712" s="19"/>
      <c r="I712" s="19"/>
      <c r="J712" s="19"/>
      <c r="K712" s="19"/>
      <c r="L712" s="2"/>
      <c r="M712" s="19"/>
      <c r="N712" s="19"/>
      <c r="O712" s="84"/>
      <c r="P712" s="19"/>
      <c r="Q712" s="91"/>
      <c r="R712" s="19"/>
      <c r="S712" s="91"/>
      <c r="T712" s="19"/>
      <c r="U712" s="375"/>
    </row>
    <row r="713" spans="1:21" ht="15.75" customHeight="1" x14ac:dyDescent="0.25">
      <c r="A713" s="2"/>
      <c r="B713" s="19"/>
      <c r="C713" s="374"/>
      <c r="D713" s="2"/>
      <c r="E713" s="19"/>
      <c r="F713" s="19"/>
      <c r="G713" s="19"/>
      <c r="H713" s="19"/>
      <c r="I713" s="19"/>
      <c r="J713" s="19"/>
      <c r="K713" s="19"/>
      <c r="L713" s="2"/>
      <c r="M713" s="19"/>
      <c r="N713" s="19"/>
      <c r="O713" s="84"/>
      <c r="P713" s="19"/>
      <c r="Q713" s="91"/>
      <c r="R713" s="19"/>
      <c r="S713" s="91"/>
      <c r="T713" s="19"/>
      <c r="U713" s="375"/>
    </row>
    <row r="714" spans="1:21" ht="15.75" customHeight="1" x14ac:dyDescent="0.25">
      <c r="A714" s="2"/>
      <c r="B714" s="19"/>
      <c r="C714" s="374"/>
      <c r="D714" s="2"/>
      <c r="E714" s="19"/>
      <c r="F714" s="19"/>
      <c r="G714" s="19"/>
      <c r="H714" s="19"/>
      <c r="I714" s="19"/>
      <c r="J714" s="19"/>
      <c r="K714" s="19"/>
      <c r="L714" s="2"/>
      <c r="M714" s="19"/>
      <c r="N714" s="19"/>
      <c r="O714" s="84"/>
      <c r="P714" s="19"/>
      <c r="Q714" s="91"/>
      <c r="R714" s="19"/>
      <c r="S714" s="91"/>
      <c r="T714" s="19"/>
      <c r="U714" s="375"/>
    </row>
    <row r="715" spans="1:21" ht="15.75" customHeight="1" x14ac:dyDescent="0.25">
      <c r="A715" s="2"/>
      <c r="B715" s="19"/>
      <c r="C715" s="374"/>
      <c r="D715" s="2"/>
      <c r="E715" s="19"/>
      <c r="F715" s="19"/>
      <c r="G715" s="19"/>
      <c r="H715" s="19"/>
      <c r="I715" s="19"/>
      <c r="J715" s="19"/>
      <c r="K715" s="19"/>
      <c r="L715" s="2"/>
      <c r="M715" s="19"/>
      <c r="N715" s="19"/>
      <c r="O715" s="84"/>
      <c r="P715" s="19"/>
      <c r="Q715" s="91"/>
      <c r="R715" s="19"/>
      <c r="S715" s="91"/>
      <c r="T715" s="19"/>
      <c r="U715" s="375"/>
    </row>
    <row r="716" spans="1:21" ht="15.75" customHeight="1" x14ac:dyDescent="0.25">
      <c r="A716" s="2"/>
      <c r="B716" s="19"/>
      <c r="C716" s="374"/>
      <c r="D716" s="2"/>
      <c r="E716" s="19"/>
      <c r="F716" s="19"/>
      <c r="G716" s="19"/>
      <c r="H716" s="19"/>
      <c r="I716" s="19"/>
      <c r="J716" s="19"/>
      <c r="K716" s="19"/>
      <c r="L716" s="2"/>
      <c r="M716" s="19"/>
      <c r="N716" s="19"/>
      <c r="O716" s="84"/>
      <c r="P716" s="19"/>
      <c r="Q716" s="91"/>
      <c r="R716" s="19"/>
      <c r="S716" s="91"/>
      <c r="T716" s="19"/>
      <c r="U716" s="375"/>
    </row>
    <row r="717" spans="1:21" ht="15.75" customHeight="1" x14ac:dyDescent="0.25">
      <c r="A717" s="2"/>
      <c r="B717" s="19"/>
      <c r="C717" s="374"/>
      <c r="D717" s="2"/>
      <c r="E717" s="19"/>
      <c r="F717" s="19"/>
      <c r="G717" s="19"/>
      <c r="H717" s="19"/>
      <c r="I717" s="19"/>
      <c r="J717" s="19"/>
      <c r="K717" s="19"/>
      <c r="L717" s="2"/>
      <c r="M717" s="19"/>
      <c r="N717" s="19"/>
      <c r="O717" s="84"/>
      <c r="P717" s="19"/>
      <c r="Q717" s="91"/>
      <c r="R717" s="19"/>
      <c r="S717" s="91"/>
      <c r="T717" s="19"/>
      <c r="U717" s="375"/>
    </row>
    <row r="718" spans="1:21" ht="15.75" customHeight="1" x14ac:dyDescent="0.25">
      <c r="A718" s="2"/>
      <c r="B718" s="19"/>
      <c r="C718" s="374"/>
      <c r="D718" s="2"/>
      <c r="E718" s="19"/>
      <c r="F718" s="19"/>
      <c r="G718" s="19"/>
      <c r="H718" s="19"/>
      <c r="I718" s="19"/>
      <c r="J718" s="19"/>
      <c r="K718" s="19"/>
      <c r="L718" s="2"/>
      <c r="M718" s="19"/>
      <c r="N718" s="19"/>
      <c r="O718" s="84"/>
      <c r="P718" s="19"/>
      <c r="Q718" s="91"/>
      <c r="R718" s="19"/>
      <c r="S718" s="91"/>
      <c r="T718" s="19"/>
      <c r="U718" s="375"/>
    </row>
    <row r="719" spans="1:21" ht="15.75" customHeight="1" x14ac:dyDescent="0.25">
      <c r="A719" s="2"/>
      <c r="B719" s="19"/>
      <c r="C719" s="374"/>
      <c r="D719" s="2"/>
      <c r="E719" s="19"/>
      <c r="F719" s="19"/>
      <c r="G719" s="19"/>
      <c r="H719" s="19"/>
      <c r="I719" s="19"/>
      <c r="J719" s="19"/>
      <c r="K719" s="19"/>
      <c r="L719" s="2"/>
      <c r="M719" s="19"/>
      <c r="N719" s="19"/>
      <c r="O719" s="84"/>
      <c r="P719" s="19"/>
      <c r="Q719" s="91"/>
      <c r="R719" s="19"/>
      <c r="S719" s="91"/>
      <c r="T719" s="19"/>
      <c r="U719" s="375"/>
    </row>
    <row r="720" spans="1:21" ht="15.75" customHeight="1" x14ac:dyDescent="0.25">
      <c r="A720" s="2"/>
      <c r="B720" s="19"/>
      <c r="C720" s="374"/>
      <c r="D720" s="2"/>
      <c r="E720" s="19"/>
      <c r="F720" s="19"/>
      <c r="G720" s="19"/>
      <c r="H720" s="19"/>
      <c r="I720" s="19"/>
      <c r="J720" s="19"/>
      <c r="K720" s="19"/>
      <c r="L720" s="2"/>
      <c r="M720" s="19"/>
      <c r="N720" s="19"/>
      <c r="O720" s="84"/>
      <c r="P720" s="19"/>
      <c r="Q720" s="91"/>
      <c r="R720" s="19"/>
      <c r="S720" s="91"/>
      <c r="T720" s="19"/>
      <c r="U720" s="375"/>
    </row>
    <row r="721" spans="1:21" ht="15.75" customHeight="1" x14ac:dyDescent="0.25">
      <c r="A721" s="2"/>
      <c r="B721" s="19"/>
      <c r="C721" s="374"/>
      <c r="D721" s="2"/>
      <c r="E721" s="19"/>
      <c r="F721" s="19"/>
      <c r="G721" s="19"/>
      <c r="H721" s="19"/>
      <c r="I721" s="19"/>
      <c r="J721" s="19"/>
      <c r="K721" s="19"/>
      <c r="L721" s="2"/>
      <c r="M721" s="19"/>
      <c r="N721" s="19"/>
      <c r="O721" s="84"/>
      <c r="P721" s="19"/>
      <c r="Q721" s="91"/>
      <c r="R721" s="19"/>
      <c r="S721" s="91"/>
      <c r="T721" s="19"/>
      <c r="U721" s="375"/>
    </row>
    <row r="722" spans="1:21" ht="15.75" customHeight="1" x14ac:dyDescent="0.25">
      <c r="A722" s="2"/>
      <c r="B722" s="19"/>
      <c r="C722" s="374"/>
      <c r="D722" s="2"/>
      <c r="E722" s="19"/>
      <c r="F722" s="19"/>
      <c r="G722" s="19"/>
      <c r="H722" s="19"/>
      <c r="I722" s="19"/>
      <c r="J722" s="19"/>
      <c r="K722" s="19"/>
      <c r="L722" s="2"/>
      <c r="M722" s="19"/>
      <c r="N722" s="19"/>
      <c r="O722" s="84"/>
      <c r="P722" s="19"/>
      <c r="Q722" s="91"/>
      <c r="R722" s="19"/>
      <c r="S722" s="91"/>
      <c r="T722" s="19"/>
      <c r="U722" s="375"/>
    </row>
    <row r="723" spans="1:21" ht="15.75" customHeight="1" x14ac:dyDescent="0.25">
      <c r="A723" s="2"/>
      <c r="B723" s="19"/>
      <c r="C723" s="374"/>
      <c r="D723" s="2"/>
      <c r="E723" s="19"/>
      <c r="F723" s="19"/>
      <c r="G723" s="19"/>
      <c r="H723" s="19"/>
      <c r="I723" s="19"/>
      <c r="J723" s="19"/>
      <c r="K723" s="19"/>
      <c r="L723" s="2"/>
      <c r="M723" s="19"/>
      <c r="N723" s="19"/>
      <c r="O723" s="84"/>
      <c r="P723" s="19"/>
      <c r="Q723" s="91"/>
      <c r="R723" s="19"/>
      <c r="S723" s="91"/>
      <c r="T723" s="19"/>
      <c r="U723" s="375"/>
    </row>
    <row r="724" spans="1:21" ht="15.75" customHeight="1" x14ac:dyDescent="0.25">
      <c r="A724" s="2"/>
      <c r="B724" s="19"/>
      <c r="C724" s="374"/>
      <c r="D724" s="2"/>
      <c r="E724" s="19"/>
      <c r="F724" s="19"/>
      <c r="G724" s="19"/>
      <c r="H724" s="19"/>
      <c r="I724" s="19"/>
      <c r="J724" s="19"/>
      <c r="K724" s="19"/>
      <c r="L724" s="2"/>
      <c r="M724" s="19"/>
      <c r="N724" s="19"/>
      <c r="O724" s="84"/>
      <c r="P724" s="19"/>
      <c r="Q724" s="91"/>
      <c r="R724" s="19"/>
      <c r="S724" s="91"/>
      <c r="T724" s="19"/>
      <c r="U724" s="375"/>
    </row>
    <row r="725" spans="1:21" ht="15.75" customHeight="1" x14ac:dyDescent="0.25">
      <c r="A725" s="2"/>
      <c r="B725" s="19"/>
      <c r="C725" s="374"/>
      <c r="D725" s="2"/>
      <c r="E725" s="19"/>
      <c r="F725" s="19"/>
      <c r="G725" s="19"/>
      <c r="H725" s="19"/>
      <c r="I725" s="19"/>
      <c r="J725" s="19"/>
      <c r="K725" s="19"/>
      <c r="L725" s="2"/>
      <c r="M725" s="19"/>
      <c r="N725" s="19"/>
      <c r="O725" s="84"/>
      <c r="P725" s="19"/>
      <c r="Q725" s="91"/>
      <c r="R725" s="19"/>
      <c r="S725" s="91"/>
      <c r="T725" s="19"/>
      <c r="U725" s="375"/>
    </row>
    <row r="726" spans="1:21" ht="15.75" customHeight="1" x14ac:dyDescent="0.25">
      <c r="A726" s="2"/>
      <c r="B726" s="19"/>
      <c r="C726" s="374"/>
      <c r="D726" s="2"/>
      <c r="E726" s="19"/>
      <c r="F726" s="19"/>
      <c r="G726" s="19"/>
      <c r="H726" s="19"/>
      <c r="I726" s="19"/>
      <c r="J726" s="19"/>
      <c r="K726" s="19"/>
      <c r="L726" s="2"/>
      <c r="M726" s="19"/>
      <c r="N726" s="19"/>
      <c r="O726" s="84"/>
      <c r="P726" s="19"/>
      <c r="Q726" s="91"/>
      <c r="R726" s="19"/>
      <c r="S726" s="91"/>
      <c r="T726" s="19"/>
      <c r="U726" s="375"/>
    </row>
    <row r="727" spans="1:21" ht="15.75" customHeight="1" x14ac:dyDescent="0.25">
      <c r="A727" s="2"/>
      <c r="B727" s="19"/>
      <c r="C727" s="374"/>
      <c r="D727" s="2"/>
      <c r="E727" s="19"/>
      <c r="F727" s="19"/>
      <c r="G727" s="19"/>
      <c r="H727" s="19"/>
      <c r="I727" s="19"/>
      <c r="J727" s="19"/>
      <c r="K727" s="19"/>
      <c r="L727" s="2"/>
      <c r="M727" s="19"/>
      <c r="N727" s="19"/>
      <c r="O727" s="84"/>
      <c r="P727" s="19"/>
      <c r="Q727" s="91"/>
      <c r="R727" s="19"/>
      <c r="S727" s="91"/>
      <c r="T727" s="19"/>
      <c r="U727" s="375"/>
    </row>
    <row r="728" spans="1:21" ht="15.75" customHeight="1" x14ac:dyDescent="0.25">
      <c r="A728" s="2"/>
      <c r="B728" s="19"/>
      <c r="C728" s="374"/>
      <c r="D728" s="2"/>
      <c r="E728" s="19"/>
      <c r="F728" s="19"/>
      <c r="G728" s="19"/>
      <c r="H728" s="19"/>
      <c r="I728" s="19"/>
      <c r="J728" s="19"/>
      <c r="K728" s="19"/>
      <c r="L728" s="2"/>
      <c r="M728" s="19"/>
      <c r="N728" s="19"/>
      <c r="O728" s="84"/>
      <c r="P728" s="19"/>
      <c r="Q728" s="91"/>
      <c r="R728" s="19"/>
      <c r="S728" s="91"/>
      <c r="T728" s="19"/>
      <c r="U728" s="375"/>
    </row>
    <row r="729" spans="1:21" ht="15.75" customHeight="1" x14ac:dyDescent="0.25">
      <c r="A729" s="2"/>
      <c r="B729" s="19"/>
      <c r="C729" s="374"/>
      <c r="D729" s="2"/>
      <c r="E729" s="19"/>
      <c r="F729" s="19"/>
      <c r="G729" s="19"/>
      <c r="H729" s="19"/>
      <c r="I729" s="19"/>
      <c r="J729" s="19"/>
      <c r="K729" s="19"/>
      <c r="L729" s="2"/>
      <c r="M729" s="19"/>
      <c r="N729" s="19"/>
      <c r="O729" s="84"/>
      <c r="P729" s="19"/>
      <c r="Q729" s="91"/>
      <c r="R729" s="19"/>
      <c r="S729" s="91"/>
      <c r="T729" s="19"/>
      <c r="U729" s="375"/>
    </row>
    <row r="730" spans="1:21" ht="15.75" customHeight="1" x14ac:dyDescent="0.25">
      <c r="A730" s="2"/>
      <c r="B730" s="19"/>
      <c r="C730" s="374"/>
      <c r="D730" s="2"/>
      <c r="E730" s="19"/>
      <c r="F730" s="19"/>
      <c r="G730" s="19"/>
      <c r="H730" s="19"/>
      <c r="I730" s="19"/>
      <c r="J730" s="19"/>
      <c r="K730" s="19"/>
      <c r="L730" s="2"/>
      <c r="M730" s="19"/>
      <c r="N730" s="19"/>
      <c r="O730" s="84"/>
      <c r="P730" s="19"/>
      <c r="Q730" s="91"/>
      <c r="R730" s="19"/>
      <c r="S730" s="91"/>
      <c r="T730" s="19"/>
      <c r="U730" s="375"/>
    </row>
    <row r="731" spans="1:21" ht="15.75" customHeight="1" x14ac:dyDescent="0.25">
      <c r="A731" s="2"/>
      <c r="B731" s="19"/>
      <c r="C731" s="374"/>
      <c r="D731" s="2"/>
      <c r="E731" s="19"/>
      <c r="F731" s="19"/>
      <c r="G731" s="19"/>
      <c r="H731" s="19"/>
      <c r="I731" s="19"/>
      <c r="J731" s="19"/>
      <c r="K731" s="19"/>
      <c r="L731" s="2"/>
      <c r="M731" s="19"/>
      <c r="N731" s="19"/>
      <c r="O731" s="84"/>
      <c r="P731" s="19"/>
      <c r="Q731" s="91"/>
      <c r="R731" s="19"/>
      <c r="S731" s="91"/>
      <c r="T731" s="19"/>
      <c r="U731" s="375"/>
    </row>
    <row r="732" spans="1:21" ht="15.75" customHeight="1" x14ac:dyDescent="0.25">
      <c r="A732" s="2"/>
      <c r="B732" s="19"/>
      <c r="C732" s="374"/>
      <c r="D732" s="2"/>
      <c r="E732" s="19"/>
      <c r="F732" s="19"/>
      <c r="G732" s="19"/>
      <c r="H732" s="19"/>
      <c r="I732" s="19"/>
      <c r="J732" s="19"/>
      <c r="K732" s="19"/>
      <c r="L732" s="2"/>
      <c r="M732" s="19"/>
      <c r="N732" s="19"/>
      <c r="O732" s="84"/>
      <c r="P732" s="19"/>
      <c r="Q732" s="91"/>
      <c r="R732" s="19"/>
      <c r="S732" s="91"/>
      <c r="T732" s="19"/>
      <c r="U732" s="375"/>
    </row>
    <row r="733" spans="1:21" ht="15.75" customHeight="1" x14ac:dyDescent="0.25">
      <c r="A733" s="2"/>
      <c r="B733" s="19"/>
      <c r="C733" s="374"/>
      <c r="D733" s="2"/>
      <c r="E733" s="19"/>
      <c r="F733" s="19"/>
      <c r="G733" s="19"/>
      <c r="H733" s="19"/>
      <c r="I733" s="19"/>
      <c r="J733" s="19"/>
      <c r="K733" s="19"/>
      <c r="L733" s="2"/>
      <c r="M733" s="19"/>
      <c r="N733" s="19"/>
      <c r="O733" s="84"/>
      <c r="P733" s="19"/>
      <c r="Q733" s="91"/>
      <c r="R733" s="19"/>
      <c r="S733" s="91"/>
      <c r="T733" s="19"/>
      <c r="U733" s="375"/>
    </row>
    <row r="734" spans="1:21" ht="15.75" customHeight="1" x14ac:dyDescent="0.25">
      <c r="A734" s="2"/>
      <c r="B734" s="19"/>
      <c r="C734" s="374"/>
      <c r="D734" s="2"/>
      <c r="E734" s="19"/>
      <c r="F734" s="19"/>
      <c r="G734" s="19"/>
      <c r="H734" s="19"/>
      <c r="I734" s="19"/>
      <c r="J734" s="19"/>
      <c r="K734" s="19"/>
      <c r="L734" s="2"/>
      <c r="M734" s="19"/>
      <c r="N734" s="19"/>
      <c r="O734" s="84"/>
      <c r="P734" s="19"/>
      <c r="Q734" s="91"/>
      <c r="R734" s="19"/>
      <c r="S734" s="91"/>
      <c r="T734" s="19"/>
      <c r="U734" s="375"/>
    </row>
    <row r="735" spans="1:21" ht="15.75" customHeight="1" x14ac:dyDescent="0.25">
      <c r="A735" s="2"/>
      <c r="B735" s="19"/>
      <c r="C735" s="374"/>
      <c r="D735" s="2"/>
      <c r="E735" s="19"/>
      <c r="F735" s="19"/>
      <c r="G735" s="19"/>
      <c r="H735" s="19"/>
      <c r="I735" s="19"/>
      <c r="J735" s="19"/>
      <c r="K735" s="19"/>
      <c r="L735" s="2"/>
      <c r="M735" s="19"/>
      <c r="N735" s="19"/>
      <c r="O735" s="84"/>
      <c r="P735" s="19"/>
      <c r="Q735" s="91"/>
      <c r="R735" s="19"/>
      <c r="S735" s="91"/>
      <c r="T735" s="19"/>
      <c r="U735" s="375"/>
    </row>
    <row r="736" spans="1:21" ht="15.75" customHeight="1" x14ac:dyDescent="0.25">
      <c r="A736" s="2"/>
      <c r="B736" s="19"/>
      <c r="C736" s="374"/>
      <c r="D736" s="2"/>
      <c r="E736" s="19"/>
      <c r="F736" s="19"/>
      <c r="G736" s="19"/>
      <c r="H736" s="19"/>
      <c r="I736" s="19"/>
      <c r="J736" s="19"/>
      <c r="K736" s="19"/>
      <c r="L736" s="2"/>
      <c r="M736" s="19"/>
      <c r="N736" s="19"/>
      <c r="O736" s="84"/>
      <c r="P736" s="19"/>
      <c r="Q736" s="91"/>
      <c r="R736" s="19"/>
      <c r="S736" s="91"/>
      <c r="T736" s="19"/>
      <c r="U736" s="375"/>
    </row>
    <row r="737" spans="1:21" ht="15.75" customHeight="1" x14ac:dyDescent="0.25">
      <c r="A737" s="2"/>
      <c r="B737" s="19"/>
      <c r="C737" s="374"/>
      <c r="D737" s="2"/>
      <c r="E737" s="19"/>
      <c r="F737" s="19"/>
      <c r="G737" s="19"/>
      <c r="H737" s="19"/>
      <c r="I737" s="19"/>
      <c r="J737" s="19"/>
      <c r="K737" s="19"/>
      <c r="L737" s="2"/>
      <c r="M737" s="19"/>
      <c r="N737" s="19"/>
      <c r="O737" s="84"/>
      <c r="P737" s="19"/>
      <c r="Q737" s="91"/>
      <c r="R737" s="19"/>
      <c r="S737" s="91"/>
      <c r="T737" s="19"/>
      <c r="U737" s="375"/>
    </row>
    <row r="738" spans="1:21" ht="15.75" customHeight="1" x14ac:dyDescent="0.25">
      <c r="A738" s="2"/>
      <c r="B738" s="19"/>
      <c r="C738" s="374"/>
      <c r="D738" s="2"/>
      <c r="E738" s="19"/>
      <c r="F738" s="19"/>
      <c r="G738" s="19"/>
      <c r="H738" s="19"/>
      <c r="I738" s="19"/>
      <c r="J738" s="19"/>
      <c r="K738" s="19"/>
      <c r="L738" s="2"/>
      <c r="M738" s="19"/>
      <c r="N738" s="19"/>
      <c r="O738" s="84"/>
      <c r="P738" s="19"/>
      <c r="Q738" s="91"/>
      <c r="R738" s="19"/>
      <c r="S738" s="91"/>
      <c r="T738" s="19"/>
      <c r="U738" s="375"/>
    </row>
    <row r="739" spans="1:21" ht="15.75" customHeight="1" x14ac:dyDescent="0.25">
      <c r="A739" s="2"/>
      <c r="B739" s="19"/>
      <c r="C739" s="374"/>
      <c r="D739" s="2"/>
      <c r="E739" s="19"/>
      <c r="F739" s="19"/>
      <c r="G739" s="19"/>
      <c r="H739" s="19"/>
      <c r="I739" s="19"/>
      <c r="J739" s="19"/>
      <c r="K739" s="19"/>
      <c r="L739" s="2"/>
      <c r="M739" s="19"/>
      <c r="N739" s="19"/>
      <c r="O739" s="84"/>
      <c r="P739" s="19"/>
      <c r="Q739" s="91"/>
      <c r="R739" s="19"/>
      <c r="S739" s="91"/>
      <c r="T739" s="19"/>
      <c r="U739" s="375"/>
    </row>
    <row r="740" spans="1:21" ht="15.75" customHeight="1" x14ac:dyDescent="0.25">
      <c r="A740" s="2"/>
      <c r="B740" s="19"/>
      <c r="C740" s="374"/>
      <c r="D740" s="2"/>
      <c r="E740" s="19"/>
      <c r="F740" s="19"/>
      <c r="G740" s="19"/>
      <c r="H740" s="19"/>
      <c r="I740" s="19"/>
      <c r="J740" s="19"/>
      <c r="K740" s="19"/>
      <c r="L740" s="2"/>
      <c r="M740" s="19"/>
      <c r="N740" s="19"/>
      <c r="O740" s="84"/>
      <c r="P740" s="19"/>
      <c r="Q740" s="91"/>
      <c r="R740" s="19"/>
      <c r="S740" s="91"/>
      <c r="T740" s="19"/>
      <c r="U740" s="375"/>
    </row>
    <row r="741" spans="1:21" ht="15.75" customHeight="1" x14ac:dyDescent="0.25">
      <c r="A741" s="2"/>
      <c r="B741" s="19"/>
      <c r="C741" s="374"/>
      <c r="D741" s="2"/>
      <c r="E741" s="19"/>
      <c r="F741" s="19"/>
      <c r="G741" s="19"/>
      <c r="H741" s="19"/>
      <c r="I741" s="19"/>
      <c r="J741" s="19"/>
      <c r="K741" s="19"/>
      <c r="L741" s="2"/>
      <c r="M741" s="19"/>
      <c r="N741" s="19"/>
      <c r="O741" s="84"/>
      <c r="P741" s="19"/>
      <c r="Q741" s="91"/>
      <c r="R741" s="19"/>
      <c r="S741" s="91"/>
      <c r="T741" s="19"/>
      <c r="U741" s="375"/>
    </row>
    <row r="742" spans="1:21" ht="15.75" customHeight="1" x14ac:dyDescent="0.25">
      <c r="A742" s="2"/>
      <c r="B742" s="19"/>
      <c r="C742" s="374"/>
      <c r="D742" s="2"/>
      <c r="E742" s="19"/>
      <c r="F742" s="19"/>
      <c r="G742" s="19"/>
      <c r="H742" s="19"/>
      <c r="I742" s="19"/>
      <c r="J742" s="19"/>
      <c r="K742" s="19"/>
      <c r="L742" s="2"/>
      <c r="M742" s="19"/>
      <c r="N742" s="19"/>
      <c r="O742" s="84"/>
      <c r="P742" s="19"/>
      <c r="Q742" s="91"/>
      <c r="R742" s="19"/>
      <c r="S742" s="91"/>
      <c r="T742" s="19"/>
      <c r="U742" s="375"/>
    </row>
    <row r="743" spans="1:21" ht="15.75" customHeight="1" x14ac:dyDescent="0.25">
      <c r="A743" s="2"/>
      <c r="B743" s="19"/>
      <c r="C743" s="374"/>
      <c r="D743" s="2"/>
      <c r="E743" s="19"/>
      <c r="F743" s="19"/>
      <c r="G743" s="19"/>
      <c r="H743" s="19"/>
      <c r="I743" s="19"/>
      <c r="J743" s="19"/>
      <c r="K743" s="19"/>
      <c r="L743" s="2"/>
      <c r="M743" s="19"/>
      <c r="N743" s="19"/>
      <c r="O743" s="84"/>
      <c r="P743" s="19"/>
      <c r="Q743" s="91"/>
      <c r="R743" s="19"/>
      <c r="S743" s="91"/>
      <c r="T743" s="19"/>
      <c r="U743" s="375"/>
    </row>
    <row r="744" spans="1:21" ht="15.75" customHeight="1" x14ac:dyDescent="0.25">
      <c r="A744" s="2"/>
      <c r="B744" s="19"/>
      <c r="C744" s="374"/>
      <c r="D744" s="2"/>
      <c r="E744" s="19"/>
      <c r="F744" s="19"/>
      <c r="G744" s="19"/>
      <c r="H744" s="19"/>
      <c r="I744" s="19"/>
      <c r="J744" s="19"/>
      <c r="K744" s="19"/>
      <c r="L744" s="2"/>
      <c r="M744" s="19"/>
      <c r="N744" s="19"/>
      <c r="O744" s="84"/>
      <c r="P744" s="19"/>
      <c r="Q744" s="91"/>
      <c r="R744" s="19"/>
      <c r="S744" s="91"/>
      <c r="T744" s="19"/>
      <c r="U744" s="375"/>
    </row>
    <row r="745" spans="1:21" ht="15.75" customHeight="1" x14ac:dyDescent="0.25">
      <c r="A745" s="2"/>
      <c r="B745" s="19"/>
      <c r="C745" s="374"/>
      <c r="D745" s="2"/>
      <c r="E745" s="19"/>
      <c r="F745" s="19"/>
      <c r="G745" s="19"/>
      <c r="H745" s="19"/>
      <c r="I745" s="19"/>
      <c r="J745" s="19"/>
      <c r="K745" s="19"/>
      <c r="L745" s="2"/>
      <c r="M745" s="19"/>
      <c r="N745" s="19"/>
      <c r="O745" s="84"/>
      <c r="P745" s="19"/>
      <c r="Q745" s="91"/>
      <c r="R745" s="19"/>
      <c r="S745" s="91"/>
      <c r="T745" s="19"/>
      <c r="U745" s="375"/>
    </row>
    <row r="746" spans="1:21" ht="15.75" customHeight="1" x14ac:dyDescent="0.25">
      <c r="A746" s="2"/>
      <c r="B746" s="19"/>
      <c r="C746" s="374"/>
      <c r="D746" s="2"/>
      <c r="E746" s="19"/>
      <c r="F746" s="19"/>
      <c r="G746" s="19"/>
      <c r="H746" s="19"/>
      <c r="I746" s="19"/>
      <c r="J746" s="19"/>
      <c r="K746" s="19"/>
      <c r="L746" s="2"/>
      <c r="M746" s="19"/>
      <c r="N746" s="19"/>
      <c r="O746" s="84"/>
      <c r="P746" s="19"/>
      <c r="Q746" s="91"/>
      <c r="R746" s="19"/>
      <c r="S746" s="91"/>
      <c r="T746" s="19"/>
      <c r="U746" s="375"/>
    </row>
    <row r="747" spans="1:21" ht="15.75" customHeight="1" x14ac:dyDescent="0.25">
      <c r="A747" s="2"/>
      <c r="B747" s="19"/>
      <c r="C747" s="374"/>
      <c r="D747" s="2"/>
      <c r="E747" s="19"/>
      <c r="F747" s="19"/>
      <c r="G747" s="19"/>
      <c r="H747" s="19"/>
      <c r="I747" s="19"/>
      <c r="J747" s="19"/>
      <c r="K747" s="19"/>
      <c r="L747" s="2"/>
      <c r="M747" s="19"/>
      <c r="N747" s="19"/>
      <c r="O747" s="84"/>
      <c r="P747" s="19"/>
      <c r="Q747" s="91"/>
      <c r="R747" s="19"/>
      <c r="S747" s="91"/>
      <c r="T747" s="19"/>
      <c r="U747" s="375"/>
    </row>
    <row r="748" spans="1:21" ht="15.75" customHeight="1" x14ac:dyDescent="0.25">
      <c r="A748" s="2"/>
      <c r="B748" s="19"/>
      <c r="C748" s="374"/>
      <c r="D748" s="2"/>
      <c r="E748" s="19"/>
      <c r="F748" s="19"/>
      <c r="G748" s="19"/>
      <c r="H748" s="19"/>
      <c r="I748" s="19"/>
      <c r="J748" s="19"/>
      <c r="K748" s="19"/>
      <c r="L748" s="2"/>
      <c r="M748" s="19"/>
      <c r="N748" s="19"/>
      <c r="O748" s="84"/>
      <c r="P748" s="19"/>
      <c r="Q748" s="91"/>
      <c r="R748" s="19"/>
      <c r="S748" s="91"/>
      <c r="T748" s="19"/>
      <c r="U748" s="375"/>
    </row>
    <row r="749" spans="1:21" ht="15.75" customHeight="1" x14ac:dyDescent="0.25">
      <c r="A749" s="2"/>
      <c r="B749" s="19"/>
      <c r="C749" s="374"/>
      <c r="D749" s="2"/>
      <c r="E749" s="19"/>
      <c r="F749" s="19"/>
      <c r="G749" s="19"/>
      <c r="H749" s="19"/>
      <c r="I749" s="19"/>
      <c r="J749" s="19"/>
      <c r="K749" s="19"/>
      <c r="L749" s="2"/>
      <c r="M749" s="19"/>
      <c r="N749" s="19"/>
      <c r="O749" s="84"/>
      <c r="P749" s="19"/>
      <c r="Q749" s="91"/>
      <c r="R749" s="19"/>
      <c r="S749" s="91"/>
      <c r="T749" s="19"/>
      <c r="U749" s="375"/>
    </row>
    <row r="750" spans="1:21" ht="15.75" customHeight="1" x14ac:dyDescent="0.25">
      <c r="A750" s="2"/>
      <c r="B750" s="19"/>
      <c r="C750" s="374"/>
      <c r="D750" s="2"/>
      <c r="E750" s="19"/>
      <c r="F750" s="19"/>
      <c r="G750" s="19"/>
      <c r="H750" s="19"/>
      <c r="I750" s="19"/>
      <c r="J750" s="19"/>
      <c r="K750" s="19"/>
      <c r="L750" s="2"/>
      <c r="M750" s="19"/>
      <c r="N750" s="19"/>
      <c r="O750" s="84"/>
      <c r="P750" s="19"/>
      <c r="Q750" s="91"/>
      <c r="R750" s="19"/>
      <c r="S750" s="91"/>
      <c r="T750" s="19"/>
      <c r="U750" s="375"/>
    </row>
    <row r="751" spans="1:21" ht="15.75" customHeight="1" x14ac:dyDescent="0.25">
      <c r="A751" s="2"/>
      <c r="B751" s="19"/>
      <c r="C751" s="374"/>
      <c r="D751" s="2"/>
      <c r="E751" s="19"/>
      <c r="F751" s="19"/>
      <c r="G751" s="19"/>
      <c r="H751" s="19"/>
      <c r="I751" s="19"/>
      <c r="J751" s="19"/>
      <c r="K751" s="19"/>
      <c r="L751" s="2"/>
      <c r="M751" s="19"/>
      <c r="N751" s="19"/>
      <c r="O751" s="84"/>
      <c r="P751" s="19"/>
      <c r="Q751" s="91"/>
      <c r="R751" s="19"/>
      <c r="S751" s="91"/>
      <c r="T751" s="19"/>
      <c r="U751" s="375"/>
    </row>
    <row r="752" spans="1:21" ht="15.75" customHeight="1" x14ac:dyDescent="0.25">
      <c r="A752" s="2"/>
      <c r="B752" s="19"/>
      <c r="C752" s="374"/>
      <c r="D752" s="2"/>
      <c r="E752" s="19"/>
      <c r="F752" s="19"/>
      <c r="G752" s="19"/>
      <c r="H752" s="19"/>
      <c r="I752" s="19"/>
      <c r="J752" s="19"/>
      <c r="K752" s="19"/>
      <c r="L752" s="2"/>
      <c r="M752" s="19"/>
      <c r="N752" s="19"/>
      <c r="O752" s="84"/>
      <c r="P752" s="19"/>
      <c r="Q752" s="91"/>
      <c r="R752" s="19"/>
      <c r="S752" s="91"/>
      <c r="T752" s="19"/>
      <c r="U752" s="375"/>
    </row>
    <row r="753" spans="1:21" ht="15.75" customHeight="1" x14ac:dyDescent="0.25">
      <c r="A753" s="2"/>
      <c r="B753" s="19"/>
      <c r="C753" s="374"/>
      <c r="D753" s="2"/>
      <c r="E753" s="19"/>
      <c r="F753" s="19"/>
      <c r="G753" s="19"/>
      <c r="H753" s="19"/>
      <c r="I753" s="19"/>
      <c r="J753" s="19"/>
      <c r="K753" s="19"/>
      <c r="L753" s="2"/>
      <c r="M753" s="19"/>
      <c r="N753" s="19"/>
      <c r="O753" s="84"/>
      <c r="P753" s="19"/>
      <c r="Q753" s="91"/>
      <c r="R753" s="19"/>
      <c r="S753" s="91"/>
      <c r="T753" s="19"/>
      <c r="U753" s="375"/>
    </row>
    <row r="754" spans="1:21" ht="15.75" customHeight="1" x14ac:dyDescent="0.25">
      <c r="A754" s="2"/>
      <c r="B754" s="19"/>
      <c r="C754" s="374"/>
      <c r="D754" s="2"/>
      <c r="E754" s="19"/>
      <c r="F754" s="19"/>
      <c r="G754" s="19"/>
      <c r="H754" s="19"/>
      <c r="I754" s="19"/>
      <c r="J754" s="19"/>
      <c r="K754" s="19"/>
      <c r="L754" s="2"/>
      <c r="M754" s="19"/>
      <c r="N754" s="19"/>
      <c r="O754" s="84"/>
      <c r="P754" s="19"/>
      <c r="Q754" s="91"/>
      <c r="R754" s="19"/>
      <c r="S754" s="91"/>
      <c r="T754" s="19"/>
      <c r="U754" s="375"/>
    </row>
    <row r="755" spans="1:21" ht="15.75" customHeight="1" x14ac:dyDescent="0.25">
      <c r="A755" s="2"/>
      <c r="B755" s="19"/>
      <c r="C755" s="374"/>
      <c r="D755" s="2"/>
      <c r="E755" s="19"/>
      <c r="F755" s="19"/>
      <c r="G755" s="19"/>
      <c r="H755" s="19"/>
      <c r="I755" s="19"/>
      <c r="J755" s="19"/>
      <c r="K755" s="19"/>
      <c r="L755" s="2"/>
      <c r="M755" s="19"/>
      <c r="N755" s="19"/>
      <c r="O755" s="84"/>
      <c r="P755" s="19"/>
      <c r="Q755" s="91"/>
      <c r="R755" s="19"/>
      <c r="S755" s="91"/>
      <c r="T755" s="19"/>
      <c r="U755" s="375"/>
    </row>
    <row r="756" spans="1:21" ht="15.75" customHeight="1" x14ac:dyDescent="0.25">
      <c r="A756" s="2"/>
      <c r="B756" s="19"/>
      <c r="C756" s="374"/>
      <c r="D756" s="2"/>
      <c r="E756" s="19"/>
      <c r="F756" s="19"/>
      <c r="G756" s="19"/>
      <c r="H756" s="19"/>
      <c r="I756" s="19"/>
      <c r="J756" s="19"/>
      <c r="K756" s="19"/>
      <c r="L756" s="2"/>
      <c r="M756" s="19"/>
      <c r="N756" s="19"/>
      <c r="O756" s="84"/>
      <c r="P756" s="19"/>
      <c r="Q756" s="91"/>
      <c r="R756" s="19"/>
      <c r="S756" s="91"/>
      <c r="T756" s="19"/>
      <c r="U756" s="375"/>
    </row>
    <row r="757" spans="1:21" ht="15.75" customHeight="1" x14ac:dyDescent="0.25">
      <c r="A757" s="2"/>
      <c r="B757" s="19"/>
      <c r="C757" s="374"/>
      <c r="D757" s="2"/>
      <c r="E757" s="19"/>
      <c r="F757" s="19"/>
      <c r="G757" s="19"/>
      <c r="H757" s="19"/>
      <c r="I757" s="19"/>
      <c r="J757" s="19"/>
      <c r="K757" s="19"/>
      <c r="L757" s="2"/>
      <c r="M757" s="19"/>
      <c r="N757" s="19"/>
      <c r="O757" s="84"/>
      <c r="P757" s="19"/>
      <c r="Q757" s="91"/>
      <c r="R757" s="19"/>
      <c r="S757" s="91"/>
      <c r="T757" s="19"/>
      <c r="U757" s="375"/>
    </row>
    <row r="758" spans="1:21" ht="15.75" customHeight="1" x14ac:dyDescent="0.25">
      <c r="A758" s="2"/>
      <c r="B758" s="19"/>
      <c r="C758" s="374"/>
      <c r="D758" s="2"/>
      <c r="E758" s="19"/>
      <c r="F758" s="19"/>
      <c r="G758" s="19"/>
      <c r="H758" s="19"/>
      <c r="I758" s="19"/>
      <c r="J758" s="19"/>
      <c r="K758" s="19"/>
      <c r="L758" s="2"/>
      <c r="M758" s="19"/>
      <c r="N758" s="19"/>
      <c r="O758" s="84"/>
      <c r="P758" s="19"/>
      <c r="Q758" s="91"/>
      <c r="R758" s="19"/>
      <c r="S758" s="91"/>
      <c r="T758" s="19"/>
      <c r="U758" s="375"/>
    </row>
    <row r="759" spans="1:21" ht="15.75" customHeight="1" x14ac:dyDescent="0.25">
      <c r="A759" s="2"/>
      <c r="B759" s="19"/>
      <c r="C759" s="374"/>
      <c r="D759" s="2"/>
      <c r="E759" s="19"/>
      <c r="F759" s="19"/>
      <c r="G759" s="19"/>
      <c r="H759" s="19"/>
      <c r="I759" s="19"/>
      <c r="J759" s="19"/>
      <c r="K759" s="19"/>
      <c r="L759" s="2"/>
      <c r="M759" s="19"/>
      <c r="N759" s="19"/>
      <c r="O759" s="84"/>
      <c r="P759" s="19"/>
      <c r="Q759" s="91"/>
      <c r="R759" s="19"/>
      <c r="S759" s="91"/>
      <c r="T759" s="19"/>
      <c r="U759" s="375"/>
    </row>
    <row r="760" spans="1:21" ht="15.75" customHeight="1" x14ac:dyDescent="0.25">
      <c r="A760" s="2"/>
      <c r="B760" s="19"/>
      <c r="C760" s="374"/>
      <c r="D760" s="2"/>
      <c r="E760" s="19"/>
      <c r="F760" s="19"/>
      <c r="G760" s="19"/>
      <c r="H760" s="19"/>
      <c r="I760" s="19"/>
      <c r="J760" s="19"/>
      <c r="K760" s="19"/>
      <c r="L760" s="2"/>
      <c r="M760" s="19"/>
      <c r="N760" s="19"/>
      <c r="O760" s="84"/>
      <c r="P760" s="19"/>
      <c r="Q760" s="91"/>
      <c r="R760" s="19"/>
      <c r="S760" s="91"/>
      <c r="T760" s="19"/>
      <c r="U760" s="375"/>
    </row>
    <row r="761" spans="1:21" ht="15.75" customHeight="1" x14ac:dyDescent="0.25">
      <c r="A761" s="2"/>
      <c r="B761" s="19"/>
      <c r="C761" s="374"/>
      <c r="D761" s="2"/>
      <c r="E761" s="19"/>
      <c r="F761" s="19"/>
      <c r="G761" s="19"/>
      <c r="H761" s="19"/>
      <c r="I761" s="19"/>
      <c r="J761" s="19"/>
      <c r="K761" s="19"/>
      <c r="L761" s="2"/>
      <c r="M761" s="19"/>
      <c r="N761" s="19"/>
      <c r="O761" s="84"/>
      <c r="P761" s="19"/>
      <c r="Q761" s="91"/>
      <c r="R761" s="19"/>
      <c r="S761" s="91"/>
      <c r="T761" s="19"/>
      <c r="U761" s="375"/>
    </row>
    <row r="762" spans="1:21" ht="15.75" customHeight="1" x14ac:dyDescent="0.25">
      <c r="A762" s="2"/>
      <c r="B762" s="19"/>
      <c r="C762" s="374"/>
      <c r="D762" s="2"/>
      <c r="E762" s="19"/>
      <c r="F762" s="19"/>
      <c r="G762" s="19"/>
      <c r="H762" s="19"/>
      <c r="I762" s="19"/>
      <c r="J762" s="19"/>
      <c r="K762" s="19"/>
      <c r="L762" s="2"/>
      <c r="M762" s="19"/>
      <c r="N762" s="19"/>
      <c r="O762" s="84"/>
      <c r="P762" s="19"/>
      <c r="Q762" s="91"/>
      <c r="R762" s="19"/>
      <c r="S762" s="91"/>
      <c r="T762" s="19"/>
      <c r="U762" s="375"/>
    </row>
    <row r="763" spans="1:21" ht="15.75" customHeight="1" x14ac:dyDescent="0.25">
      <c r="A763" s="2"/>
      <c r="B763" s="19"/>
      <c r="C763" s="374"/>
      <c r="D763" s="2"/>
      <c r="E763" s="19"/>
      <c r="F763" s="19"/>
      <c r="G763" s="19"/>
      <c r="H763" s="19"/>
      <c r="I763" s="19"/>
      <c r="J763" s="19"/>
      <c r="K763" s="19"/>
      <c r="L763" s="2"/>
      <c r="M763" s="19"/>
      <c r="N763" s="19"/>
      <c r="O763" s="84"/>
      <c r="P763" s="19"/>
      <c r="Q763" s="91"/>
      <c r="R763" s="19"/>
      <c r="S763" s="91"/>
      <c r="T763" s="19"/>
      <c r="U763" s="375"/>
    </row>
    <row r="764" spans="1:21" ht="15.75" customHeight="1" x14ac:dyDescent="0.25">
      <c r="A764" s="2"/>
      <c r="B764" s="19"/>
      <c r="C764" s="374"/>
      <c r="D764" s="2"/>
      <c r="E764" s="19"/>
      <c r="F764" s="19"/>
      <c r="G764" s="19"/>
      <c r="H764" s="19"/>
      <c r="I764" s="19"/>
      <c r="J764" s="19"/>
      <c r="K764" s="19"/>
      <c r="L764" s="2"/>
      <c r="M764" s="19"/>
      <c r="N764" s="19"/>
      <c r="O764" s="84"/>
      <c r="P764" s="19"/>
      <c r="Q764" s="91"/>
      <c r="R764" s="19"/>
      <c r="S764" s="91"/>
      <c r="T764" s="19"/>
      <c r="U764" s="375"/>
    </row>
    <row r="765" spans="1:21" ht="15.75" customHeight="1" x14ac:dyDescent="0.25">
      <c r="A765" s="2"/>
      <c r="B765" s="19"/>
      <c r="C765" s="374"/>
      <c r="D765" s="2"/>
      <c r="E765" s="19"/>
      <c r="F765" s="19"/>
      <c r="G765" s="19"/>
      <c r="H765" s="19"/>
      <c r="I765" s="19"/>
      <c r="J765" s="19"/>
      <c r="K765" s="19"/>
      <c r="L765" s="2"/>
      <c r="M765" s="19"/>
      <c r="N765" s="19"/>
      <c r="O765" s="84"/>
      <c r="P765" s="19"/>
      <c r="Q765" s="91"/>
      <c r="R765" s="19"/>
      <c r="S765" s="91"/>
      <c r="T765" s="19"/>
      <c r="U765" s="375"/>
    </row>
    <row r="766" spans="1:21" ht="15.75" customHeight="1" x14ac:dyDescent="0.25">
      <c r="A766" s="2"/>
      <c r="B766" s="19"/>
      <c r="C766" s="374"/>
      <c r="D766" s="2"/>
      <c r="E766" s="19"/>
      <c r="F766" s="19"/>
      <c r="G766" s="19"/>
      <c r="H766" s="19"/>
      <c r="I766" s="19"/>
      <c r="J766" s="19"/>
      <c r="K766" s="19"/>
      <c r="L766" s="2"/>
      <c r="M766" s="19"/>
      <c r="N766" s="19"/>
      <c r="O766" s="84"/>
      <c r="P766" s="19"/>
      <c r="Q766" s="91"/>
      <c r="R766" s="19"/>
      <c r="S766" s="91"/>
      <c r="T766" s="19"/>
      <c r="U766" s="375"/>
    </row>
    <row r="767" spans="1:21" ht="15.75" customHeight="1" x14ac:dyDescent="0.25">
      <c r="A767" s="2"/>
      <c r="B767" s="19"/>
      <c r="C767" s="374"/>
      <c r="D767" s="2"/>
      <c r="E767" s="19"/>
      <c r="F767" s="19"/>
      <c r="G767" s="19"/>
      <c r="H767" s="19"/>
      <c r="I767" s="19"/>
      <c r="J767" s="19"/>
      <c r="K767" s="19"/>
      <c r="L767" s="2"/>
      <c r="M767" s="19"/>
      <c r="N767" s="19"/>
      <c r="O767" s="84"/>
      <c r="P767" s="19"/>
      <c r="Q767" s="91"/>
      <c r="R767" s="19"/>
      <c r="S767" s="91"/>
      <c r="T767" s="19"/>
      <c r="U767" s="375"/>
    </row>
    <row r="768" spans="1:21" ht="15.75" customHeight="1" x14ac:dyDescent="0.25">
      <c r="A768" s="2"/>
      <c r="B768" s="19"/>
      <c r="C768" s="374"/>
      <c r="D768" s="2"/>
      <c r="E768" s="19"/>
      <c r="F768" s="19"/>
      <c r="G768" s="19"/>
      <c r="H768" s="19"/>
      <c r="I768" s="19"/>
      <c r="J768" s="19"/>
      <c r="K768" s="19"/>
      <c r="L768" s="2"/>
      <c r="M768" s="19"/>
      <c r="N768" s="19"/>
      <c r="O768" s="84"/>
      <c r="P768" s="19"/>
      <c r="Q768" s="91"/>
      <c r="R768" s="19"/>
      <c r="S768" s="91"/>
      <c r="T768" s="19"/>
      <c r="U768" s="375"/>
    </row>
    <row r="769" spans="1:21" ht="15.75" customHeight="1" x14ac:dyDescent="0.25">
      <c r="A769" s="2"/>
      <c r="B769" s="19"/>
      <c r="C769" s="374"/>
      <c r="D769" s="2"/>
      <c r="E769" s="19"/>
      <c r="F769" s="19"/>
      <c r="G769" s="19"/>
      <c r="H769" s="19"/>
      <c r="I769" s="19"/>
      <c r="J769" s="19"/>
      <c r="K769" s="19"/>
      <c r="L769" s="2"/>
      <c r="M769" s="19"/>
      <c r="N769" s="19"/>
      <c r="O769" s="84"/>
      <c r="P769" s="19"/>
      <c r="Q769" s="91"/>
      <c r="R769" s="19"/>
      <c r="S769" s="91"/>
      <c r="T769" s="19"/>
      <c r="U769" s="375"/>
    </row>
    <row r="770" spans="1:21" ht="15.75" customHeight="1" x14ac:dyDescent="0.25">
      <c r="A770" s="2"/>
      <c r="B770" s="19"/>
      <c r="C770" s="374"/>
      <c r="D770" s="2"/>
      <c r="E770" s="19"/>
      <c r="F770" s="19"/>
      <c r="G770" s="19"/>
      <c r="H770" s="19"/>
      <c r="I770" s="19"/>
      <c r="J770" s="19"/>
      <c r="K770" s="19"/>
      <c r="L770" s="2"/>
      <c r="M770" s="19"/>
      <c r="N770" s="19"/>
      <c r="O770" s="84"/>
      <c r="P770" s="19"/>
      <c r="Q770" s="91"/>
      <c r="R770" s="19"/>
      <c r="S770" s="91"/>
      <c r="T770" s="19"/>
      <c r="U770" s="375"/>
    </row>
    <row r="771" spans="1:21" ht="15.75" customHeight="1" x14ac:dyDescent="0.25">
      <c r="A771" s="2"/>
      <c r="B771" s="19"/>
      <c r="C771" s="374"/>
      <c r="D771" s="2"/>
      <c r="E771" s="19"/>
      <c r="F771" s="19"/>
      <c r="G771" s="19"/>
      <c r="H771" s="19"/>
      <c r="I771" s="19"/>
      <c r="J771" s="19"/>
      <c r="K771" s="19"/>
      <c r="L771" s="2"/>
      <c r="M771" s="19"/>
      <c r="N771" s="19"/>
      <c r="O771" s="84"/>
      <c r="P771" s="19"/>
      <c r="Q771" s="91"/>
      <c r="R771" s="19"/>
      <c r="S771" s="91"/>
      <c r="T771" s="19"/>
      <c r="U771" s="375"/>
    </row>
    <row r="772" spans="1:21" ht="15.75" customHeight="1" x14ac:dyDescent="0.25">
      <c r="A772" s="2"/>
      <c r="B772" s="19"/>
      <c r="C772" s="374"/>
      <c r="D772" s="2"/>
      <c r="E772" s="19"/>
      <c r="F772" s="19"/>
      <c r="G772" s="19"/>
      <c r="H772" s="19"/>
      <c r="I772" s="19"/>
      <c r="J772" s="19"/>
      <c r="K772" s="19"/>
      <c r="L772" s="2"/>
      <c r="M772" s="19"/>
      <c r="N772" s="19"/>
      <c r="O772" s="84"/>
      <c r="P772" s="19"/>
      <c r="Q772" s="91"/>
      <c r="R772" s="19"/>
      <c r="S772" s="91"/>
      <c r="T772" s="19"/>
      <c r="U772" s="375"/>
    </row>
    <row r="773" spans="1:21" ht="15.75" customHeight="1" x14ac:dyDescent="0.25">
      <c r="A773" s="2"/>
      <c r="B773" s="19"/>
      <c r="C773" s="374"/>
      <c r="D773" s="2"/>
      <c r="E773" s="19"/>
      <c r="F773" s="19"/>
      <c r="G773" s="19"/>
      <c r="H773" s="19"/>
      <c r="I773" s="19"/>
      <c r="J773" s="19"/>
      <c r="K773" s="19"/>
      <c r="L773" s="2"/>
      <c r="M773" s="19"/>
      <c r="N773" s="19"/>
      <c r="O773" s="84"/>
      <c r="P773" s="19"/>
      <c r="Q773" s="91"/>
      <c r="R773" s="19"/>
      <c r="S773" s="91"/>
      <c r="T773" s="19"/>
      <c r="U773" s="375"/>
    </row>
    <row r="774" spans="1:21" ht="15.75" customHeight="1" x14ac:dyDescent="0.25">
      <c r="A774" s="2"/>
      <c r="B774" s="19"/>
      <c r="C774" s="374"/>
      <c r="D774" s="2"/>
      <c r="E774" s="19"/>
      <c r="F774" s="19"/>
      <c r="G774" s="19"/>
      <c r="H774" s="19"/>
      <c r="I774" s="19"/>
      <c r="J774" s="19"/>
      <c r="K774" s="19"/>
      <c r="L774" s="2"/>
      <c r="M774" s="19"/>
      <c r="N774" s="19"/>
      <c r="O774" s="84"/>
      <c r="P774" s="19"/>
      <c r="Q774" s="91"/>
      <c r="R774" s="19"/>
      <c r="S774" s="91"/>
      <c r="T774" s="19"/>
      <c r="U774" s="375"/>
    </row>
    <row r="775" spans="1:21" ht="15.75" customHeight="1" x14ac:dyDescent="0.25">
      <c r="A775" s="2"/>
      <c r="B775" s="19"/>
      <c r="C775" s="374"/>
      <c r="D775" s="2"/>
      <c r="E775" s="19"/>
      <c r="F775" s="19"/>
      <c r="G775" s="19"/>
      <c r="H775" s="19"/>
      <c r="I775" s="19"/>
      <c r="J775" s="19"/>
      <c r="K775" s="19"/>
      <c r="L775" s="2"/>
      <c r="M775" s="19"/>
      <c r="N775" s="19"/>
      <c r="O775" s="84"/>
      <c r="P775" s="19"/>
      <c r="Q775" s="91"/>
      <c r="R775" s="19"/>
      <c r="S775" s="91"/>
      <c r="T775" s="19"/>
      <c r="U775" s="375"/>
    </row>
    <row r="776" spans="1:21" ht="15.75" customHeight="1" x14ac:dyDescent="0.25">
      <c r="A776" s="2"/>
      <c r="B776" s="19"/>
      <c r="C776" s="374"/>
      <c r="D776" s="2"/>
      <c r="E776" s="19"/>
      <c r="F776" s="19"/>
      <c r="G776" s="19"/>
      <c r="H776" s="19"/>
      <c r="I776" s="19"/>
      <c r="J776" s="19"/>
      <c r="K776" s="19"/>
      <c r="L776" s="2"/>
      <c r="M776" s="19"/>
      <c r="N776" s="19"/>
      <c r="O776" s="84"/>
      <c r="P776" s="19"/>
      <c r="Q776" s="91"/>
      <c r="R776" s="19"/>
      <c r="S776" s="91"/>
      <c r="T776" s="19"/>
      <c r="U776" s="375"/>
    </row>
    <row r="777" spans="1:21" ht="15.75" customHeight="1" x14ac:dyDescent="0.25">
      <c r="A777" s="2"/>
      <c r="B777" s="19"/>
      <c r="C777" s="374"/>
      <c r="D777" s="2"/>
      <c r="E777" s="19"/>
      <c r="F777" s="19"/>
      <c r="G777" s="19"/>
      <c r="H777" s="19"/>
      <c r="I777" s="19"/>
      <c r="J777" s="19"/>
      <c r="K777" s="19"/>
      <c r="L777" s="2"/>
      <c r="M777" s="19"/>
      <c r="N777" s="19"/>
      <c r="O777" s="84"/>
      <c r="P777" s="19"/>
      <c r="Q777" s="91"/>
      <c r="R777" s="19"/>
      <c r="S777" s="91"/>
      <c r="T777" s="19"/>
      <c r="U777" s="375"/>
    </row>
    <row r="778" spans="1:21" ht="15.75" customHeight="1" x14ac:dyDescent="0.25">
      <c r="A778" s="2"/>
      <c r="B778" s="19"/>
      <c r="C778" s="374"/>
      <c r="D778" s="2"/>
      <c r="E778" s="19"/>
      <c r="F778" s="19"/>
      <c r="G778" s="19"/>
      <c r="H778" s="19"/>
      <c r="I778" s="19"/>
      <c r="J778" s="19"/>
      <c r="K778" s="19"/>
      <c r="L778" s="2"/>
      <c r="M778" s="19"/>
      <c r="N778" s="19"/>
      <c r="O778" s="84"/>
      <c r="P778" s="19"/>
      <c r="Q778" s="91"/>
      <c r="R778" s="19"/>
      <c r="S778" s="91"/>
      <c r="T778" s="19"/>
      <c r="U778" s="375"/>
    </row>
    <row r="779" spans="1:21" ht="15.75" customHeight="1" x14ac:dyDescent="0.25">
      <c r="A779" s="2"/>
      <c r="B779" s="19"/>
      <c r="C779" s="374"/>
      <c r="D779" s="2"/>
      <c r="E779" s="19"/>
      <c r="F779" s="19"/>
      <c r="G779" s="19"/>
      <c r="H779" s="19"/>
      <c r="I779" s="19"/>
      <c r="J779" s="19"/>
      <c r="K779" s="19"/>
      <c r="L779" s="2"/>
      <c r="M779" s="19"/>
      <c r="N779" s="19"/>
      <c r="O779" s="84"/>
      <c r="P779" s="19"/>
      <c r="Q779" s="91"/>
      <c r="R779" s="19"/>
      <c r="S779" s="91"/>
      <c r="T779" s="19"/>
      <c r="U779" s="375"/>
    </row>
    <row r="780" spans="1:21" ht="15.75" customHeight="1" x14ac:dyDescent="0.25">
      <c r="A780" s="2"/>
      <c r="B780" s="19"/>
      <c r="C780" s="374"/>
      <c r="D780" s="2"/>
      <c r="E780" s="19"/>
      <c r="F780" s="19"/>
      <c r="G780" s="19"/>
      <c r="H780" s="19"/>
      <c r="I780" s="19"/>
      <c r="J780" s="19"/>
      <c r="K780" s="19"/>
      <c r="L780" s="2"/>
      <c r="M780" s="19"/>
      <c r="N780" s="19"/>
      <c r="O780" s="84"/>
      <c r="P780" s="19"/>
      <c r="Q780" s="91"/>
      <c r="R780" s="19"/>
      <c r="S780" s="91"/>
      <c r="T780" s="19"/>
      <c r="U780" s="375"/>
    </row>
    <row r="781" spans="1:21" ht="15.75" customHeight="1" x14ac:dyDescent="0.25">
      <c r="A781" s="2"/>
      <c r="B781" s="19"/>
      <c r="C781" s="374"/>
      <c r="D781" s="2"/>
      <c r="E781" s="19"/>
      <c r="F781" s="19"/>
      <c r="G781" s="19"/>
      <c r="H781" s="19"/>
      <c r="I781" s="19"/>
      <c r="J781" s="19"/>
      <c r="K781" s="19"/>
      <c r="L781" s="2"/>
      <c r="M781" s="19"/>
      <c r="N781" s="19"/>
      <c r="O781" s="84"/>
      <c r="P781" s="19"/>
      <c r="Q781" s="91"/>
      <c r="R781" s="19"/>
      <c r="S781" s="91"/>
      <c r="T781" s="19"/>
      <c r="U781" s="375"/>
    </row>
    <row r="782" spans="1:21" ht="15.75" customHeight="1" x14ac:dyDescent="0.25">
      <c r="A782" s="2"/>
      <c r="B782" s="19"/>
      <c r="C782" s="374"/>
      <c r="D782" s="2"/>
      <c r="E782" s="19"/>
      <c r="F782" s="19"/>
      <c r="G782" s="19"/>
      <c r="H782" s="19"/>
      <c r="I782" s="19"/>
      <c r="J782" s="19"/>
      <c r="K782" s="19"/>
      <c r="L782" s="2"/>
      <c r="M782" s="19"/>
      <c r="N782" s="19"/>
      <c r="O782" s="84"/>
      <c r="P782" s="19"/>
      <c r="Q782" s="91"/>
      <c r="R782" s="19"/>
      <c r="S782" s="91"/>
      <c r="T782" s="19"/>
      <c r="U782" s="375"/>
    </row>
    <row r="783" spans="1:21" ht="15.75" customHeight="1" x14ac:dyDescent="0.25">
      <c r="A783" s="2"/>
      <c r="B783" s="19"/>
      <c r="C783" s="374"/>
      <c r="D783" s="2"/>
      <c r="E783" s="19"/>
      <c r="F783" s="19"/>
      <c r="G783" s="19"/>
      <c r="H783" s="19"/>
      <c r="I783" s="19"/>
      <c r="J783" s="19"/>
      <c r="K783" s="19"/>
      <c r="L783" s="2"/>
      <c r="M783" s="19"/>
      <c r="N783" s="19"/>
      <c r="O783" s="84"/>
      <c r="P783" s="19"/>
      <c r="Q783" s="91"/>
      <c r="R783" s="19"/>
      <c r="S783" s="91"/>
      <c r="T783" s="19"/>
      <c r="U783" s="375"/>
    </row>
    <row r="784" spans="1:21" ht="15.75" customHeight="1" x14ac:dyDescent="0.25">
      <c r="A784" s="2"/>
      <c r="B784" s="19"/>
      <c r="C784" s="374"/>
      <c r="D784" s="2"/>
      <c r="E784" s="19"/>
      <c r="F784" s="19"/>
      <c r="G784" s="19"/>
      <c r="H784" s="19"/>
      <c r="I784" s="19"/>
      <c r="J784" s="19"/>
      <c r="K784" s="19"/>
      <c r="L784" s="2"/>
      <c r="M784" s="19"/>
      <c r="N784" s="19"/>
      <c r="O784" s="84"/>
      <c r="P784" s="19"/>
      <c r="Q784" s="91"/>
      <c r="R784" s="19"/>
      <c r="S784" s="91"/>
      <c r="T784" s="19"/>
      <c r="U784" s="375"/>
    </row>
    <row r="785" spans="1:21" ht="15.75" customHeight="1" x14ac:dyDescent="0.25">
      <c r="A785" s="2"/>
      <c r="B785" s="19"/>
      <c r="C785" s="374"/>
      <c r="D785" s="2"/>
      <c r="E785" s="19"/>
      <c r="F785" s="19"/>
      <c r="G785" s="19"/>
      <c r="H785" s="19"/>
      <c r="I785" s="19"/>
      <c r="J785" s="19"/>
      <c r="K785" s="19"/>
      <c r="L785" s="2"/>
      <c r="M785" s="19"/>
      <c r="N785" s="19"/>
      <c r="O785" s="84"/>
      <c r="P785" s="19"/>
      <c r="Q785" s="91"/>
      <c r="R785" s="19"/>
      <c r="S785" s="91"/>
      <c r="T785" s="19"/>
      <c r="U785" s="375"/>
    </row>
    <row r="786" spans="1:21" ht="15.75" customHeight="1" x14ac:dyDescent="0.25">
      <c r="A786" s="2"/>
      <c r="B786" s="19"/>
      <c r="C786" s="374"/>
      <c r="D786" s="2"/>
      <c r="E786" s="19"/>
      <c r="F786" s="19"/>
      <c r="G786" s="19"/>
      <c r="H786" s="19"/>
      <c r="I786" s="19"/>
      <c r="J786" s="19"/>
      <c r="K786" s="19"/>
      <c r="L786" s="2"/>
      <c r="M786" s="19"/>
      <c r="N786" s="19"/>
      <c r="O786" s="84"/>
      <c r="P786" s="19"/>
      <c r="Q786" s="91"/>
      <c r="R786" s="19"/>
      <c r="S786" s="91"/>
      <c r="T786" s="19"/>
      <c r="U786" s="375"/>
    </row>
    <row r="787" spans="1:21" ht="15.75" customHeight="1" x14ac:dyDescent="0.25">
      <c r="A787" s="2"/>
      <c r="B787" s="19"/>
      <c r="C787" s="374"/>
      <c r="D787" s="2"/>
      <c r="E787" s="19"/>
      <c r="F787" s="19"/>
      <c r="G787" s="19"/>
      <c r="H787" s="19"/>
      <c r="I787" s="19"/>
      <c r="J787" s="19"/>
      <c r="K787" s="19"/>
      <c r="L787" s="2"/>
      <c r="M787" s="19"/>
      <c r="N787" s="19"/>
      <c r="O787" s="84"/>
      <c r="P787" s="19"/>
      <c r="Q787" s="91"/>
      <c r="R787" s="19"/>
      <c r="S787" s="91"/>
      <c r="T787" s="19"/>
      <c r="U787" s="375"/>
    </row>
    <row r="788" spans="1:21" ht="15.75" customHeight="1" x14ac:dyDescent="0.25">
      <c r="A788" s="2"/>
      <c r="B788" s="19"/>
      <c r="C788" s="374"/>
      <c r="D788" s="2"/>
      <c r="E788" s="19"/>
      <c r="F788" s="19"/>
      <c r="G788" s="19"/>
      <c r="H788" s="19"/>
      <c r="I788" s="19"/>
      <c r="J788" s="19"/>
      <c r="K788" s="19"/>
      <c r="L788" s="2"/>
      <c r="M788" s="19"/>
      <c r="N788" s="19"/>
      <c r="O788" s="84"/>
      <c r="P788" s="19"/>
      <c r="Q788" s="91"/>
      <c r="R788" s="19"/>
      <c r="S788" s="91"/>
      <c r="T788" s="19"/>
      <c r="U788" s="375"/>
    </row>
    <row r="789" spans="1:21" ht="15.75" customHeight="1" x14ac:dyDescent="0.25">
      <c r="A789" s="2"/>
      <c r="B789" s="19"/>
      <c r="C789" s="374"/>
      <c r="D789" s="2"/>
      <c r="E789" s="19"/>
      <c r="F789" s="19"/>
      <c r="G789" s="19"/>
      <c r="H789" s="19"/>
      <c r="I789" s="19"/>
      <c r="J789" s="19"/>
      <c r="K789" s="19"/>
      <c r="L789" s="2"/>
      <c r="M789" s="19"/>
      <c r="N789" s="19"/>
      <c r="O789" s="84"/>
      <c r="P789" s="19"/>
      <c r="Q789" s="91"/>
      <c r="R789" s="19"/>
      <c r="S789" s="91"/>
      <c r="T789" s="19"/>
      <c r="U789" s="375"/>
    </row>
    <row r="790" spans="1:21" ht="15.75" customHeight="1" x14ac:dyDescent="0.25">
      <c r="A790" s="2"/>
      <c r="B790" s="19"/>
      <c r="C790" s="374"/>
      <c r="D790" s="2"/>
      <c r="E790" s="19"/>
      <c r="F790" s="19"/>
      <c r="G790" s="19"/>
      <c r="H790" s="19"/>
      <c r="I790" s="19"/>
      <c r="J790" s="19"/>
      <c r="K790" s="19"/>
      <c r="L790" s="2"/>
      <c r="M790" s="19"/>
      <c r="N790" s="19"/>
      <c r="O790" s="84"/>
      <c r="P790" s="19"/>
      <c r="Q790" s="91"/>
      <c r="R790" s="19"/>
      <c r="S790" s="91"/>
      <c r="T790" s="19"/>
      <c r="U790" s="375"/>
    </row>
    <row r="791" spans="1:21" ht="15.75" customHeight="1" x14ac:dyDescent="0.25">
      <c r="A791" s="2"/>
      <c r="B791" s="19"/>
      <c r="C791" s="374"/>
      <c r="D791" s="2"/>
      <c r="E791" s="19"/>
      <c r="F791" s="19"/>
      <c r="G791" s="19"/>
      <c r="H791" s="19"/>
      <c r="I791" s="19"/>
      <c r="J791" s="19"/>
      <c r="K791" s="19"/>
      <c r="L791" s="2"/>
      <c r="M791" s="19"/>
      <c r="N791" s="19"/>
      <c r="O791" s="84"/>
      <c r="P791" s="19"/>
      <c r="Q791" s="91"/>
      <c r="R791" s="19"/>
      <c r="S791" s="91"/>
      <c r="T791" s="19"/>
      <c r="U791" s="375"/>
    </row>
    <row r="792" spans="1:21" ht="15.75" customHeight="1" x14ac:dyDescent="0.25">
      <c r="A792" s="2"/>
      <c r="B792" s="19"/>
      <c r="C792" s="374"/>
      <c r="D792" s="2"/>
      <c r="E792" s="19"/>
      <c r="F792" s="19"/>
      <c r="G792" s="19"/>
      <c r="H792" s="19"/>
      <c r="I792" s="19"/>
      <c r="J792" s="19"/>
      <c r="K792" s="19"/>
      <c r="L792" s="2"/>
      <c r="M792" s="19"/>
      <c r="N792" s="19"/>
      <c r="O792" s="84"/>
      <c r="P792" s="19"/>
      <c r="Q792" s="91"/>
      <c r="R792" s="19"/>
      <c r="S792" s="91"/>
      <c r="T792" s="19"/>
      <c r="U792" s="375"/>
    </row>
    <row r="793" spans="1:21" ht="15.75" customHeight="1" x14ac:dyDescent="0.25">
      <c r="A793" s="2"/>
      <c r="B793" s="19"/>
      <c r="C793" s="374"/>
      <c r="D793" s="2"/>
      <c r="E793" s="19"/>
      <c r="F793" s="19"/>
      <c r="G793" s="19"/>
      <c r="H793" s="19"/>
      <c r="I793" s="19"/>
      <c r="J793" s="19"/>
      <c r="K793" s="19"/>
      <c r="L793" s="2"/>
      <c r="M793" s="19"/>
      <c r="N793" s="19"/>
      <c r="O793" s="84"/>
      <c r="P793" s="19"/>
      <c r="Q793" s="91"/>
      <c r="R793" s="19"/>
      <c r="S793" s="91"/>
      <c r="T793" s="19"/>
      <c r="U793" s="375"/>
    </row>
    <row r="794" spans="1:21" ht="15.75" customHeight="1" x14ac:dyDescent="0.25">
      <c r="A794" s="2"/>
      <c r="B794" s="19"/>
      <c r="C794" s="374"/>
      <c r="D794" s="2"/>
      <c r="E794" s="19"/>
      <c r="F794" s="19"/>
      <c r="G794" s="19"/>
      <c r="H794" s="19"/>
      <c r="I794" s="19"/>
      <c r="J794" s="19"/>
      <c r="K794" s="19"/>
      <c r="L794" s="2"/>
      <c r="M794" s="19"/>
      <c r="N794" s="19"/>
      <c r="O794" s="84"/>
      <c r="P794" s="19"/>
      <c r="Q794" s="91"/>
      <c r="R794" s="19"/>
      <c r="S794" s="91"/>
      <c r="T794" s="19"/>
      <c r="U794" s="375"/>
    </row>
    <row r="795" spans="1:21" ht="15.75" customHeight="1" x14ac:dyDescent="0.25">
      <c r="A795" s="2"/>
      <c r="B795" s="19"/>
      <c r="C795" s="374"/>
      <c r="D795" s="2"/>
      <c r="E795" s="19"/>
      <c r="F795" s="19"/>
      <c r="G795" s="19"/>
      <c r="H795" s="19"/>
      <c r="I795" s="19"/>
      <c r="J795" s="19"/>
      <c r="K795" s="19"/>
      <c r="L795" s="2"/>
      <c r="M795" s="19"/>
      <c r="N795" s="19"/>
      <c r="O795" s="84"/>
      <c r="P795" s="19"/>
      <c r="Q795" s="91"/>
      <c r="R795" s="19"/>
      <c r="S795" s="91"/>
      <c r="T795" s="19"/>
      <c r="U795" s="375"/>
    </row>
    <row r="796" spans="1:21" ht="15.75" customHeight="1" x14ac:dyDescent="0.25">
      <c r="A796" s="2"/>
      <c r="B796" s="19"/>
      <c r="C796" s="374"/>
      <c r="D796" s="2"/>
      <c r="E796" s="19"/>
      <c r="F796" s="19"/>
      <c r="G796" s="19"/>
      <c r="H796" s="19"/>
      <c r="I796" s="19"/>
      <c r="J796" s="19"/>
      <c r="K796" s="19"/>
      <c r="L796" s="2"/>
      <c r="M796" s="19"/>
      <c r="N796" s="19"/>
      <c r="O796" s="84"/>
      <c r="P796" s="19"/>
      <c r="Q796" s="91"/>
      <c r="R796" s="19"/>
      <c r="S796" s="91"/>
      <c r="T796" s="19"/>
      <c r="U796" s="375"/>
    </row>
    <row r="797" spans="1:21" ht="15.75" customHeight="1" x14ac:dyDescent="0.25">
      <c r="A797" s="2"/>
      <c r="B797" s="19"/>
      <c r="C797" s="374"/>
      <c r="D797" s="2"/>
      <c r="E797" s="19"/>
      <c r="F797" s="19"/>
      <c r="G797" s="19"/>
      <c r="H797" s="19"/>
      <c r="I797" s="19"/>
      <c r="J797" s="19"/>
      <c r="K797" s="19"/>
      <c r="L797" s="2"/>
      <c r="M797" s="19"/>
      <c r="N797" s="19"/>
      <c r="O797" s="84"/>
      <c r="P797" s="19"/>
      <c r="Q797" s="91"/>
      <c r="R797" s="19"/>
      <c r="S797" s="91"/>
      <c r="T797" s="19"/>
      <c r="U797" s="375"/>
    </row>
    <row r="798" spans="1:21" ht="15.75" customHeight="1" x14ac:dyDescent="0.25">
      <c r="A798" s="2"/>
      <c r="B798" s="19"/>
      <c r="C798" s="374"/>
      <c r="D798" s="2"/>
      <c r="E798" s="19"/>
      <c r="F798" s="19"/>
      <c r="G798" s="19"/>
      <c r="H798" s="19"/>
      <c r="I798" s="19"/>
      <c r="J798" s="19"/>
      <c r="K798" s="19"/>
      <c r="L798" s="2"/>
      <c r="M798" s="19"/>
      <c r="N798" s="19"/>
      <c r="O798" s="84"/>
      <c r="P798" s="19"/>
      <c r="Q798" s="91"/>
      <c r="R798" s="19"/>
      <c r="S798" s="91"/>
      <c r="T798" s="19"/>
      <c r="U798" s="375"/>
    </row>
    <row r="799" spans="1:21" ht="15.75" customHeight="1" x14ac:dyDescent="0.25">
      <c r="A799" s="2"/>
      <c r="B799" s="19"/>
      <c r="C799" s="374"/>
      <c r="D799" s="2"/>
      <c r="E799" s="19"/>
      <c r="F799" s="19"/>
      <c r="G799" s="19"/>
      <c r="H799" s="19"/>
      <c r="I799" s="19"/>
      <c r="J799" s="19"/>
      <c r="K799" s="19"/>
      <c r="L799" s="2"/>
      <c r="M799" s="19"/>
      <c r="N799" s="19"/>
      <c r="O799" s="84"/>
      <c r="P799" s="19"/>
      <c r="Q799" s="91"/>
      <c r="R799" s="19"/>
      <c r="S799" s="91"/>
      <c r="T799" s="19"/>
      <c r="U799" s="375"/>
    </row>
    <row r="800" spans="1:21" ht="15.75" customHeight="1" x14ac:dyDescent="0.25">
      <c r="A800" s="2"/>
      <c r="B800" s="19"/>
      <c r="C800" s="374"/>
      <c r="D800" s="2"/>
      <c r="E800" s="19"/>
      <c r="F800" s="19"/>
      <c r="G800" s="19"/>
      <c r="H800" s="19"/>
      <c r="I800" s="19"/>
      <c r="J800" s="19"/>
      <c r="K800" s="19"/>
      <c r="L800" s="2"/>
      <c r="M800" s="19"/>
      <c r="N800" s="19"/>
      <c r="O800" s="84"/>
      <c r="P800" s="19"/>
      <c r="Q800" s="91"/>
      <c r="R800" s="19"/>
      <c r="S800" s="91"/>
      <c r="T800" s="19"/>
      <c r="U800" s="375"/>
    </row>
    <row r="801" spans="1:21" ht="15.75" customHeight="1" x14ac:dyDescent="0.25">
      <c r="A801" s="2"/>
      <c r="B801" s="19"/>
      <c r="C801" s="374"/>
      <c r="D801" s="2"/>
      <c r="E801" s="19"/>
      <c r="F801" s="19"/>
      <c r="G801" s="19"/>
      <c r="H801" s="19"/>
      <c r="I801" s="19"/>
      <c r="J801" s="19"/>
      <c r="K801" s="19"/>
      <c r="L801" s="2"/>
      <c r="M801" s="19"/>
      <c r="N801" s="19"/>
      <c r="O801" s="84"/>
      <c r="P801" s="19"/>
      <c r="Q801" s="91"/>
      <c r="R801" s="19"/>
      <c r="S801" s="91"/>
      <c r="T801" s="19"/>
      <c r="U801" s="375"/>
    </row>
    <row r="802" spans="1:21" ht="15.75" customHeight="1" x14ac:dyDescent="0.25">
      <c r="A802" s="2"/>
      <c r="B802" s="19"/>
      <c r="C802" s="374"/>
      <c r="D802" s="2"/>
      <c r="E802" s="19"/>
      <c r="F802" s="19"/>
      <c r="G802" s="19"/>
      <c r="H802" s="19"/>
      <c r="I802" s="19"/>
      <c r="J802" s="19"/>
      <c r="K802" s="19"/>
      <c r="L802" s="2"/>
      <c r="M802" s="19"/>
      <c r="N802" s="19"/>
      <c r="O802" s="84"/>
      <c r="P802" s="19"/>
      <c r="Q802" s="91"/>
      <c r="R802" s="19"/>
      <c r="S802" s="91"/>
      <c r="T802" s="19"/>
      <c r="U802" s="375"/>
    </row>
    <row r="803" spans="1:21" ht="15.75" customHeight="1" x14ac:dyDescent="0.25">
      <c r="A803" s="2"/>
      <c r="B803" s="19"/>
      <c r="C803" s="374"/>
      <c r="D803" s="2"/>
      <c r="E803" s="19"/>
      <c r="F803" s="19"/>
      <c r="G803" s="19"/>
      <c r="H803" s="19"/>
      <c r="I803" s="19"/>
      <c r="J803" s="19"/>
      <c r="K803" s="19"/>
      <c r="L803" s="2"/>
      <c r="M803" s="19"/>
      <c r="N803" s="19"/>
      <c r="O803" s="84"/>
      <c r="P803" s="19"/>
      <c r="Q803" s="91"/>
      <c r="R803" s="19"/>
      <c r="S803" s="91"/>
      <c r="T803" s="19"/>
      <c r="U803" s="375"/>
    </row>
    <row r="804" spans="1:21" ht="15.75" customHeight="1" x14ac:dyDescent="0.25">
      <c r="A804" s="2"/>
      <c r="B804" s="19"/>
      <c r="C804" s="374"/>
      <c r="D804" s="2"/>
      <c r="E804" s="19"/>
      <c r="F804" s="19"/>
      <c r="G804" s="19"/>
      <c r="H804" s="19"/>
      <c r="I804" s="19"/>
      <c r="J804" s="19"/>
      <c r="K804" s="19"/>
      <c r="L804" s="2"/>
      <c r="M804" s="19"/>
      <c r="N804" s="19"/>
      <c r="O804" s="84"/>
      <c r="P804" s="19"/>
      <c r="Q804" s="91"/>
      <c r="R804" s="19"/>
      <c r="S804" s="91"/>
      <c r="T804" s="19"/>
      <c r="U804" s="375"/>
    </row>
    <row r="805" spans="1:21" ht="15.75" customHeight="1" x14ac:dyDescent="0.25">
      <c r="A805" s="2"/>
      <c r="B805" s="19"/>
      <c r="C805" s="374"/>
      <c r="D805" s="2"/>
      <c r="E805" s="19"/>
      <c r="F805" s="19"/>
      <c r="G805" s="19"/>
      <c r="H805" s="19"/>
      <c r="I805" s="19"/>
      <c r="J805" s="19"/>
      <c r="K805" s="19"/>
      <c r="L805" s="2"/>
      <c r="M805" s="19"/>
      <c r="N805" s="19"/>
      <c r="O805" s="84"/>
      <c r="P805" s="19"/>
      <c r="Q805" s="91"/>
      <c r="R805" s="19"/>
      <c r="S805" s="91"/>
      <c r="T805" s="19"/>
      <c r="U805" s="375"/>
    </row>
    <row r="806" spans="1:21" ht="15.75" customHeight="1" x14ac:dyDescent="0.25">
      <c r="A806" s="2"/>
      <c r="B806" s="19"/>
      <c r="C806" s="374"/>
      <c r="D806" s="2"/>
      <c r="E806" s="19"/>
      <c r="F806" s="19"/>
      <c r="G806" s="19"/>
      <c r="H806" s="19"/>
      <c r="I806" s="19"/>
      <c r="J806" s="19"/>
      <c r="K806" s="19"/>
      <c r="L806" s="2"/>
      <c r="M806" s="19"/>
      <c r="N806" s="19"/>
      <c r="O806" s="84"/>
      <c r="P806" s="19"/>
      <c r="Q806" s="91"/>
      <c r="R806" s="19"/>
      <c r="S806" s="91"/>
      <c r="T806" s="19"/>
      <c r="U806" s="375"/>
    </row>
    <row r="807" spans="1:21" ht="15.75" customHeight="1" x14ac:dyDescent="0.25">
      <c r="A807" s="2"/>
      <c r="B807" s="19"/>
      <c r="C807" s="374"/>
      <c r="D807" s="2"/>
      <c r="E807" s="19"/>
      <c r="F807" s="19"/>
      <c r="G807" s="19"/>
      <c r="H807" s="19"/>
      <c r="I807" s="19"/>
      <c r="J807" s="19"/>
      <c r="K807" s="19"/>
      <c r="L807" s="2"/>
      <c r="M807" s="19"/>
      <c r="N807" s="19"/>
      <c r="O807" s="84"/>
      <c r="P807" s="19"/>
      <c r="Q807" s="91"/>
      <c r="R807" s="19"/>
      <c r="S807" s="91"/>
      <c r="T807" s="19"/>
      <c r="U807" s="375"/>
    </row>
    <row r="808" spans="1:21" ht="15.75" customHeight="1" x14ac:dyDescent="0.25">
      <c r="A808" s="2"/>
      <c r="B808" s="19"/>
      <c r="C808" s="374"/>
      <c r="D808" s="2"/>
      <c r="E808" s="19"/>
      <c r="F808" s="19"/>
      <c r="G808" s="19"/>
      <c r="H808" s="19"/>
      <c r="I808" s="19"/>
      <c r="J808" s="19"/>
      <c r="K808" s="19"/>
      <c r="L808" s="2"/>
      <c r="M808" s="19"/>
      <c r="N808" s="19"/>
      <c r="O808" s="84"/>
      <c r="P808" s="19"/>
      <c r="Q808" s="91"/>
      <c r="R808" s="19"/>
      <c r="S808" s="91"/>
      <c r="T808" s="19"/>
      <c r="U808" s="375"/>
    </row>
    <row r="809" spans="1:21" ht="15.75" customHeight="1" x14ac:dyDescent="0.25">
      <c r="A809" s="2"/>
      <c r="B809" s="19"/>
      <c r="C809" s="374"/>
      <c r="D809" s="2"/>
      <c r="E809" s="19"/>
      <c r="F809" s="19"/>
      <c r="G809" s="19"/>
      <c r="H809" s="19"/>
      <c r="I809" s="19"/>
      <c r="J809" s="19"/>
      <c r="K809" s="19"/>
      <c r="L809" s="2"/>
      <c r="M809" s="19"/>
      <c r="N809" s="19"/>
      <c r="O809" s="84"/>
      <c r="P809" s="19"/>
      <c r="Q809" s="91"/>
      <c r="R809" s="19"/>
      <c r="S809" s="91"/>
      <c r="T809" s="19"/>
      <c r="U809" s="375"/>
    </row>
    <row r="810" spans="1:21" ht="15.75" customHeight="1" x14ac:dyDescent="0.25">
      <c r="A810" s="2"/>
      <c r="B810" s="19"/>
      <c r="C810" s="374"/>
      <c r="D810" s="2"/>
      <c r="E810" s="19"/>
      <c r="F810" s="19"/>
      <c r="G810" s="19"/>
      <c r="H810" s="19"/>
      <c r="I810" s="19"/>
      <c r="J810" s="19"/>
      <c r="K810" s="19"/>
      <c r="L810" s="2"/>
      <c r="M810" s="19"/>
      <c r="N810" s="19"/>
      <c r="O810" s="84"/>
      <c r="P810" s="19"/>
      <c r="Q810" s="91"/>
      <c r="R810" s="19"/>
      <c r="S810" s="91"/>
      <c r="T810" s="19"/>
      <c r="U810" s="375"/>
    </row>
    <row r="811" spans="1:21" ht="15.75" customHeight="1" x14ac:dyDescent="0.25">
      <c r="A811" s="2"/>
      <c r="B811" s="19"/>
      <c r="C811" s="374"/>
      <c r="D811" s="2"/>
      <c r="E811" s="19"/>
      <c r="F811" s="19"/>
      <c r="G811" s="19"/>
      <c r="H811" s="19"/>
      <c r="I811" s="19"/>
      <c r="J811" s="19"/>
      <c r="K811" s="19"/>
      <c r="L811" s="2"/>
      <c r="M811" s="19"/>
      <c r="N811" s="19"/>
      <c r="O811" s="84"/>
      <c r="P811" s="19"/>
      <c r="Q811" s="91"/>
      <c r="R811" s="19"/>
      <c r="S811" s="91"/>
      <c r="T811" s="19"/>
      <c r="U811" s="375"/>
    </row>
    <row r="812" spans="1:21" ht="15.75" customHeight="1" x14ac:dyDescent="0.25">
      <c r="A812" s="2"/>
      <c r="B812" s="19"/>
      <c r="C812" s="374"/>
      <c r="D812" s="2"/>
      <c r="E812" s="19"/>
      <c r="F812" s="19"/>
      <c r="G812" s="19"/>
      <c r="H812" s="19"/>
      <c r="I812" s="19"/>
      <c r="J812" s="19"/>
      <c r="K812" s="19"/>
      <c r="L812" s="2"/>
      <c r="M812" s="19"/>
      <c r="N812" s="19"/>
      <c r="O812" s="84"/>
      <c r="P812" s="19"/>
      <c r="Q812" s="91"/>
      <c r="R812" s="19"/>
      <c r="S812" s="91"/>
      <c r="T812" s="19"/>
      <c r="U812" s="375"/>
    </row>
    <row r="813" spans="1:21" ht="15.75" customHeight="1" x14ac:dyDescent="0.25">
      <c r="A813" s="2"/>
      <c r="B813" s="19"/>
      <c r="C813" s="374"/>
      <c r="D813" s="2"/>
      <c r="E813" s="19"/>
      <c r="F813" s="19"/>
      <c r="G813" s="19"/>
      <c r="H813" s="19"/>
      <c r="I813" s="19"/>
      <c r="J813" s="19"/>
      <c r="K813" s="19"/>
      <c r="L813" s="2"/>
      <c r="M813" s="19"/>
      <c r="N813" s="19"/>
      <c r="O813" s="84"/>
      <c r="P813" s="19"/>
      <c r="Q813" s="91"/>
      <c r="R813" s="19"/>
      <c r="S813" s="91"/>
      <c r="T813" s="19"/>
      <c r="U813" s="375"/>
    </row>
    <row r="814" spans="1:21" ht="15.75" customHeight="1" x14ac:dyDescent="0.25">
      <c r="A814" s="2"/>
      <c r="B814" s="19"/>
      <c r="C814" s="374"/>
      <c r="D814" s="2"/>
      <c r="E814" s="19"/>
      <c r="F814" s="19"/>
      <c r="G814" s="19"/>
      <c r="H814" s="19"/>
      <c r="I814" s="19"/>
      <c r="J814" s="19"/>
      <c r="K814" s="19"/>
      <c r="L814" s="2"/>
      <c r="M814" s="19"/>
      <c r="N814" s="19"/>
      <c r="O814" s="84"/>
      <c r="P814" s="19"/>
      <c r="Q814" s="91"/>
      <c r="R814" s="19"/>
      <c r="S814" s="91"/>
      <c r="T814" s="19"/>
      <c r="U814" s="375"/>
    </row>
    <row r="815" spans="1:21" ht="15.75" customHeight="1" x14ac:dyDescent="0.25">
      <c r="A815" s="2"/>
      <c r="B815" s="19"/>
      <c r="C815" s="374"/>
      <c r="D815" s="2"/>
      <c r="E815" s="19"/>
      <c r="F815" s="19"/>
      <c r="G815" s="19"/>
      <c r="H815" s="19"/>
      <c r="I815" s="19"/>
      <c r="J815" s="19"/>
      <c r="K815" s="19"/>
      <c r="L815" s="2"/>
      <c r="M815" s="19"/>
      <c r="N815" s="19"/>
      <c r="O815" s="84"/>
      <c r="P815" s="19"/>
      <c r="Q815" s="91"/>
      <c r="R815" s="19"/>
      <c r="S815" s="91"/>
      <c r="T815" s="19"/>
      <c r="U815" s="375"/>
    </row>
    <row r="816" spans="1:21" ht="15.75" customHeight="1" x14ac:dyDescent="0.25">
      <c r="A816" s="2"/>
      <c r="B816" s="19"/>
      <c r="C816" s="374"/>
      <c r="D816" s="2"/>
      <c r="E816" s="19"/>
      <c r="F816" s="19"/>
      <c r="G816" s="19"/>
      <c r="H816" s="19"/>
      <c r="I816" s="19"/>
      <c r="J816" s="19"/>
      <c r="K816" s="19"/>
      <c r="L816" s="2"/>
      <c r="M816" s="19"/>
      <c r="N816" s="19"/>
      <c r="O816" s="84"/>
      <c r="P816" s="19"/>
      <c r="Q816" s="91"/>
      <c r="R816" s="19"/>
      <c r="S816" s="91"/>
      <c r="T816" s="19"/>
      <c r="U816" s="375"/>
    </row>
    <row r="817" spans="1:21" ht="15.75" customHeight="1" x14ac:dyDescent="0.25">
      <c r="A817" s="2"/>
      <c r="B817" s="19"/>
      <c r="C817" s="374"/>
      <c r="D817" s="2"/>
      <c r="E817" s="19"/>
      <c r="F817" s="19"/>
      <c r="G817" s="19"/>
      <c r="H817" s="19"/>
      <c r="I817" s="19"/>
      <c r="J817" s="19"/>
      <c r="K817" s="19"/>
      <c r="L817" s="2"/>
      <c r="M817" s="19"/>
      <c r="N817" s="19"/>
      <c r="O817" s="84"/>
      <c r="P817" s="19"/>
      <c r="Q817" s="91"/>
      <c r="R817" s="19"/>
      <c r="S817" s="91"/>
      <c r="T817" s="19"/>
      <c r="U817" s="375"/>
    </row>
    <row r="818" spans="1:21" ht="15.75" customHeight="1" x14ac:dyDescent="0.25">
      <c r="A818" s="2"/>
      <c r="B818" s="19"/>
      <c r="C818" s="374"/>
      <c r="D818" s="2"/>
      <c r="E818" s="19"/>
      <c r="F818" s="19"/>
      <c r="G818" s="19"/>
      <c r="H818" s="19"/>
      <c r="I818" s="19"/>
      <c r="J818" s="19"/>
      <c r="K818" s="19"/>
      <c r="L818" s="2"/>
      <c r="M818" s="19"/>
      <c r="N818" s="19"/>
      <c r="O818" s="84"/>
      <c r="P818" s="19"/>
      <c r="Q818" s="91"/>
      <c r="R818" s="19"/>
      <c r="S818" s="91"/>
      <c r="T818" s="19"/>
      <c r="U818" s="375"/>
    </row>
    <row r="819" spans="1:21" ht="15.75" customHeight="1" x14ac:dyDescent="0.25">
      <c r="A819" s="2"/>
      <c r="B819" s="19"/>
      <c r="C819" s="374"/>
      <c r="D819" s="2"/>
      <c r="E819" s="19"/>
      <c r="F819" s="19"/>
      <c r="G819" s="19"/>
      <c r="H819" s="19"/>
      <c r="I819" s="19"/>
      <c r="J819" s="19"/>
      <c r="K819" s="19"/>
      <c r="L819" s="2"/>
      <c r="M819" s="19"/>
      <c r="N819" s="19"/>
      <c r="O819" s="84"/>
      <c r="P819" s="19"/>
      <c r="Q819" s="91"/>
      <c r="R819" s="19"/>
      <c r="S819" s="91"/>
      <c r="T819" s="19"/>
      <c r="U819" s="375"/>
    </row>
    <row r="820" spans="1:21" ht="15.75" customHeight="1" x14ac:dyDescent="0.25">
      <c r="A820" s="2"/>
      <c r="B820" s="19"/>
      <c r="C820" s="374"/>
      <c r="D820" s="2"/>
      <c r="E820" s="19"/>
      <c r="F820" s="19"/>
      <c r="G820" s="19"/>
      <c r="H820" s="19"/>
      <c r="I820" s="19"/>
      <c r="J820" s="19"/>
      <c r="K820" s="19"/>
      <c r="L820" s="2"/>
      <c r="M820" s="19"/>
      <c r="N820" s="19"/>
      <c r="O820" s="84"/>
      <c r="P820" s="19"/>
      <c r="Q820" s="91"/>
      <c r="R820" s="19"/>
      <c r="S820" s="91"/>
      <c r="T820" s="19"/>
      <c r="U820" s="375"/>
    </row>
    <row r="821" spans="1:21" ht="15.75" customHeight="1" x14ac:dyDescent="0.25">
      <c r="A821" s="2"/>
      <c r="B821" s="19"/>
      <c r="C821" s="374"/>
      <c r="D821" s="2"/>
      <c r="E821" s="19"/>
      <c r="F821" s="19"/>
      <c r="G821" s="19"/>
      <c r="H821" s="19"/>
      <c r="I821" s="19"/>
      <c r="J821" s="19"/>
      <c r="K821" s="19"/>
      <c r="L821" s="2"/>
      <c r="M821" s="19"/>
      <c r="N821" s="19"/>
      <c r="O821" s="84"/>
      <c r="P821" s="19"/>
      <c r="Q821" s="91"/>
      <c r="R821" s="19"/>
      <c r="S821" s="91"/>
      <c r="T821" s="19"/>
      <c r="U821" s="375"/>
    </row>
    <row r="822" spans="1:21" ht="15.75" customHeight="1" x14ac:dyDescent="0.25">
      <c r="A822" s="2"/>
      <c r="B822" s="19"/>
      <c r="C822" s="374"/>
      <c r="D822" s="2"/>
      <c r="E822" s="19"/>
      <c r="F822" s="19"/>
      <c r="G822" s="19"/>
      <c r="H822" s="19"/>
      <c r="I822" s="19"/>
      <c r="J822" s="19"/>
      <c r="K822" s="19"/>
      <c r="L822" s="2"/>
      <c r="M822" s="19"/>
      <c r="N822" s="19"/>
      <c r="O822" s="84"/>
      <c r="P822" s="19"/>
      <c r="Q822" s="91"/>
      <c r="R822" s="19"/>
      <c r="S822" s="91"/>
      <c r="T822" s="19"/>
      <c r="U822" s="375"/>
    </row>
    <row r="823" spans="1:21" ht="15.75" customHeight="1" x14ac:dyDescent="0.25">
      <c r="A823" s="2"/>
      <c r="B823" s="19"/>
      <c r="C823" s="374"/>
      <c r="D823" s="2"/>
      <c r="E823" s="19"/>
      <c r="F823" s="19"/>
      <c r="G823" s="19"/>
      <c r="H823" s="19"/>
      <c r="I823" s="19"/>
      <c r="J823" s="19"/>
      <c r="K823" s="19"/>
      <c r="L823" s="2"/>
      <c r="M823" s="19"/>
      <c r="N823" s="19"/>
      <c r="O823" s="84"/>
      <c r="P823" s="19"/>
      <c r="Q823" s="91"/>
      <c r="R823" s="19"/>
      <c r="S823" s="91"/>
      <c r="T823" s="19"/>
      <c r="U823" s="375"/>
    </row>
    <row r="824" spans="1:21" ht="15.75" customHeight="1" x14ac:dyDescent="0.25">
      <c r="A824" s="2"/>
      <c r="B824" s="19"/>
      <c r="C824" s="374"/>
      <c r="D824" s="2"/>
      <c r="E824" s="19"/>
      <c r="F824" s="19"/>
      <c r="G824" s="19"/>
      <c r="H824" s="19"/>
      <c r="I824" s="19"/>
      <c r="J824" s="19"/>
      <c r="K824" s="19"/>
      <c r="L824" s="2"/>
      <c r="M824" s="19"/>
      <c r="N824" s="19"/>
      <c r="O824" s="84"/>
      <c r="P824" s="19"/>
      <c r="Q824" s="91"/>
      <c r="R824" s="19"/>
      <c r="S824" s="91"/>
      <c r="T824" s="19"/>
      <c r="U824" s="375"/>
    </row>
    <row r="825" spans="1:21" ht="15.75" customHeight="1" x14ac:dyDescent="0.25">
      <c r="A825" s="2"/>
      <c r="B825" s="19"/>
      <c r="C825" s="374"/>
      <c r="D825" s="2"/>
      <c r="E825" s="19"/>
      <c r="F825" s="19"/>
      <c r="G825" s="19"/>
      <c r="H825" s="19"/>
      <c r="I825" s="19"/>
      <c r="J825" s="19"/>
      <c r="K825" s="19"/>
      <c r="L825" s="2"/>
      <c r="M825" s="19"/>
      <c r="N825" s="19"/>
      <c r="O825" s="84"/>
      <c r="P825" s="19"/>
      <c r="Q825" s="91"/>
      <c r="R825" s="19"/>
      <c r="S825" s="91"/>
      <c r="T825" s="19"/>
      <c r="U825" s="375"/>
    </row>
    <row r="826" spans="1:21" ht="15.75" customHeight="1" x14ac:dyDescent="0.25">
      <c r="A826" s="2"/>
      <c r="B826" s="19"/>
      <c r="C826" s="374"/>
      <c r="D826" s="2"/>
      <c r="E826" s="19"/>
      <c r="F826" s="19"/>
      <c r="G826" s="19"/>
      <c r="H826" s="19"/>
      <c r="I826" s="19"/>
      <c r="J826" s="19"/>
      <c r="K826" s="19"/>
      <c r="L826" s="2"/>
      <c r="M826" s="19"/>
      <c r="N826" s="19"/>
      <c r="O826" s="84"/>
      <c r="P826" s="19"/>
      <c r="Q826" s="91"/>
      <c r="R826" s="19"/>
      <c r="S826" s="91"/>
      <c r="T826" s="19"/>
      <c r="U826" s="375"/>
    </row>
    <row r="827" spans="1:21" ht="15.75" customHeight="1" x14ac:dyDescent="0.25">
      <c r="A827" s="2"/>
      <c r="B827" s="19"/>
      <c r="C827" s="374"/>
      <c r="D827" s="2"/>
      <c r="E827" s="19"/>
      <c r="F827" s="19"/>
      <c r="G827" s="19"/>
      <c r="H827" s="19"/>
      <c r="I827" s="19"/>
      <c r="J827" s="19"/>
      <c r="K827" s="19"/>
      <c r="L827" s="2"/>
      <c r="M827" s="19"/>
      <c r="N827" s="19"/>
      <c r="O827" s="84"/>
      <c r="P827" s="19"/>
      <c r="Q827" s="91"/>
      <c r="R827" s="19"/>
      <c r="S827" s="91"/>
      <c r="T827" s="19"/>
      <c r="U827" s="375"/>
    </row>
    <row r="828" spans="1:21" ht="15.75" customHeight="1" x14ac:dyDescent="0.25">
      <c r="A828" s="2"/>
      <c r="B828" s="19"/>
      <c r="C828" s="374"/>
      <c r="D828" s="2"/>
      <c r="E828" s="19"/>
      <c r="F828" s="19"/>
      <c r="G828" s="19"/>
      <c r="H828" s="19"/>
      <c r="I828" s="19"/>
      <c r="J828" s="19"/>
      <c r="K828" s="19"/>
      <c r="L828" s="2"/>
      <c r="M828" s="19"/>
      <c r="N828" s="19"/>
      <c r="O828" s="84"/>
      <c r="P828" s="19"/>
      <c r="Q828" s="91"/>
      <c r="R828" s="19"/>
      <c r="S828" s="91"/>
      <c r="T828" s="19"/>
      <c r="U828" s="375"/>
    </row>
    <row r="829" spans="1:21" ht="15.75" customHeight="1" x14ac:dyDescent="0.25">
      <c r="A829" s="2"/>
      <c r="B829" s="19"/>
      <c r="C829" s="374"/>
      <c r="D829" s="2"/>
      <c r="E829" s="19"/>
      <c r="F829" s="19"/>
      <c r="G829" s="19"/>
      <c r="H829" s="19"/>
      <c r="I829" s="19"/>
      <c r="J829" s="19"/>
      <c r="K829" s="19"/>
      <c r="L829" s="2"/>
      <c r="M829" s="19"/>
      <c r="N829" s="19"/>
      <c r="O829" s="84"/>
      <c r="P829" s="19"/>
      <c r="Q829" s="91"/>
      <c r="R829" s="19"/>
      <c r="S829" s="91"/>
      <c r="T829" s="19"/>
      <c r="U829" s="375"/>
    </row>
    <row r="830" spans="1:21" ht="15.75" customHeight="1" x14ac:dyDescent="0.25">
      <c r="A830" s="2"/>
      <c r="B830" s="19"/>
      <c r="C830" s="374"/>
      <c r="D830" s="2"/>
      <c r="E830" s="19"/>
      <c r="F830" s="19"/>
      <c r="G830" s="19"/>
      <c r="H830" s="19"/>
      <c r="I830" s="19"/>
      <c r="J830" s="19"/>
      <c r="K830" s="19"/>
      <c r="L830" s="2"/>
      <c r="M830" s="19"/>
      <c r="N830" s="19"/>
      <c r="O830" s="84"/>
      <c r="P830" s="19"/>
      <c r="Q830" s="91"/>
      <c r="R830" s="19"/>
      <c r="S830" s="91"/>
      <c r="T830" s="19"/>
      <c r="U830" s="375"/>
    </row>
    <row r="831" spans="1:21" ht="15.75" customHeight="1" x14ac:dyDescent="0.25">
      <c r="A831" s="2"/>
      <c r="B831" s="19"/>
      <c r="C831" s="374"/>
      <c r="D831" s="2"/>
      <c r="E831" s="19"/>
      <c r="F831" s="19"/>
      <c r="G831" s="19"/>
      <c r="H831" s="19"/>
      <c r="I831" s="19"/>
      <c r="J831" s="19"/>
      <c r="K831" s="19"/>
      <c r="L831" s="2"/>
      <c r="M831" s="19"/>
      <c r="N831" s="19"/>
      <c r="O831" s="84"/>
      <c r="P831" s="19"/>
      <c r="Q831" s="91"/>
      <c r="R831" s="19"/>
      <c r="S831" s="91"/>
      <c r="T831" s="19"/>
      <c r="U831" s="375"/>
    </row>
    <row r="832" spans="1:21" ht="15.75" customHeight="1" x14ac:dyDescent="0.25">
      <c r="A832" s="2"/>
      <c r="B832" s="19"/>
      <c r="C832" s="374"/>
      <c r="D832" s="2"/>
      <c r="E832" s="19"/>
      <c r="F832" s="19"/>
      <c r="G832" s="19"/>
      <c r="H832" s="19"/>
      <c r="I832" s="19"/>
      <c r="J832" s="19"/>
      <c r="K832" s="19"/>
      <c r="L832" s="2"/>
      <c r="M832" s="19"/>
      <c r="N832" s="19"/>
      <c r="O832" s="84"/>
      <c r="P832" s="19"/>
      <c r="Q832" s="91"/>
      <c r="R832" s="19"/>
      <c r="S832" s="91"/>
      <c r="T832" s="19"/>
      <c r="U832" s="375"/>
    </row>
    <row r="833" spans="1:21" ht="15.75" customHeight="1" x14ac:dyDescent="0.25">
      <c r="A833" s="2"/>
      <c r="B833" s="19"/>
      <c r="C833" s="374"/>
      <c r="D833" s="2"/>
      <c r="E833" s="19"/>
      <c r="F833" s="19"/>
      <c r="G833" s="19"/>
      <c r="H833" s="19"/>
      <c r="I833" s="19"/>
      <c r="J833" s="19"/>
      <c r="K833" s="19"/>
      <c r="L833" s="2"/>
      <c r="M833" s="19"/>
      <c r="N833" s="19"/>
      <c r="O833" s="84"/>
      <c r="P833" s="19"/>
      <c r="Q833" s="91"/>
      <c r="R833" s="19"/>
      <c r="S833" s="91"/>
      <c r="T833" s="19"/>
      <c r="U833" s="375"/>
    </row>
    <row r="834" spans="1:21" ht="15.75" customHeight="1" x14ac:dyDescent="0.25">
      <c r="A834" s="2"/>
      <c r="B834" s="19"/>
      <c r="C834" s="374"/>
      <c r="D834" s="2"/>
      <c r="E834" s="19"/>
      <c r="F834" s="19"/>
      <c r="G834" s="19"/>
      <c r="H834" s="19"/>
      <c r="I834" s="19"/>
      <c r="J834" s="19"/>
      <c r="K834" s="19"/>
      <c r="L834" s="2"/>
      <c r="M834" s="19"/>
      <c r="N834" s="19"/>
      <c r="O834" s="84"/>
      <c r="P834" s="19"/>
      <c r="Q834" s="91"/>
      <c r="R834" s="19"/>
      <c r="S834" s="91"/>
      <c r="T834" s="19"/>
      <c r="U834" s="375"/>
    </row>
    <row r="835" spans="1:21" ht="15.75" customHeight="1" x14ac:dyDescent="0.25">
      <c r="A835" s="2"/>
      <c r="B835" s="19"/>
      <c r="C835" s="374"/>
      <c r="D835" s="2"/>
      <c r="E835" s="19"/>
      <c r="F835" s="19"/>
      <c r="G835" s="19"/>
      <c r="H835" s="19"/>
      <c r="I835" s="19"/>
      <c r="J835" s="19"/>
      <c r="K835" s="19"/>
      <c r="L835" s="2"/>
      <c r="M835" s="19"/>
      <c r="N835" s="19"/>
      <c r="O835" s="84"/>
      <c r="P835" s="19"/>
      <c r="Q835" s="91"/>
      <c r="R835" s="19"/>
      <c r="S835" s="91"/>
      <c r="T835" s="19"/>
      <c r="U835" s="375"/>
    </row>
    <row r="836" spans="1:21" ht="15.75" customHeight="1" x14ac:dyDescent="0.25">
      <c r="A836" s="2"/>
      <c r="B836" s="19"/>
      <c r="C836" s="374"/>
      <c r="D836" s="2"/>
      <c r="E836" s="19"/>
      <c r="F836" s="19"/>
      <c r="G836" s="19"/>
      <c r="H836" s="19"/>
      <c r="I836" s="19"/>
      <c r="J836" s="19"/>
      <c r="K836" s="19"/>
      <c r="L836" s="2"/>
      <c r="M836" s="19"/>
      <c r="N836" s="19"/>
      <c r="O836" s="84"/>
      <c r="P836" s="19"/>
      <c r="Q836" s="91"/>
      <c r="R836" s="19"/>
      <c r="S836" s="91"/>
      <c r="T836" s="19"/>
      <c r="U836" s="375"/>
    </row>
    <row r="837" spans="1:21" ht="15.75" customHeight="1" x14ac:dyDescent="0.25">
      <c r="A837" s="2"/>
      <c r="B837" s="19"/>
      <c r="C837" s="374"/>
      <c r="D837" s="2"/>
      <c r="E837" s="19"/>
      <c r="F837" s="19"/>
      <c r="G837" s="19"/>
      <c r="H837" s="19"/>
      <c r="I837" s="19"/>
      <c r="J837" s="19"/>
      <c r="K837" s="19"/>
      <c r="L837" s="2"/>
      <c r="M837" s="19"/>
      <c r="N837" s="19"/>
      <c r="O837" s="84"/>
      <c r="P837" s="19"/>
      <c r="Q837" s="91"/>
      <c r="R837" s="19"/>
      <c r="S837" s="91"/>
      <c r="T837" s="19"/>
      <c r="U837" s="375"/>
    </row>
    <row r="838" spans="1:21" ht="15.75" customHeight="1" x14ac:dyDescent="0.25">
      <c r="A838" s="2"/>
      <c r="B838" s="19"/>
      <c r="C838" s="374"/>
      <c r="D838" s="2"/>
      <c r="E838" s="19"/>
      <c r="F838" s="19"/>
      <c r="G838" s="19"/>
      <c r="H838" s="19"/>
      <c r="I838" s="19"/>
      <c r="J838" s="19"/>
      <c r="K838" s="19"/>
      <c r="L838" s="2"/>
      <c r="M838" s="19"/>
      <c r="N838" s="19"/>
      <c r="O838" s="84"/>
      <c r="P838" s="19"/>
      <c r="Q838" s="91"/>
      <c r="R838" s="19"/>
      <c r="S838" s="91"/>
      <c r="T838" s="19"/>
      <c r="U838" s="375"/>
    </row>
    <row r="839" spans="1:21" ht="15.75" customHeight="1" x14ac:dyDescent="0.25">
      <c r="A839" s="2"/>
      <c r="B839" s="19"/>
      <c r="C839" s="374"/>
      <c r="D839" s="2"/>
      <c r="E839" s="19"/>
      <c r="F839" s="19"/>
      <c r="G839" s="19"/>
      <c r="H839" s="19"/>
      <c r="I839" s="19"/>
      <c r="J839" s="19"/>
      <c r="K839" s="19"/>
      <c r="L839" s="2"/>
      <c r="M839" s="19"/>
      <c r="N839" s="19"/>
      <c r="O839" s="84"/>
      <c r="P839" s="19"/>
      <c r="Q839" s="91"/>
      <c r="R839" s="19"/>
      <c r="S839" s="91"/>
      <c r="T839" s="19"/>
      <c r="U839" s="375"/>
    </row>
    <row r="840" spans="1:21" ht="15.75" customHeight="1" x14ac:dyDescent="0.25">
      <c r="A840" s="2"/>
      <c r="B840" s="19"/>
      <c r="C840" s="374"/>
      <c r="D840" s="2"/>
      <c r="E840" s="19"/>
      <c r="F840" s="19"/>
      <c r="G840" s="19"/>
      <c r="H840" s="19"/>
      <c r="I840" s="19"/>
      <c r="J840" s="19"/>
      <c r="K840" s="19"/>
      <c r="L840" s="2"/>
      <c r="M840" s="19"/>
      <c r="N840" s="19"/>
      <c r="O840" s="84"/>
      <c r="P840" s="19"/>
      <c r="Q840" s="91"/>
      <c r="R840" s="19"/>
      <c r="S840" s="91"/>
      <c r="T840" s="19"/>
      <c r="U840" s="375"/>
    </row>
    <row r="841" spans="1:21" ht="15.75" customHeight="1" x14ac:dyDescent="0.25">
      <c r="A841" s="2"/>
      <c r="B841" s="19"/>
      <c r="C841" s="374"/>
      <c r="D841" s="2"/>
      <c r="E841" s="19"/>
      <c r="F841" s="19"/>
      <c r="G841" s="19"/>
      <c r="H841" s="19"/>
      <c r="I841" s="19"/>
      <c r="J841" s="19"/>
      <c r="K841" s="19"/>
      <c r="L841" s="2"/>
      <c r="M841" s="19"/>
      <c r="N841" s="19"/>
      <c r="O841" s="84"/>
      <c r="P841" s="19"/>
      <c r="Q841" s="91"/>
      <c r="R841" s="19"/>
      <c r="S841" s="91"/>
      <c r="T841" s="19"/>
      <c r="U841" s="375"/>
    </row>
    <row r="842" spans="1:21" ht="15.75" customHeight="1" x14ac:dyDescent="0.25">
      <c r="A842" s="2"/>
      <c r="B842" s="19"/>
      <c r="C842" s="374"/>
      <c r="D842" s="2"/>
      <c r="E842" s="19"/>
      <c r="F842" s="19"/>
      <c r="G842" s="19"/>
      <c r="H842" s="19"/>
      <c r="I842" s="19"/>
      <c r="J842" s="19"/>
      <c r="K842" s="19"/>
      <c r="L842" s="2"/>
      <c r="M842" s="19"/>
      <c r="N842" s="19"/>
      <c r="O842" s="84"/>
      <c r="P842" s="19"/>
      <c r="Q842" s="91"/>
      <c r="R842" s="19"/>
      <c r="S842" s="91"/>
      <c r="T842" s="19"/>
      <c r="U842" s="375"/>
    </row>
    <row r="843" spans="1:21" ht="15.75" customHeight="1" x14ac:dyDescent="0.25">
      <c r="A843" s="2"/>
      <c r="B843" s="19"/>
      <c r="C843" s="374"/>
      <c r="D843" s="2"/>
      <c r="E843" s="19"/>
      <c r="F843" s="19"/>
      <c r="G843" s="19"/>
      <c r="H843" s="19"/>
      <c r="I843" s="19"/>
      <c r="J843" s="19"/>
      <c r="K843" s="19"/>
      <c r="L843" s="2"/>
      <c r="M843" s="19"/>
      <c r="N843" s="19"/>
      <c r="O843" s="84"/>
      <c r="P843" s="19"/>
      <c r="Q843" s="91"/>
      <c r="R843" s="19"/>
      <c r="S843" s="91"/>
      <c r="T843" s="19"/>
      <c r="U843" s="375"/>
    </row>
    <row r="844" spans="1:21" ht="15.75" customHeight="1" x14ac:dyDescent="0.25">
      <c r="A844" s="2"/>
      <c r="B844" s="19"/>
      <c r="C844" s="374"/>
      <c r="D844" s="2"/>
      <c r="E844" s="19"/>
      <c r="F844" s="19"/>
      <c r="G844" s="19"/>
      <c r="H844" s="19"/>
      <c r="I844" s="19"/>
      <c r="J844" s="19"/>
      <c r="K844" s="19"/>
      <c r="L844" s="2"/>
      <c r="M844" s="19"/>
      <c r="N844" s="19"/>
      <c r="O844" s="84"/>
      <c r="P844" s="19"/>
      <c r="Q844" s="91"/>
      <c r="R844" s="19"/>
      <c r="S844" s="91"/>
      <c r="T844" s="19"/>
      <c r="U844" s="375"/>
    </row>
    <row r="845" spans="1:21" ht="15.75" customHeight="1" x14ac:dyDescent="0.25">
      <c r="A845" s="2"/>
      <c r="B845" s="19"/>
      <c r="C845" s="374"/>
      <c r="D845" s="2"/>
      <c r="E845" s="19"/>
      <c r="F845" s="19"/>
      <c r="G845" s="19"/>
      <c r="H845" s="19"/>
      <c r="I845" s="19"/>
      <c r="J845" s="19"/>
      <c r="K845" s="19"/>
      <c r="L845" s="2"/>
      <c r="M845" s="19"/>
      <c r="N845" s="19"/>
      <c r="O845" s="84"/>
      <c r="P845" s="19"/>
      <c r="Q845" s="91"/>
      <c r="R845" s="19"/>
      <c r="S845" s="91"/>
      <c r="T845" s="19"/>
      <c r="U845" s="375"/>
    </row>
    <row r="846" spans="1:21" ht="15.75" customHeight="1" x14ac:dyDescent="0.25">
      <c r="A846" s="2"/>
      <c r="B846" s="19"/>
      <c r="C846" s="374"/>
      <c r="D846" s="2"/>
      <c r="E846" s="19"/>
      <c r="F846" s="19"/>
      <c r="G846" s="19"/>
      <c r="H846" s="19"/>
      <c r="I846" s="19"/>
      <c r="J846" s="19"/>
      <c r="K846" s="19"/>
      <c r="L846" s="2"/>
      <c r="M846" s="19"/>
      <c r="N846" s="19"/>
      <c r="O846" s="84"/>
      <c r="P846" s="19"/>
      <c r="Q846" s="91"/>
      <c r="R846" s="19"/>
      <c r="S846" s="91"/>
      <c r="T846" s="19"/>
      <c r="U846" s="375"/>
    </row>
    <row r="847" spans="1:21" ht="15.75" customHeight="1" x14ac:dyDescent="0.25">
      <c r="A847" s="2"/>
      <c r="B847" s="19"/>
      <c r="C847" s="374"/>
      <c r="D847" s="2"/>
      <c r="E847" s="19"/>
      <c r="F847" s="19"/>
      <c r="G847" s="19"/>
      <c r="H847" s="19"/>
      <c r="I847" s="19"/>
      <c r="J847" s="19"/>
      <c r="K847" s="19"/>
      <c r="L847" s="2"/>
      <c r="M847" s="19"/>
      <c r="N847" s="19"/>
      <c r="O847" s="84"/>
      <c r="P847" s="19"/>
      <c r="Q847" s="91"/>
      <c r="R847" s="19"/>
      <c r="S847" s="91"/>
      <c r="T847" s="19"/>
      <c r="U847" s="375"/>
    </row>
    <row r="848" spans="1:21" ht="15.75" customHeight="1" x14ac:dyDescent="0.25">
      <c r="A848" s="2"/>
      <c r="B848" s="19"/>
      <c r="C848" s="374"/>
      <c r="D848" s="2"/>
      <c r="E848" s="19"/>
      <c r="F848" s="19"/>
      <c r="G848" s="19"/>
      <c r="H848" s="19"/>
      <c r="I848" s="19"/>
      <c r="J848" s="19"/>
      <c r="K848" s="19"/>
      <c r="L848" s="2"/>
      <c r="M848" s="19"/>
      <c r="N848" s="19"/>
      <c r="O848" s="84"/>
      <c r="P848" s="19"/>
      <c r="Q848" s="91"/>
      <c r="R848" s="19"/>
      <c r="S848" s="91"/>
      <c r="T848" s="19"/>
      <c r="U848" s="375"/>
    </row>
    <row r="849" spans="1:21" ht="15.75" customHeight="1" x14ac:dyDescent="0.25">
      <c r="A849" s="2"/>
      <c r="B849" s="19"/>
      <c r="C849" s="374"/>
      <c r="D849" s="2"/>
      <c r="E849" s="19"/>
      <c r="F849" s="19"/>
      <c r="G849" s="19"/>
      <c r="H849" s="19"/>
      <c r="I849" s="19"/>
      <c r="J849" s="19"/>
      <c r="K849" s="19"/>
      <c r="L849" s="2"/>
      <c r="M849" s="19"/>
      <c r="N849" s="19"/>
      <c r="O849" s="84"/>
      <c r="P849" s="19"/>
      <c r="Q849" s="91"/>
      <c r="R849" s="19"/>
      <c r="S849" s="91"/>
      <c r="T849" s="19"/>
      <c r="U849" s="375"/>
    </row>
    <row r="850" spans="1:21" ht="15.75" customHeight="1" x14ac:dyDescent="0.25">
      <c r="A850" s="2"/>
      <c r="B850" s="19"/>
      <c r="C850" s="374"/>
      <c r="D850" s="2"/>
      <c r="E850" s="19"/>
      <c r="F850" s="19"/>
      <c r="G850" s="19"/>
      <c r="H850" s="19"/>
      <c r="I850" s="19"/>
      <c r="J850" s="19"/>
      <c r="K850" s="19"/>
      <c r="L850" s="2"/>
      <c r="M850" s="19"/>
      <c r="N850" s="19"/>
      <c r="O850" s="84"/>
      <c r="P850" s="19"/>
      <c r="Q850" s="91"/>
      <c r="R850" s="19"/>
      <c r="S850" s="91"/>
      <c r="T850" s="19"/>
      <c r="U850" s="375"/>
    </row>
    <row r="851" spans="1:21" ht="15.75" customHeight="1" x14ac:dyDescent="0.25">
      <c r="A851" s="2"/>
      <c r="B851" s="19"/>
      <c r="C851" s="374"/>
      <c r="D851" s="2"/>
      <c r="E851" s="19"/>
      <c r="F851" s="19"/>
      <c r="G851" s="19"/>
      <c r="H851" s="19"/>
      <c r="I851" s="19"/>
      <c r="J851" s="19"/>
      <c r="K851" s="19"/>
      <c r="L851" s="2"/>
      <c r="M851" s="19"/>
      <c r="N851" s="19"/>
      <c r="O851" s="84"/>
      <c r="P851" s="19"/>
      <c r="Q851" s="91"/>
      <c r="R851" s="19"/>
      <c r="S851" s="91"/>
      <c r="T851" s="19"/>
      <c r="U851" s="375"/>
    </row>
    <row r="852" spans="1:21" ht="15.75" customHeight="1" x14ac:dyDescent="0.25">
      <c r="A852" s="2"/>
      <c r="B852" s="19"/>
      <c r="C852" s="374"/>
      <c r="D852" s="2"/>
      <c r="E852" s="19"/>
      <c r="F852" s="19"/>
      <c r="G852" s="19"/>
      <c r="H852" s="19"/>
      <c r="I852" s="19"/>
      <c r="J852" s="19"/>
      <c r="K852" s="19"/>
      <c r="L852" s="2"/>
      <c r="M852" s="19"/>
      <c r="N852" s="19"/>
      <c r="O852" s="84"/>
      <c r="P852" s="19"/>
      <c r="Q852" s="91"/>
      <c r="R852" s="19"/>
      <c r="S852" s="91"/>
      <c r="T852" s="19"/>
      <c r="U852" s="375"/>
    </row>
    <row r="853" spans="1:21" ht="15.75" customHeight="1" x14ac:dyDescent="0.25">
      <c r="A853" s="2"/>
      <c r="B853" s="19"/>
      <c r="C853" s="374"/>
      <c r="D853" s="2"/>
      <c r="E853" s="19"/>
      <c r="F853" s="19"/>
      <c r="G853" s="19"/>
      <c r="H853" s="19"/>
      <c r="I853" s="19"/>
      <c r="J853" s="19"/>
      <c r="K853" s="19"/>
      <c r="L853" s="2"/>
      <c r="M853" s="19"/>
      <c r="N853" s="19"/>
      <c r="O853" s="84"/>
      <c r="P853" s="19"/>
      <c r="Q853" s="91"/>
      <c r="R853" s="19"/>
      <c r="S853" s="91"/>
      <c r="T853" s="19"/>
      <c r="U853" s="375"/>
    </row>
    <row r="854" spans="1:21" ht="15.75" customHeight="1" x14ac:dyDescent="0.25">
      <c r="A854" s="2"/>
      <c r="B854" s="19"/>
      <c r="C854" s="374"/>
      <c r="D854" s="2"/>
      <c r="E854" s="19"/>
      <c r="F854" s="19"/>
      <c r="G854" s="19"/>
      <c r="H854" s="19"/>
      <c r="I854" s="19"/>
      <c r="J854" s="19"/>
      <c r="K854" s="19"/>
      <c r="L854" s="2"/>
      <c r="M854" s="19"/>
      <c r="N854" s="19"/>
      <c r="O854" s="84"/>
      <c r="P854" s="19"/>
      <c r="Q854" s="91"/>
      <c r="R854" s="19"/>
      <c r="S854" s="91"/>
      <c r="T854" s="19"/>
      <c r="U854" s="375"/>
    </row>
    <row r="855" spans="1:21" ht="15.75" customHeight="1" x14ac:dyDescent="0.25">
      <c r="A855" s="2"/>
      <c r="B855" s="19"/>
      <c r="C855" s="374"/>
      <c r="D855" s="2"/>
      <c r="E855" s="19"/>
      <c r="F855" s="19"/>
      <c r="G855" s="19"/>
      <c r="H855" s="19"/>
      <c r="I855" s="19"/>
      <c r="J855" s="19"/>
      <c r="K855" s="19"/>
      <c r="L855" s="2"/>
      <c r="M855" s="19"/>
      <c r="N855" s="19"/>
      <c r="O855" s="84"/>
      <c r="P855" s="19"/>
      <c r="Q855" s="91"/>
      <c r="R855" s="19"/>
      <c r="S855" s="91"/>
      <c r="T855" s="19"/>
      <c r="U855" s="375"/>
    </row>
    <row r="856" spans="1:21" ht="15.75" customHeight="1" x14ac:dyDescent="0.25">
      <c r="A856" s="2"/>
      <c r="B856" s="19"/>
      <c r="C856" s="374"/>
      <c r="D856" s="2"/>
      <c r="E856" s="19"/>
      <c r="F856" s="19"/>
      <c r="G856" s="19"/>
      <c r="H856" s="19"/>
      <c r="I856" s="19"/>
      <c r="J856" s="19"/>
      <c r="K856" s="19"/>
      <c r="L856" s="2"/>
      <c r="M856" s="19"/>
      <c r="N856" s="19"/>
      <c r="O856" s="84"/>
      <c r="P856" s="19"/>
      <c r="Q856" s="91"/>
      <c r="R856" s="19"/>
      <c r="S856" s="91"/>
      <c r="T856" s="19"/>
      <c r="U856" s="375"/>
    </row>
    <row r="857" spans="1:21" ht="15.75" customHeight="1" x14ac:dyDescent="0.25">
      <c r="A857" s="2"/>
      <c r="B857" s="19"/>
      <c r="C857" s="374"/>
      <c r="D857" s="2"/>
      <c r="E857" s="19"/>
      <c r="F857" s="19"/>
      <c r="G857" s="19"/>
      <c r="H857" s="19"/>
      <c r="I857" s="19"/>
      <c r="J857" s="19"/>
      <c r="K857" s="19"/>
      <c r="L857" s="2"/>
      <c r="M857" s="19"/>
      <c r="N857" s="19"/>
      <c r="O857" s="84"/>
      <c r="P857" s="19"/>
      <c r="Q857" s="91"/>
      <c r="R857" s="19"/>
      <c r="S857" s="91"/>
      <c r="T857" s="19"/>
      <c r="U857" s="375"/>
    </row>
    <row r="858" spans="1:21" ht="15.75" customHeight="1" x14ac:dyDescent="0.25">
      <c r="A858" s="2"/>
      <c r="B858" s="19"/>
      <c r="C858" s="374"/>
      <c r="D858" s="2"/>
      <c r="E858" s="19"/>
      <c r="F858" s="19"/>
      <c r="G858" s="19"/>
      <c r="H858" s="19"/>
      <c r="I858" s="19"/>
      <c r="J858" s="19"/>
      <c r="K858" s="19"/>
      <c r="L858" s="2"/>
      <c r="M858" s="19"/>
      <c r="N858" s="19"/>
      <c r="O858" s="84"/>
      <c r="P858" s="19"/>
      <c r="Q858" s="91"/>
      <c r="R858" s="19"/>
      <c r="S858" s="91"/>
      <c r="T858" s="19"/>
      <c r="U858" s="375"/>
    </row>
    <row r="859" spans="1:21" ht="15.75" customHeight="1" x14ac:dyDescent="0.25">
      <c r="A859" s="2"/>
      <c r="B859" s="19"/>
      <c r="C859" s="374"/>
      <c r="D859" s="2"/>
      <c r="E859" s="19"/>
      <c r="F859" s="19"/>
      <c r="G859" s="19"/>
      <c r="H859" s="19"/>
      <c r="I859" s="19"/>
      <c r="J859" s="19"/>
      <c r="K859" s="19"/>
      <c r="L859" s="2"/>
      <c r="M859" s="19"/>
      <c r="N859" s="19"/>
      <c r="O859" s="84"/>
      <c r="P859" s="19"/>
      <c r="Q859" s="91"/>
      <c r="R859" s="19"/>
      <c r="S859" s="91"/>
      <c r="T859" s="19"/>
      <c r="U859" s="375"/>
    </row>
    <row r="860" spans="1:21" ht="15.75" customHeight="1" x14ac:dyDescent="0.25">
      <c r="A860" s="2"/>
      <c r="B860" s="19"/>
      <c r="C860" s="374"/>
      <c r="D860" s="2"/>
      <c r="E860" s="19"/>
      <c r="F860" s="19"/>
      <c r="G860" s="19"/>
      <c r="H860" s="19"/>
      <c r="I860" s="19"/>
      <c r="J860" s="19"/>
      <c r="K860" s="19"/>
      <c r="L860" s="2"/>
      <c r="M860" s="19"/>
      <c r="N860" s="19"/>
      <c r="O860" s="84"/>
      <c r="P860" s="19"/>
      <c r="Q860" s="91"/>
      <c r="R860" s="19"/>
      <c r="S860" s="91"/>
      <c r="T860" s="19"/>
      <c r="U860" s="375"/>
    </row>
    <row r="861" spans="1:21" ht="15.75" customHeight="1" x14ac:dyDescent="0.25">
      <c r="A861" s="2"/>
      <c r="B861" s="19"/>
      <c r="C861" s="374"/>
      <c r="D861" s="2"/>
      <c r="E861" s="19"/>
      <c r="F861" s="19"/>
      <c r="G861" s="19"/>
      <c r="H861" s="19"/>
      <c r="I861" s="19"/>
      <c r="J861" s="19"/>
      <c r="K861" s="19"/>
      <c r="L861" s="2"/>
      <c r="M861" s="19"/>
      <c r="N861" s="19"/>
      <c r="O861" s="84"/>
      <c r="P861" s="19"/>
      <c r="Q861" s="91"/>
      <c r="R861" s="19"/>
      <c r="S861" s="91"/>
      <c r="T861" s="19"/>
      <c r="U861" s="375"/>
    </row>
    <row r="862" spans="1:21" ht="15.75" customHeight="1" x14ac:dyDescent="0.25">
      <c r="A862" s="2"/>
      <c r="B862" s="19"/>
      <c r="C862" s="374"/>
      <c r="D862" s="2"/>
      <c r="E862" s="19"/>
      <c r="F862" s="19"/>
      <c r="G862" s="19"/>
      <c r="H862" s="19"/>
      <c r="I862" s="19"/>
      <c r="J862" s="19"/>
      <c r="K862" s="19"/>
      <c r="L862" s="2"/>
      <c r="M862" s="19"/>
      <c r="N862" s="19"/>
      <c r="O862" s="84"/>
      <c r="P862" s="19"/>
      <c r="Q862" s="91"/>
      <c r="R862" s="19"/>
      <c r="S862" s="91"/>
      <c r="T862" s="19"/>
      <c r="U862" s="375"/>
    </row>
    <row r="863" spans="1:21" ht="15.75" customHeight="1" x14ac:dyDescent="0.25">
      <c r="A863" s="2"/>
      <c r="B863" s="19"/>
      <c r="C863" s="374"/>
      <c r="D863" s="2"/>
      <c r="E863" s="19"/>
      <c r="F863" s="19"/>
      <c r="G863" s="19"/>
      <c r="H863" s="19"/>
      <c r="I863" s="19"/>
      <c r="J863" s="19"/>
      <c r="K863" s="19"/>
      <c r="L863" s="2"/>
      <c r="M863" s="19"/>
      <c r="N863" s="19"/>
      <c r="O863" s="84"/>
      <c r="P863" s="19"/>
      <c r="Q863" s="91"/>
      <c r="R863" s="19"/>
      <c r="S863" s="91"/>
      <c r="T863" s="19"/>
      <c r="U863" s="375"/>
    </row>
    <row r="864" spans="1:21" ht="15.75" customHeight="1" x14ac:dyDescent="0.25">
      <c r="A864" s="2"/>
      <c r="B864" s="19"/>
      <c r="C864" s="374"/>
      <c r="D864" s="2"/>
      <c r="E864" s="19"/>
      <c r="F864" s="19"/>
      <c r="G864" s="19"/>
      <c r="H864" s="19"/>
      <c r="I864" s="19"/>
      <c r="J864" s="19"/>
      <c r="K864" s="19"/>
      <c r="L864" s="2"/>
      <c r="M864" s="19"/>
      <c r="N864" s="19"/>
      <c r="O864" s="84"/>
      <c r="P864" s="19"/>
      <c r="Q864" s="91"/>
      <c r="R864" s="19"/>
      <c r="S864" s="91"/>
      <c r="T864" s="19"/>
      <c r="U864" s="375"/>
    </row>
    <row r="865" spans="1:21" ht="15.75" customHeight="1" x14ac:dyDescent="0.25">
      <c r="A865" s="2"/>
      <c r="B865" s="19"/>
      <c r="C865" s="374"/>
      <c r="D865" s="2"/>
      <c r="E865" s="19"/>
      <c r="F865" s="19"/>
      <c r="G865" s="19"/>
      <c r="H865" s="19"/>
      <c r="I865" s="19"/>
      <c r="J865" s="19"/>
      <c r="K865" s="19"/>
      <c r="L865" s="2"/>
      <c r="M865" s="19"/>
      <c r="N865" s="19"/>
      <c r="O865" s="84"/>
      <c r="P865" s="19"/>
      <c r="Q865" s="91"/>
      <c r="R865" s="19"/>
      <c r="S865" s="91"/>
      <c r="T865" s="19"/>
      <c r="U865" s="375"/>
    </row>
    <row r="866" spans="1:21" ht="15.75" customHeight="1" x14ac:dyDescent="0.25">
      <c r="A866" s="2"/>
      <c r="B866" s="19"/>
      <c r="C866" s="374"/>
      <c r="D866" s="2"/>
      <c r="E866" s="19"/>
      <c r="F866" s="19"/>
      <c r="G866" s="19"/>
      <c r="H866" s="19"/>
      <c r="I866" s="19"/>
      <c r="J866" s="19"/>
      <c r="K866" s="19"/>
      <c r="L866" s="2"/>
      <c r="M866" s="19"/>
      <c r="N866" s="19"/>
      <c r="O866" s="84"/>
      <c r="P866" s="19"/>
      <c r="Q866" s="91"/>
      <c r="R866" s="19"/>
      <c r="S866" s="91"/>
      <c r="T866" s="19"/>
      <c r="U866" s="375"/>
    </row>
    <row r="867" spans="1:21" ht="15.75" customHeight="1" x14ac:dyDescent="0.25">
      <c r="A867" s="2"/>
      <c r="B867" s="19"/>
      <c r="C867" s="374"/>
      <c r="D867" s="2"/>
      <c r="E867" s="19"/>
      <c r="F867" s="19"/>
      <c r="G867" s="19"/>
      <c r="H867" s="19"/>
      <c r="I867" s="19"/>
      <c r="J867" s="19"/>
      <c r="K867" s="19"/>
      <c r="L867" s="2"/>
      <c r="M867" s="19"/>
      <c r="N867" s="19"/>
      <c r="O867" s="84"/>
      <c r="P867" s="19"/>
      <c r="Q867" s="91"/>
      <c r="R867" s="19"/>
      <c r="S867" s="91"/>
      <c r="T867" s="19"/>
      <c r="U867" s="375"/>
    </row>
    <row r="868" spans="1:21" ht="15.75" customHeight="1" x14ac:dyDescent="0.25">
      <c r="A868" s="2"/>
      <c r="B868" s="19"/>
      <c r="C868" s="374"/>
      <c r="D868" s="2"/>
      <c r="E868" s="19"/>
      <c r="F868" s="19"/>
      <c r="G868" s="19"/>
      <c r="H868" s="19"/>
      <c r="I868" s="19"/>
      <c r="J868" s="19"/>
      <c r="K868" s="19"/>
      <c r="L868" s="2"/>
      <c r="M868" s="19"/>
      <c r="N868" s="19"/>
      <c r="O868" s="84"/>
      <c r="P868" s="19"/>
      <c r="Q868" s="91"/>
      <c r="R868" s="19"/>
      <c r="S868" s="91"/>
      <c r="T868" s="19"/>
      <c r="U868" s="375"/>
    </row>
    <row r="869" spans="1:21" ht="15.75" customHeight="1" x14ac:dyDescent="0.25">
      <c r="A869" s="2"/>
      <c r="B869" s="19"/>
      <c r="C869" s="374"/>
      <c r="D869" s="2"/>
      <c r="E869" s="19"/>
      <c r="F869" s="19"/>
      <c r="G869" s="19"/>
      <c r="H869" s="19"/>
      <c r="I869" s="19"/>
      <c r="J869" s="19"/>
      <c r="K869" s="19"/>
      <c r="L869" s="2"/>
      <c r="M869" s="19"/>
      <c r="N869" s="19"/>
      <c r="O869" s="84"/>
      <c r="P869" s="19"/>
      <c r="Q869" s="91"/>
      <c r="R869" s="19"/>
      <c r="S869" s="91"/>
      <c r="T869" s="19"/>
      <c r="U869" s="375"/>
    </row>
    <row r="870" spans="1:21" ht="15.75" customHeight="1" x14ac:dyDescent="0.25">
      <c r="A870" s="2"/>
      <c r="B870" s="19"/>
      <c r="C870" s="374"/>
      <c r="D870" s="2"/>
      <c r="E870" s="19"/>
      <c r="F870" s="19"/>
      <c r="G870" s="19"/>
      <c r="H870" s="19"/>
      <c r="I870" s="19"/>
      <c r="J870" s="19"/>
      <c r="K870" s="19"/>
      <c r="L870" s="2"/>
      <c r="M870" s="19"/>
      <c r="N870" s="19"/>
      <c r="O870" s="84"/>
      <c r="P870" s="19"/>
      <c r="Q870" s="91"/>
      <c r="R870" s="19"/>
      <c r="S870" s="91"/>
      <c r="T870" s="19"/>
      <c r="U870" s="375"/>
    </row>
    <row r="871" spans="1:21" ht="15.75" customHeight="1" x14ac:dyDescent="0.25">
      <c r="A871" s="2"/>
      <c r="B871" s="19"/>
      <c r="C871" s="374"/>
      <c r="D871" s="2"/>
      <c r="E871" s="19"/>
      <c r="F871" s="19"/>
      <c r="G871" s="19"/>
      <c r="H871" s="19"/>
      <c r="I871" s="19"/>
      <c r="J871" s="19"/>
      <c r="K871" s="19"/>
      <c r="L871" s="2"/>
      <c r="M871" s="19"/>
      <c r="N871" s="19"/>
      <c r="O871" s="84"/>
      <c r="P871" s="19"/>
      <c r="Q871" s="91"/>
      <c r="R871" s="19"/>
      <c r="S871" s="91"/>
      <c r="T871" s="19"/>
      <c r="U871" s="375"/>
    </row>
    <row r="872" spans="1:21" ht="15.75" customHeight="1" x14ac:dyDescent="0.25">
      <c r="A872" s="2"/>
      <c r="B872" s="19"/>
      <c r="C872" s="374"/>
      <c r="D872" s="2"/>
      <c r="E872" s="19"/>
      <c r="F872" s="19"/>
      <c r="G872" s="19"/>
      <c r="H872" s="19"/>
      <c r="I872" s="19"/>
      <c r="J872" s="19"/>
      <c r="K872" s="19"/>
      <c r="L872" s="2"/>
      <c r="M872" s="19"/>
      <c r="N872" s="19"/>
      <c r="O872" s="84"/>
      <c r="P872" s="19"/>
      <c r="Q872" s="91"/>
      <c r="R872" s="19"/>
      <c r="S872" s="91"/>
      <c r="T872" s="19"/>
      <c r="U872" s="375"/>
    </row>
    <row r="873" spans="1:21" ht="15.75" customHeight="1" x14ac:dyDescent="0.25">
      <c r="A873" s="2"/>
      <c r="B873" s="19"/>
      <c r="C873" s="374"/>
      <c r="D873" s="2"/>
      <c r="E873" s="19"/>
      <c r="F873" s="19"/>
      <c r="G873" s="19"/>
      <c r="H873" s="19"/>
      <c r="I873" s="19"/>
      <c r="J873" s="19"/>
      <c r="K873" s="19"/>
      <c r="L873" s="2"/>
      <c r="M873" s="19"/>
      <c r="N873" s="19"/>
      <c r="O873" s="84"/>
      <c r="P873" s="19"/>
      <c r="Q873" s="91"/>
      <c r="R873" s="19"/>
      <c r="S873" s="91"/>
      <c r="T873" s="19"/>
      <c r="U873" s="375"/>
    </row>
    <row r="874" spans="1:21" ht="15.75" customHeight="1" x14ac:dyDescent="0.25">
      <c r="A874" s="2"/>
      <c r="B874" s="19"/>
      <c r="C874" s="374"/>
      <c r="D874" s="2"/>
      <c r="E874" s="19"/>
      <c r="F874" s="19"/>
      <c r="G874" s="19"/>
      <c r="H874" s="19"/>
      <c r="I874" s="19"/>
      <c r="J874" s="19"/>
      <c r="K874" s="19"/>
      <c r="L874" s="2"/>
      <c r="M874" s="19"/>
      <c r="N874" s="19"/>
      <c r="O874" s="84"/>
      <c r="P874" s="19"/>
      <c r="Q874" s="91"/>
      <c r="R874" s="19"/>
      <c r="S874" s="91"/>
      <c r="T874" s="19"/>
      <c r="U874" s="375"/>
    </row>
    <row r="875" spans="1:21" ht="15.75" customHeight="1" x14ac:dyDescent="0.25">
      <c r="A875" s="2"/>
      <c r="B875" s="19"/>
      <c r="C875" s="374"/>
      <c r="D875" s="2"/>
      <c r="E875" s="19"/>
      <c r="F875" s="19"/>
      <c r="G875" s="19"/>
      <c r="H875" s="19"/>
      <c r="I875" s="19"/>
      <c r="J875" s="19"/>
      <c r="K875" s="19"/>
      <c r="L875" s="2"/>
      <c r="M875" s="19"/>
      <c r="N875" s="19"/>
      <c r="O875" s="84"/>
      <c r="P875" s="19"/>
      <c r="Q875" s="91"/>
      <c r="R875" s="19"/>
      <c r="S875" s="91"/>
      <c r="T875" s="19"/>
      <c r="U875" s="375"/>
    </row>
    <row r="876" spans="1:21" ht="15.75" customHeight="1" x14ac:dyDescent="0.25">
      <c r="A876" s="2"/>
      <c r="B876" s="19"/>
      <c r="C876" s="374"/>
      <c r="D876" s="2"/>
      <c r="E876" s="19"/>
      <c r="F876" s="19"/>
      <c r="G876" s="19"/>
      <c r="H876" s="19"/>
      <c r="I876" s="19"/>
      <c r="J876" s="19"/>
      <c r="K876" s="19"/>
      <c r="L876" s="2"/>
      <c r="M876" s="19"/>
      <c r="N876" s="19"/>
      <c r="O876" s="84"/>
      <c r="P876" s="19"/>
      <c r="Q876" s="91"/>
      <c r="R876" s="19"/>
      <c r="S876" s="91"/>
      <c r="T876" s="19"/>
      <c r="U876" s="375"/>
    </row>
    <row r="877" spans="1:21" ht="15.75" customHeight="1" x14ac:dyDescent="0.25">
      <c r="A877" s="2"/>
      <c r="B877" s="19"/>
      <c r="C877" s="374"/>
      <c r="D877" s="2"/>
      <c r="E877" s="19"/>
      <c r="F877" s="19"/>
      <c r="G877" s="19"/>
      <c r="H877" s="19"/>
      <c r="I877" s="19"/>
      <c r="J877" s="19"/>
      <c r="K877" s="19"/>
      <c r="L877" s="2"/>
      <c r="M877" s="19"/>
      <c r="N877" s="19"/>
      <c r="O877" s="84"/>
      <c r="P877" s="19"/>
      <c r="Q877" s="91"/>
      <c r="R877" s="19"/>
      <c r="S877" s="91"/>
      <c r="T877" s="19"/>
      <c r="U877" s="375"/>
    </row>
    <row r="878" spans="1:21" ht="15.75" customHeight="1" x14ac:dyDescent="0.25">
      <c r="A878" s="2"/>
      <c r="B878" s="19"/>
      <c r="C878" s="374"/>
      <c r="D878" s="2"/>
      <c r="E878" s="19"/>
      <c r="F878" s="19"/>
      <c r="G878" s="19"/>
      <c r="H878" s="19"/>
      <c r="I878" s="19"/>
      <c r="J878" s="19"/>
      <c r="K878" s="19"/>
      <c r="L878" s="2"/>
      <c r="M878" s="19"/>
      <c r="N878" s="19"/>
      <c r="O878" s="84"/>
      <c r="P878" s="19"/>
      <c r="Q878" s="91"/>
      <c r="R878" s="19"/>
      <c r="S878" s="91"/>
      <c r="T878" s="19"/>
      <c r="U878" s="375"/>
    </row>
    <row r="879" spans="1:21" ht="15.75" customHeight="1" x14ac:dyDescent="0.25">
      <c r="A879" s="2"/>
      <c r="B879" s="19"/>
      <c r="C879" s="374"/>
      <c r="D879" s="2"/>
      <c r="E879" s="19"/>
      <c r="F879" s="19"/>
      <c r="G879" s="19"/>
      <c r="H879" s="19"/>
      <c r="I879" s="19"/>
      <c r="J879" s="19"/>
      <c r="K879" s="19"/>
      <c r="L879" s="2"/>
      <c r="M879" s="19"/>
      <c r="N879" s="19"/>
      <c r="O879" s="84"/>
      <c r="P879" s="19"/>
      <c r="Q879" s="91"/>
      <c r="R879" s="19"/>
      <c r="S879" s="91"/>
      <c r="T879" s="19"/>
      <c r="U879" s="375"/>
    </row>
    <row r="880" spans="1:21" ht="15.75" customHeight="1" x14ac:dyDescent="0.25">
      <c r="A880" s="2"/>
      <c r="B880" s="19"/>
      <c r="C880" s="374"/>
      <c r="D880" s="2"/>
      <c r="E880" s="19"/>
      <c r="F880" s="19"/>
      <c r="G880" s="19"/>
      <c r="H880" s="19"/>
      <c r="I880" s="19"/>
      <c r="J880" s="19"/>
      <c r="K880" s="19"/>
      <c r="L880" s="2"/>
      <c r="M880" s="19"/>
      <c r="N880" s="19"/>
      <c r="O880" s="84"/>
      <c r="P880" s="19"/>
      <c r="Q880" s="91"/>
      <c r="R880" s="19"/>
      <c r="S880" s="91"/>
      <c r="T880" s="19"/>
      <c r="U880" s="375"/>
    </row>
    <row r="881" spans="1:21" ht="15.75" customHeight="1" x14ac:dyDescent="0.25">
      <c r="A881" s="2"/>
      <c r="B881" s="19"/>
      <c r="C881" s="374"/>
      <c r="D881" s="2"/>
      <c r="E881" s="19"/>
      <c r="F881" s="19"/>
      <c r="G881" s="19"/>
      <c r="H881" s="19"/>
      <c r="I881" s="19"/>
      <c r="J881" s="19"/>
      <c r="K881" s="19"/>
      <c r="L881" s="2"/>
      <c r="M881" s="19"/>
      <c r="N881" s="19"/>
      <c r="O881" s="84"/>
      <c r="P881" s="19"/>
      <c r="Q881" s="91"/>
      <c r="R881" s="19"/>
      <c r="S881" s="91"/>
      <c r="T881" s="19"/>
      <c r="U881" s="375"/>
    </row>
    <row r="882" spans="1:21" ht="15.75" customHeight="1" x14ac:dyDescent="0.25">
      <c r="A882" s="2"/>
      <c r="B882" s="19"/>
      <c r="C882" s="374"/>
      <c r="D882" s="2"/>
      <c r="E882" s="19"/>
      <c r="F882" s="19"/>
      <c r="G882" s="19"/>
      <c r="H882" s="19"/>
      <c r="I882" s="19"/>
      <c r="J882" s="19"/>
      <c r="K882" s="19"/>
      <c r="L882" s="2"/>
      <c r="M882" s="19"/>
      <c r="N882" s="19"/>
      <c r="O882" s="84"/>
      <c r="P882" s="19"/>
      <c r="Q882" s="91"/>
      <c r="R882" s="19"/>
      <c r="S882" s="91"/>
      <c r="T882" s="19"/>
      <c r="U882" s="375"/>
    </row>
    <row r="883" spans="1:21" ht="15.75" customHeight="1" x14ac:dyDescent="0.25">
      <c r="A883" s="2"/>
      <c r="B883" s="19"/>
      <c r="C883" s="374"/>
      <c r="D883" s="2"/>
      <c r="E883" s="19"/>
      <c r="F883" s="19"/>
      <c r="G883" s="19"/>
      <c r="H883" s="19"/>
      <c r="I883" s="19"/>
      <c r="J883" s="19"/>
      <c r="K883" s="19"/>
      <c r="L883" s="2"/>
      <c r="M883" s="19"/>
      <c r="N883" s="19"/>
      <c r="O883" s="84"/>
      <c r="P883" s="19"/>
      <c r="Q883" s="91"/>
      <c r="R883" s="19"/>
      <c r="S883" s="91"/>
      <c r="T883" s="19"/>
      <c r="U883" s="375"/>
    </row>
    <row r="884" spans="1:21" ht="15.75" customHeight="1" x14ac:dyDescent="0.25">
      <c r="A884" s="2"/>
      <c r="B884" s="19"/>
      <c r="C884" s="374"/>
      <c r="D884" s="2"/>
      <c r="E884" s="19"/>
      <c r="F884" s="19"/>
      <c r="G884" s="19"/>
      <c r="H884" s="19"/>
      <c r="I884" s="19"/>
      <c r="J884" s="19"/>
      <c r="K884" s="19"/>
      <c r="L884" s="2"/>
      <c r="M884" s="19"/>
      <c r="N884" s="19"/>
      <c r="O884" s="84"/>
      <c r="P884" s="19"/>
      <c r="Q884" s="91"/>
      <c r="R884" s="19"/>
      <c r="S884" s="91"/>
      <c r="T884" s="19"/>
      <c r="U884" s="375"/>
    </row>
    <row r="885" spans="1:21" ht="15.75" customHeight="1" x14ac:dyDescent="0.25">
      <c r="A885" s="2"/>
      <c r="B885" s="19"/>
      <c r="C885" s="374"/>
      <c r="D885" s="2"/>
      <c r="E885" s="19"/>
      <c r="F885" s="19"/>
      <c r="G885" s="19"/>
      <c r="H885" s="19"/>
      <c r="I885" s="19"/>
      <c r="J885" s="19"/>
      <c r="K885" s="19"/>
      <c r="L885" s="2"/>
      <c r="M885" s="19"/>
      <c r="N885" s="19"/>
      <c r="O885" s="84"/>
      <c r="P885" s="19"/>
      <c r="Q885" s="91"/>
      <c r="R885" s="19"/>
      <c r="S885" s="91"/>
      <c r="T885" s="19"/>
      <c r="U885" s="375"/>
    </row>
    <row r="886" spans="1:21" ht="15.75" customHeight="1" x14ac:dyDescent="0.25">
      <c r="A886" s="2"/>
      <c r="B886" s="19"/>
      <c r="C886" s="374"/>
      <c r="D886" s="2"/>
      <c r="E886" s="19"/>
      <c r="F886" s="19"/>
      <c r="G886" s="19"/>
      <c r="H886" s="19"/>
      <c r="I886" s="19"/>
      <c r="J886" s="19"/>
      <c r="K886" s="19"/>
      <c r="L886" s="2"/>
      <c r="M886" s="19"/>
      <c r="N886" s="19"/>
      <c r="O886" s="84"/>
      <c r="P886" s="19"/>
      <c r="Q886" s="91"/>
      <c r="R886" s="19"/>
      <c r="S886" s="91"/>
      <c r="T886" s="19"/>
      <c r="U886" s="375"/>
    </row>
    <row r="887" spans="1:21" ht="15.75" customHeight="1" x14ac:dyDescent="0.25">
      <c r="A887" s="2"/>
      <c r="B887" s="19"/>
      <c r="C887" s="374"/>
      <c r="D887" s="2"/>
      <c r="E887" s="19"/>
      <c r="F887" s="19"/>
      <c r="G887" s="19"/>
      <c r="H887" s="19"/>
      <c r="I887" s="19"/>
      <c r="J887" s="19"/>
      <c r="K887" s="19"/>
      <c r="L887" s="2"/>
      <c r="M887" s="19"/>
      <c r="N887" s="19"/>
      <c r="O887" s="84"/>
      <c r="P887" s="19"/>
      <c r="Q887" s="91"/>
      <c r="R887" s="19"/>
      <c r="S887" s="91"/>
      <c r="T887" s="19"/>
      <c r="U887" s="375"/>
    </row>
    <row r="888" spans="1:21" ht="15.75" customHeight="1" x14ac:dyDescent="0.25">
      <c r="A888" s="2"/>
      <c r="B888" s="19"/>
      <c r="C888" s="374"/>
      <c r="D888" s="2"/>
      <c r="E888" s="19"/>
      <c r="F888" s="19"/>
      <c r="G888" s="19"/>
      <c r="H888" s="19"/>
      <c r="I888" s="19"/>
      <c r="J888" s="19"/>
      <c r="K888" s="19"/>
      <c r="L888" s="2"/>
      <c r="M888" s="19"/>
      <c r="N888" s="19"/>
      <c r="O888" s="84"/>
      <c r="P888" s="19"/>
      <c r="Q888" s="91"/>
      <c r="R888" s="19"/>
      <c r="S888" s="91"/>
      <c r="T888" s="19"/>
      <c r="U888" s="375"/>
    </row>
    <row r="889" spans="1:21" ht="15.75" customHeight="1" x14ac:dyDescent="0.25">
      <c r="A889" s="2"/>
      <c r="B889" s="19"/>
      <c r="C889" s="374"/>
      <c r="D889" s="2"/>
      <c r="E889" s="19"/>
      <c r="F889" s="19"/>
      <c r="G889" s="19"/>
      <c r="H889" s="19"/>
      <c r="I889" s="19"/>
      <c r="J889" s="19"/>
      <c r="K889" s="19"/>
      <c r="L889" s="2"/>
      <c r="M889" s="19"/>
      <c r="N889" s="19"/>
      <c r="O889" s="84"/>
      <c r="P889" s="19"/>
      <c r="Q889" s="91"/>
      <c r="R889" s="19"/>
      <c r="S889" s="91"/>
      <c r="T889" s="19"/>
      <c r="U889" s="375"/>
    </row>
    <row r="890" spans="1:21" ht="15.75" customHeight="1" x14ac:dyDescent="0.25">
      <c r="A890" s="2"/>
      <c r="B890" s="19"/>
      <c r="C890" s="374"/>
      <c r="D890" s="2"/>
      <c r="E890" s="19"/>
      <c r="F890" s="19"/>
      <c r="G890" s="19"/>
      <c r="H890" s="19"/>
      <c r="I890" s="19"/>
      <c r="J890" s="19"/>
      <c r="K890" s="19"/>
      <c r="L890" s="2"/>
      <c r="M890" s="19"/>
      <c r="N890" s="19"/>
      <c r="O890" s="84"/>
      <c r="P890" s="19"/>
      <c r="Q890" s="91"/>
      <c r="R890" s="19"/>
      <c r="S890" s="91"/>
      <c r="T890" s="19"/>
      <c r="U890" s="375"/>
    </row>
    <row r="891" spans="1:21" ht="15.75" customHeight="1" x14ac:dyDescent="0.25">
      <c r="A891" s="2"/>
      <c r="B891" s="19"/>
      <c r="C891" s="374"/>
      <c r="D891" s="2"/>
      <c r="E891" s="19"/>
      <c r="F891" s="19"/>
      <c r="G891" s="19"/>
      <c r="H891" s="19"/>
      <c r="I891" s="19"/>
      <c r="J891" s="19"/>
      <c r="K891" s="19"/>
      <c r="L891" s="2"/>
      <c r="M891" s="19"/>
      <c r="N891" s="19"/>
      <c r="O891" s="84"/>
      <c r="P891" s="19"/>
      <c r="Q891" s="91"/>
      <c r="R891" s="19"/>
      <c r="S891" s="91"/>
      <c r="T891" s="19"/>
      <c r="U891" s="375"/>
    </row>
    <row r="892" spans="1:21" ht="15.75" customHeight="1" x14ac:dyDescent="0.25">
      <c r="A892" s="2"/>
      <c r="B892" s="19"/>
      <c r="C892" s="374"/>
      <c r="D892" s="2"/>
      <c r="E892" s="19"/>
      <c r="F892" s="19"/>
      <c r="G892" s="19"/>
      <c r="H892" s="19"/>
      <c r="I892" s="19"/>
      <c r="J892" s="19"/>
      <c r="K892" s="19"/>
      <c r="L892" s="2"/>
      <c r="M892" s="19"/>
      <c r="N892" s="19"/>
      <c r="O892" s="84"/>
      <c r="P892" s="19"/>
      <c r="Q892" s="91"/>
      <c r="R892" s="19"/>
      <c r="S892" s="91"/>
      <c r="T892" s="19"/>
      <c r="U892" s="375"/>
    </row>
    <row r="893" spans="1:21" ht="15.75" customHeight="1" x14ac:dyDescent="0.25">
      <c r="A893" s="2"/>
      <c r="B893" s="19"/>
      <c r="C893" s="374"/>
      <c r="D893" s="2"/>
      <c r="E893" s="19"/>
      <c r="F893" s="19"/>
      <c r="G893" s="19"/>
      <c r="H893" s="19"/>
      <c r="I893" s="19"/>
      <c r="J893" s="19"/>
      <c r="K893" s="19"/>
      <c r="L893" s="2"/>
      <c r="M893" s="19"/>
      <c r="N893" s="19"/>
      <c r="O893" s="84"/>
      <c r="P893" s="19"/>
      <c r="Q893" s="91"/>
      <c r="R893" s="19"/>
      <c r="S893" s="91"/>
      <c r="T893" s="19"/>
      <c r="U893" s="375"/>
    </row>
    <row r="894" spans="1:21" ht="15.75" customHeight="1" x14ac:dyDescent="0.25">
      <c r="A894" s="2"/>
      <c r="B894" s="19"/>
      <c r="C894" s="374"/>
      <c r="D894" s="2"/>
      <c r="E894" s="19"/>
      <c r="F894" s="19"/>
      <c r="G894" s="19"/>
      <c r="H894" s="19"/>
      <c r="I894" s="19"/>
      <c r="J894" s="19"/>
      <c r="K894" s="19"/>
      <c r="L894" s="2"/>
      <c r="M894" s="19"/>
      <c r="N894" s="19"/>
      <c r="O894" s="84"/>
      <c r="P894" s="19"/>
      <c r="Q894" s="91"/>
      <c r="R894" s="19"/>
      <c r="S894" s="91"/>
      <c r="T894" s="19"/>
      <c r="U894" s="375"/>
    </row>
    <row r="895" spans="1:21" ht="15.75" customHeight="1" x14ac:dyDescent="0.25">
      <c r="A895" s="2"/>
      <c r="B895" s="19"/>
      <c r="C895" s="374"/>
      <c r="D895" s="2"/>
      <c r="E895" s="19"/>
      <c r="F895" s="19"/>
      <c r="G895" s="19"/>
      <c r="H895" s="19"/>
      <c r="I895" s="19"/>
      <c r="J895" s="19"/>
      <c r="K895" s="19"/>
      <c r="L895" s="2"/>
      <c r="M895" s="19"/>
      <c r="N895" s="19"/>
      <c r="O895" s="84"/>
      <c r="P895" s="19"/>
      <c r="Q895" s="91"/>
      <c r="R895" s="19"/>
      <c r="S895" s="91"/>
      <c r="T895" s="19"/>
      <c r="U895" s="375"/>
    </row>
    <row r="896" spans="1:21" ht="15.75" customHeight="1" x14ac:dyDescent="0.25">
      <c r="A896" s="2"/>
      <c r="B896" s="19"/>
      <c r="C896" s="374"/>
      <c r="D896" s="2"/>
      <c r="E896" s="19"/>
      <c r="F896" s="19"/>
      <c r="G896" s="19"/>
      <c r="H896" s="19"/>
      <c r="I896" s="19"/>
      <c r="J896" s="19"/>
      <c r="K896" s="19"/>
      <c r="L896" s="2"/>
      <c r="M896" s="19"/>
      <c r="N896" s="19"/>
      <c r="O896" s="84"/>
      <c r="P896" s="19"/>
      <c r="Q896" s="91"/>
      <c r="R896" s="19"/>
      <c r="S896" s="91"/>
      <c r="T896" s="19"/>
      <c r="U896" s="375"/>
    </row>
    <row r="897" spans="1:21" ht="15.75" customHeight="1" x14ac:dyDescent="0.25">
      <c r="A897" s="2"/>
      <c r="B897" s="19"/>
      <c r="C897" s="374"/>
      <c r="D897" s="2"/>
      <c r="E897" s="19"/>
      <c r="F897" s="19"/>
      <c r="G897" s="19"/>
      <c r="H897" s="19"/>
      <c r="I897" s="19"/>
      <c r="J897" s="19"/>
      <c r="K897" s="19"/>
      <c r="L897" s="2"/>
      <c r="M897" s="19"/>
      <c r="N897" s="19"/>
      <c r="O897" s="84"/>
      <c r="P897" s="19"/>
      <c r="Q897" s="91"/>
      <c r="R897" s="19"/>
      <c r="S897" s="91"/>
      <c r="T897" s="19"/>
      <c r="U897" s="375"/>
    </row>
    <row r="898" spans="1:21" ht="15.75" customHeight="1" x14ac:dyDescent="0.25">
      <c r="A898" s="2"/>
      <c r="B898" s="19"/>
      <c r="C898" s="374"/>
      <c r="D898" s="2"/>
      <c r="E898" s="19"/>
      <c r="F898" s="19"/>
      <c r="G898" s="19"/>
      <c r="H898" s="19"/>
      <c r="I898" s="19"/>
      <c r="J898" s="19"/>
      <c r="K898" s="19"/>
      <c r="L898" s="2"/>
      <c r="M898" s="19"/>
      <c r="N898" s="19"/>
      <c r="O898" s="84"/>
      <c r="P898" s="19"/>
      <c r="Q898" s="91"/>
      <c r="R898" s="19"/>
      <c r="S898" s="91"/>
      <c r="T898" s="19"/>
      <c r="U898" s="375"/>
    </row>
    <row r="899" spans="1:21" ht="15.75" customHeight="1" x14ac:dyDescent="0.25">
      <c r="A899" s="2"/>
      <c r="B899" s="19"/>
      <c r="C899" s="374"/>
      <c r="D899" s="2"/>
      <c r="E899" s="19"/>
      <c r="F899" s="19"/>
      <c r="G899" s="19"/>
      <c r="H899" s="19"/>
      <c r="I899" s="19"/>
      <c r="J899" s="19"/>
      <c r="K899" s="19"/>
      <c r="L899" s="2"/>
      <c r="M899" s="19"/>
      <c r="N899" s="19"/>
      <c r="O899" s="84"/>
      <c r="P899" s="19"/>
      <c r="Q899" s="91"/>
      <c r="R899" s="19"/>
      <c r="S899" s="91"/>
      <c r="T899" s="19"/>
      <c r="U899" s="375"/>
    </row>
    <row r="900" spans="1:21" ht="15.75" customHeight="1" x14ac:dyDescent="0.25">
      <c r="A900" s="2"/>
      <c r="B900" s="19"/>
      <c r="C900" s="374"/>
      <c r="D900" s="2"/>
      <c r="E900" s="19"/>
      <c r="F900" s="19"/>
      <c r="G900" s="19"/>
      <c r="H900" s="19"/>
      <c r="I900" s="19"/>
      <c r="J900" s="19"/>
      <c r="K900" s="19"/>
      <c r="L900" s="2"/>
      <c r="M900" s="19"/>
      <c r="N900" s="19"/>
      <c r="O900" s="84"/>
      <c r="P900" s="19"/>
      <c r="Q900" s="91"/>
      <c r="R900" s="19"/>
      <c r="S900" s="91"/>
      <c r="T900" s="19"/>
      <c r="U900" s="375"/>
    </row>
    <row r="901" spans="1:21" ht="15.75" customHeight="1" x14ac:dyDescent="0.25">
      <c r="A901" s="2"/>
      <c r="B901" s="19"/>
      <c r="C901" s="374"/>
      <c r="D901" s="2"/>
      <c r="E901" s="19"/>
      <c r="F901" s="19"/>
      <c r="G901" s="19"/>
      <c r="H901" s="19"/>
      <c r="I901" s="19"/>
      <c r="J901" s="19"/>
      <c r="K901" s="19"/>
      <c r="L901" s="2"/>
      <c r="M901" s="19"/>
      <c r="N901" s="19"/>
      <c r="O901" s="84"/>
      <c r="P901" s="19"/>
      <c r="Q901" s="91"/>
      <c r="R901" s="19"/>
      <c r="S901" s="91"/>
      <c r="T901" s="19"/>
      <c r="U901" s="375"/>
    </row>
    <row r="902" spans="1:21" ht="15.75" customHeight="1" x14ac:dyDescent="0.25">
      <c r="A902" s="2"/>
      <c r="B902" s="19"/>
      <c r="C902" s="374"/>
      <c r="D902" s="2"/>
      <c r="E902" s="19"/>
      <c r="F902" s="19"/>
      <c r="G902" s="19"/>
      <c r="H902" s="19"/>
      <c r="I902" s="19"/>
      <c r="J902" s="19"/>
      <c r="K902" s="19"/>
      <c r="L902" s="2"/>
      <c r="M902" s="19"/>
      <c r="N902" s="19"/>
      <c r="O902" s="84"/>
      <c r="P902" s="19"/>
      <c r="Q902" s="91"/>
      <c r="R902" s="19"/>
      <c r="S902" s="91"/>
      <c r="T902" s="19"/>
      <c r="U902" s="375"/>
    </row>
    <row r="903" spans="1:21" ht="15.75" customHeight="1" x14ac:dyDescent="0.25">
      <c r="A903" s="2"/>
      <c r="B903" s="19"/>
      <c r="C903" s="374"/>
      <c r="D903" s="2"/>
      <c r="E903" s="19"/>
      <c r="F903" s="19"/>
      <c r="G903" s="19"/>
      <c r="H903" s="19"/>
      <c r="I903" s="19"/>
      <c r="J903" s="19"/>
      <c r="K903" s="19"/>
      <c r="L903" s="2"/>
      <c r="M903" s="19"/>
      <c r="N903" s="19"/>
      <c r="O903" s="84"/>
      <c r="P903" s="19"/>
      <c r="Q903" s="91"/>
      <c r="R903" s="19"/>
      <c r="S903" s="91"/>
      <c r="T903" s="19"/>
      <c r="U903" s="375"/>
    </row>
    <row r="904" spans="1:21" ht="15.75" customHeight="1" x14ac:dyDescent="0.25">
      <c r="A904" s="2"/>
      <c r="B904" s="19"/>
      <c r="C904" s="374"/>
      <c r="D904" s="2"/>
      <c r="E904" s="19"/>
      <c r="F904" s="19"/>
      <c r="G904" s="19"/>
      <c r="H904" s="19"/>
      <c r="I904" s="19"/>
      <c r="J904" s="19"/>
      <c r="K904" s="19"/>
      <c r="L904" s="2"/>
      <c r="M904" s="19"/>
      <c r="N904" s="19"/>
      <c r="O904" s="84"/>
      <c r="P904" s="19"/>
      <c r="Q904" s="91"/>
      <c r="R904" s="19"/>
      <c r="S904" s="91"/>
      <c r="T904" s="19"/>
      <c r="U904" s="375"/>
    </row>
    <row r="905" spans="1:21" ht="15.75" customHeight="1" x14ac:dyDescent="0.25">
      <c r="A905" s="2"/>
      <c r="B905" s="19"/>
      <c r="C905" s="374"/>
      <c r="D905" s="2"/>
      <c r="E905" s="19"/>
      <c r="F905" s="19"/>
      <c r="G905" s="19"/>
      <c r="H905" s="19"/>
      <c r="I905" s="19"/>
      <c r="J905" s="19"/>
      <c r="K905" s="19"/>
      <c r="L905" s="2"/>
      <c r="M905" s="19"/>
      <c r="N905" s="19"/>
      <c r="O905" s="84"/>
      <c r="P905" s="19"/>
      <c r="Q905" s="91"/>
      <c r="R905" s="19"/>
      <c r="S905" s="91"/>
      <c r="T905" s="19"/>
      <c r="U905" s="375"/>
    </row>
    <row r="906" spans="1:21" ht="15.75" customHeight="1" x14ac:dyDescent="0.25">
      <c r="A906" s="2"/>
      <c r="B906" s="19"/>
      <c r="C906" s="374"/>
      <c r="D906" s="2"/>
      <c r="E906" s="19"/>
      <c r="F906" s="19"/>
      <c r="G906" s="19"/>
      <c r="H906" s="19"/>
      <c r="I906" s="19"/>
      <c r="J906" s="19"/>
      <c r="K906" s="19"/>
      <c r="L906" s="2"/>
      <c r="M906" s="19"/>
      <c r="N906" s="19"/>
      <c r="O906" s="84"/>
      <c r="P906" s="19"/>
      <c r="Q906" s="91"/>
      <c r="R906" s="19"/>
      <c r="S906" s="91"/>
      <c r="T906" s="19"/>
      <c r="U906" s="375"/>
    </row>
    <row r="907" spans="1:21" ht="15.75" customHeight="1" x14ac:dyDescent="0.25">
      <c r="A907" s="2"/>
      <c r="B907" s="19"/>
      <c r="C907" s="374"/>
      <c r="D907" s="2"/>
      <c r="E907" s="19"/>
      <c r="F907" s="19"/>
      <c r="G907" s="19"/>
      <c r="H907" s="19"/>
      <c r="I907" s="19"/>
      <c r="J907" s="19"/>
      <c r="K907" s="19"/>
      <c r="L907" s="2"/>
      <c r="M907" s="19"/>
      <c r="N907" s="19"/>
      <c r="O907" s="84"/>
      <c r="P907" s="19"/>
      <c r="Q907" s="91"/>
      <c r="R907" s="19"/>
      <c r="S907" s="91"/>
      <c r="T907" s="19"/>
      <c r="U907" s="375"/>
    </row>
    <row r="908" spans="1:21" ht="15.75" customHeight="1" x14ac:dyDescent="0.25">
      <c r="A908" s="2"/>
      <c r="B908" s="19"/>
      <c r="C908" s="374"/>
      <c r="D908" s="2"/>
      <c r="E908" s="19"/>
      <c r="F908" s="19"/>
      <c r="G908" s="19"/>
      <c r="H908" s="19"/>
      <c r="I908" s="19"/>
      <c r="J908" s="19"/>
      <c r="K908" s="19"/>
      <c r="L908" s="2"/>
      <c r="M908" s="19"/>
      <c r="N908" s="19"/>
      <c r="O908" s="84"/>
      <c r="P908" s="19"/>
      <c r="Q908" s="91"/>
      <c r="R908" s="19"/>
      <c r="S908" s="91"/>
      <c r="T908" s="19"/>
      <c r="U908" s="375"/>
    </row>
    <row r="909" spans="1:21" ht="15.75" customHeight="1" x14ac:dyDescent="0.25">
      <c r="A909" s="2"/>
      <c r="B909" s="19"/>
      <c r="C909" s="374"/>
      <c r="D909" s="2"/>
      <c r="E909" s="19"/>
      <c r="F909" s="19"/>
      <c r="G909" s="19"/>
      <c r="H909" s="19"/>
      <c r="I909" s="19"/>
      <c r="J909" s="19"/>
      <c r="K909" s="19"/>
      <c r="L909" s="2"/>
      <c r="M909" s="19"/>
      <c r="N909" s="19"/>
      <c r="O909" s="84"/>
      <c r="P909" s="19"/>
      <c r="Q909" s="91"/>
      <c r="R909" s="19"/>
      <c r="S909" s="91"/>
      <c r="T909" s="19"/>
      <c r="U909" s="375"/>
    </row>
    <row r="910" spans="1:21" ht="15.75" customHeight="1" x14ac:dyDescent="0.25">
      <c r="A910" s="2"/>
      <c r="B910" s="19"/>
      <c r="C910" s="374"/>
      <c r="D910" s="2"/>
      <c r="E910" s="19"/>
      <c r="F910" s="19"/>
      <c r="G910" s="19"/>
      <c r="H910" s="19"/>
      <c r="I910" s="19"/>
      <c r="J910" s="19"/>
      <c r="K910" s="19"/>
      <c r="L910" s="2"/>
      <c r="M910" s="19"/>
      <c r="N910" s="19"/>
      <c r="O910" s="84"/>
      <c r="P910" s="19"/>
      <c r="Q910" s="91"/>
      <c r="R910" s="19"/>
      <c r="S910" s="91"/>
      <c r="T910" s="19"/>
      <c r="U910" s="375"/>
    </row>
    <row r="911" spans="1:21" ht="15.75" customHeight="1" x14ac:dyDescent="0.25">
      <c r="A911" s="2"/>
      <c r="B911" s="19"/>
      <c r="C911" s="374"/>
      <c r="D911" s="2"/>
      <c r="E911" s="19"/>
      <c r="F911" s="19"/>
      <c r="G911" s="19"/>
      <c r="H911" s="19"/>
      <c r="I911" s="19"/>
      <c r="J911" s="19"/>
      <c r="K911" s="19"/>
      <c r="L911" s="2"/>
      <c r="M911" s="19"/>
      <c r="N911" s="19"/>
      <c r="O911" s="84"/>
      <c r="P911" s="19"/>
      <c r="Q911" s="91"/>
      <c r="R911" s="19"/>
      <c r="S911" s="91"/>
      <c r="T911" s="19"/>
      <c r="U911" s="375"/>
    </row>
    <row r="912" spans="1:21" ht="15.75" customHeight="1" x14ac:dyDescent="0.25">
      <c r="A912" s="2"/>
      <c r="B912" s="19"/>
      <c r="C912" s="374"/>
      <c r="D912" s="2"/>
      <c r="E912" s="19"/>
      <c r="F912" s="19"/>
      <c r="G912" s="19"/>
      <c r="H912" s="19"/>
      <c r="I912" s="19"/>
      <c r="J912" s="19"/>
      <c r="K912" s="19"/>
      <c r="L912" s="2"/>
      <c r="M912" s="19"/>
      <c r="N912" s="19"/>
      <c r="O912" s="84"/>
      <c r="P912" s="19"/>
      <c r="Q912" s="91"/>
      <c r="R912" s="19"/>
      <c r="S912" s="91"/>
      <c r="T912" s="19"/>
      <c r="U912" s="375"/>
    </row>
    <row r="913" spans="1:21" ht="15.75" customHeight="1" x14ac:dyDescent="0.25">
      <c r="A913" s="2"/>
      <c r="B913" s="19"/>
      <c r="C913" s="374"/>
      <c r="D913" s="2"/>
      <c r="E913" s="19"/>
      <c r="F913" s="19"/>
      <c r="G913" s="19"/>
      <c r="H913" s="19"/>
      <c r="I913" s="19"/>
      <c r="J913" s="19"/>
      <c r="K913" s="19"/>
      <c r="L913" s="2"/>
      <c r="M913" s="19"/>
      <c r="N913" s="19"/>
      <c r="O913" s="84"/>
      <c r="P913" s="19"/>
      <c r="Q913" s="91"/>
      <c r="R913" s="19"/>
      <c r="S913" s="91"/>
      <c r="T913" s="19"/>
      <c r="U913" s="375"/>
    </row>
    <row r="914" spans="1:21" ht="15.75" customHeight="1" x14ac:dyDescent="0.25">
      <c r="A914" s="2"/>
      <c r="B914" s="19"/>
      <c r="C914" s="374"/>
      <c r="D914" s="2"/>
      <c r="E914" s="19"/>
      <c r="F914" s="19"/>
      <c r="G914" s="19"/>
      <c r="H914" s="19"/>
      <c r="I914" s="19"/>
      <c r="J914" s="19"/>
      <c r="K914" s="19"/>
      <c r="L914" s="2"/>
      <c r="M914" s="19"/>
      <c r="N914" s="19"/>
      <c r="O914" s="84"/>
      <c r="P914" s="19"/>
      <c r="Q914" s="91"/>
      <c r="R914" s="19"/>
      <c r="S914" s="91"/>
      <c r="T914" s="19"/>
      <c r="U914" s="375"/>
    </row>
    <row r="915" spans="1:21" ht="15.75" customHeight="1" x14ac:dyDescent="0.25">
      <c r="A915" s="2"/>
      <c r="B915" s="19"/>
      <c r="C915" s="374"/>
      <c r="D915" s="2"/>
      <c r="E915" s="19"/>
      <c r="F915" s="19"/>
      <c r="G915" s="19"/>
      <c r="H915" s="19"/>
      <c r="I915" s="19"/>
      <c r="J915" s="19"/>
      <c r="K915" s="19"/>
      <c r="L915" s="2"/>
      <c r="M915" s="19"/>
      <c r="N915" s="19"/>
      <c r="O915" s="84"/>
      <c r="P915" s="19"/>
      <c r="Q915" s="91"/>
      <c r="R915" s="19"/>
      <c r="S915" s="91"/>
      <c r="T915" s="19"/>
      <c r="U915" s="375"/>
    </row>
    <row r="916" spans="1:21" ht="15.75" customHeight="1" x14ac:dyDescent="0.25">
      <c r="A916" s="2"/>
      <c r="B916" s="19"/>
      <c r="C916" s="374"/>
      <c r="D916" s="2"/>
      <c r="E916" s="19"/>
      <c r="F916" s="19"/>
      <c r="G916" s="19"/>
      <c r="H916" s="19"/>
      <c r="I916" s="19"/>
      <c r="J916" s="19"/>
      <c r="K916" s="19"/>
      <c r="L916" s="2"/>
      <c r="M916" s="19"/>
      <c r="N916" s="19"/>
      <c r="O916" s="84"/>
      <c r="P916" s="19"/>
      <c r="Q916" s="91"/>
      <c r="R916" s="19"/>
      <c r="S916" s="91"/>
      <c r="T916" s="19"/>
      <c r="U916" s="375"/>
    </row>
    <row r="917" spans="1:21" ht="15.75" customHeight="1" x14ac:dyDescent="0.25">
      <c r="A917" s="2"/>
      <c r="B917" s="19"/>
      <c r="C917" s="374"/>
      <c r="D917" s="2"/>
      <c r="E917" s="19"/>
      <c r="F917" s="19"/>
      <c r="G917" s="19"/>
      <c r="H917" s="19"/>
      <c r="I917" s="19"/>
      <c r="J917" s="19"/>
      <c r="K917" s="19"/>
      <c r="L917" s="2"/>
      <c r="M917" s="19"/>
      <c r="N917" s="19"/>
      <c r="O917" s="84"/>
      <c r="P917" s="19"/>
      <c r="Q917" s="91"/>
      <c r="R917" s="19"/>
      <c r="S917" s="91"/>
      <c r="T917" s="19"/>
      <c r="U917" s="375"/>
    </row>
    <row r="918" spans="1:21" ht="15.75" customHeight="1" x14ac:dyDescent="0.25">
      <c r="A918" s="2"/>
      <c r="B918" s="19"/>
      <c r="C918" s="374"/>
      <c r="D918" s="2"/>
      <c r="E918" s="19"/>
      <c r="F918" s="19"/>
      <c r="G918" s="19"/>
      <c r="H918" s="19"/>
      <c r="I918" s="19"/>
      <c r="J918" s="19"/>
      <c r="K918" s="19"/>
      <c r="L918" s="2"/>
      <c r="M918" s="19"/>
      <c r="N918" s="19"/>
      <c r="O918" s="84"/>
      <c r="P918" s="19"/>
      <c r="Q918" s="91"/>
      <c r="R918" s="19"/>
      <c r="S918" s="91"/>
      <c r="T918" s="19"/>
      <c r="U918" s="375"/>
    </row>
    <row r="919" spans="1:21" ht="15.75" customHeight="1" x14ac:dyDescent="0.25">
      <c r="A919" s="2"/>
      <c r="B919" s="19"/>
      <c r="C919" s="374"/>
      <c r="D919" s="2"/>
      <c r="E919" s="19"/>
      <c r="F919" s="19"/>
      <c r="G919" s="19"/>
      <c r="H919" s="19"/>
      <c r="I919" s="19"/>
      <c r="J919" s="19"/>
      <c r="K919" s="19"/>
      <c r="L919" s="2"/>
      <c r="M919" s="19"/>
      <c r="N919" s="19"/>
      <c r="O919" s="84"/>
      <c r="P919" s="19"/>
      <c r="Q919" s="91"/>
      <c r="R919" s="19"/>
      <c r="S919" s="91"/>
      <c r="T919" s="19"/>
      <c r="U919" s="375"/>
    </row>
    <row r="920" spans="1:21" ht="15.75" customHeight="1" x14ac:dyDescent="0.25">
      <c r="A920" s="2"/>
      <c r="B920" s="19"/>
      <c r="C920" s="374"/>
      <c r="D920" s="2"/>
      <c r="E920" s="19"/>
      <c r="F920" s="19"/>
      <c r="G920" s="19"/>
      <c r="H920" s="19"/>
      <c r="I920" s="19"/>
      <c r="J920" s="19"/>
      <c r="K920" s="19"/>
      <c r="L920" s="2"/>
      <c r="M920" s="19"/>
      <c r="N920" s="19"/>
      <c r="O920" s="84"/>
      <c r="P920" s="19"/>
      <c r="Q920" s="91"/>
      <c r="R920" s="19"/>
      <c r="S920" s="91"/>
      <c r="T920" s="19"/>
      <c r="U920" s="375"/>
    </row>
    <row r="921" spans="1:21" ht="15.75" customHeight="1" x14ac:dyDescent="0.25">
      <c r="A921" s="2"/>
      <c r="B921" s="19"/>
      <c r="C921" s="374"/>
      <c r="D921" s="2"/>
      <c r="E921" s="19"/>
      <c r="F921" s="19"/>
      <c r="G921" s="19"/>
      <c r="H921" s="19"/>
      <c r="I921" s="19"/>
      <c r="J921" s="19"/>
      <c r="K921" s="19"/>
      <c r="L921" s="2"/>
      <c r="M921" s="19"/>
      <c r="N921" s="19"/>
      <c r="O921" s="84"/>
      <c r="P921" s="19"/>
      <c r="Q921" s="91"/>
      <c r="R921" s="19"/>
      <c r="S921" s="91"/>
      <c r="T921" s="19"/>
      <c r="U921" s="375"/>
    </row>
    <row r="922" spans="1:21" ht="15.75" customHeight="1" x14ac:dyDescent="0.25">
      <c r="A922" s="2"/>
      <c r="B922" s="19"/>
      <c r="C922" s="374"/>
      <c r="D922" s="2"/>
      <c r="E922" s="19"/>
      <c r="F922" s="19"/>
      <c r="G922" s="19"/>
      <c r="H922" s="19"/>
      <c r="I922" s="19"/>
      <c r="J922" s="19"/>
      <c r="K922" s="19"/>
      <c r="L922" s="2"/>
      <c r="M922" s="19"/>
      <c r="N922" s="19"/>
      <c r="O922" s="84"/>
      <c r="P922" s="19"/>
      <c r="Q922" s="91"/>
      <c r="R922" s="19"/>
      <c r="S922" s="91"/>
      <c r="T922" s="19"/>
      <c r="U922" s="375"/>
    </row>
    <row r="923" spans="1:21" ht="15.75" customHeight="1" x14ac:dyDescent="0.25">
      <c r="A923" s="2"/>
      <c r="B923" s="19"/>
      <c r="C923" s="374"/>
      <c r="D923" s="2"/>
      <c r="E923" s="19"/>
      <c r="F923" s="19"/>
      <c r="G923" s="19"/>
      <c r="H923" s="19"/>
      <c r="I923" s="19"/>
      <c r="J923" s="19"/>
      <c r="K923" s="19"/>
      <c r="L923" s="2"/>
      <c r="M923" s="19"/>
      <c r="N923" s="19"/>
      <c r="O923" s="84"/>
      <c r="P923" s="19"/>
      <c r="Q923" s="91"/>
      <c r="R923" s="19"/>
      <c r="S923" s="91"/>
      <c r="T923" s="19"/>
      <c r="U923" s="375"/>
    </row>
    <row r="924" spans="1:21" ht="15.75" customHeight="1" x14ac:dyDescent="0.25">
      <c r="A924" s="2"/>
      <c r="B924" s="19"/>
      <c r="C924" s="374"/>
      <c r="D924" s="2"/>
      <c r="E924" s="19"/>
      <c r="F924" s="19"/>
      <c r="G924" s="19"/>
      <c r="H924" s="19"/>
      <c r="I924" s="19"/>
      <c r="J924" s="19"/>
      <c r="K924" s="19"/>
      <c r="L924" s="2"/>
      <c r="M924" s="19"/>
      <c r="N924" s="19"/>
      <c r="O924" s="84"/>
      <c r="P924" s="19"/>
      <c r="Q924" s="91"/>
      <c r="R924" s="19"/>
      <c r="S924" s="91"/>
      <c r="T924" s="19"/>
      <c r="U924" s="375"/>
    </row>
    <row r="925" spans="1:21" ht="15.75" customHeight="1" x14ac:dyDescent="0.25">
      <c r="A925" s="2"/>
      <c r="B925" s="19"/>
      <c r="C925" s="374"/>
      <c r="D925" s="2"/>
      <c r="E925" s="19"/>
      <c r="F925" s="19"/>
      <c r="G925" s="19"/>
      <c r="H925" s="19"/>
      <c r="I925" s="19"/>
      <c r="J925" s="19"/>
      <c r="K925" s="19"/>
      <c r="L925" s="2"/>
      <c r="M925" s="19"/>
      <c r="N925" s="19"/>
      <c r="O925" s="84"/>
      <c r="P925" s="19"/>
      <c r="Q925" s="91"/>
      <c r="R925" s="19"/>
      <c r="S925" s="91"/>
      <c r="T925" s="19"/>
      <c r="U925" s="375"/>
    </row>
    <row r="926" spans="1:21" ht="15.75" customHeight="1" x14ac:dyDescent="0.25">
      <c r="A926" s="2"/>
      <c r="B926" s="19"/>
      <c r="C926" s="374"/>
      <c r="D926" s="2"/>
      <c r="E926" s="19"/>
      <c r="F926" s="19"/>
      <c r="G926" s="19"/>
      <c r="H926" s="19"/>
      <c r="I926" s="19"/>
      <c r="J926" s="19"/>
      <c r="K926" s="19"/>
      <c r="L926" s="2"/>
      <c r="M926" s="19"/>
      <c r="N926" s="19"/>
      <c r="O926" s="84"/>
      <c r="P926" s="19"/>
      <c r="Q926" s="91"/>
      <c r="R926" s="19"/>
      <c r="S926" s="91"/>
      <c r="T926" s="19"/>
      <c r="U926" s="375"/>
    </row>
    <row r="927" spans="1:21" ht="15.75" customHeight="1" x14ac:dyDescent="0.25">
      <c r="A927" s="2"/>
      <c r="B927" s="19"/>
      <c r="C927" s="374"/>
      <c r="D927" s="2"/>
      <c r="E927" s="19"/>
      <c r="F927" s="19"/>
      <c r="G927" s="19"/>
      <c r="H927" s="19"/>
      <c r="I927" s="19"/>
      <c r="J927" s="19"/>
      <c r="K927" s="19"/>
      <c r="L927" s="2"/>
      <c r="M927" s="19"/>
      <c r="N927" s="19"/>
      <c r="O927" s="84"/>
      <c r="P927" s="19"/>
      <c r="Q927" s="91"/>
      <c r="R927" s="19"/>
      <c r="S927" s="91"/>
      <c r="T927" s="19"/>
      <c r="U927" s="375"/>
    </row>
    <row r="928" spans="1:21" ht="15.75" customHeight="1" x14ac:dyDescent="0.25">
      <c r="A928" s="2"/>
      <c r="B928" s="19"/>
      <c r="C928" s="374"/>
      <c r="D928" s="2"/>
      <c r="E928" s="19"/>
      <c r="F928" s="19"/>
      <c r="G928" s="19"/>
      <c r="H928" s="19"/>
      <c r="I928" s="19"/>
      <c r="J928" s="19"/>
      <c r="K928" s="19"/>
      <c r="L928" s="2"/>
      <c r="M928" s="19"/>
      <c r="N928" s="19"/>
      <c r="O928" s="84"/>
      <c r="P928" s="19"/>
      <c r="Q928" s="91"/>
      <c r="R928" s="19"/>
      <c r="S928" s="91"/>
      <c r="T928" s="19"/>
      <c r="U928" s="375"/>
    </row>
    <row r="929" spans="1:21" ht="15.75" customHeight="1" x14ac:dyDescent="0.25">
      <c r="A929" s="2"/>
      <c r="B929" s="19"/>
      <c r="C929" s="374"/>
      <c r="D929" s="2"/>
      <c r="E929" s="19"/>
      <c r="F929" s="19"/>
      <c r="G929" s="19"/>
      <c r="H929" s="19"/>
      <c r="I929" s="19"/>
      <c r="J929" s="19"/>
      <c r="K929" s="19"/>
      <c r="L929" s="2"/>
      <c r="M929" s="19"/>
      <c r="N929" s="19"/>
      <c r="O929" s="84"/>
      <c r="P929" s="19"/>
      <c r="Q929" s="91"/>
      <c r="R929" s="19"/>
      <c r="S929" s="91"/>
      <c r="T929" s="19"/>
      <c r="U929" s="375"/>
    </row>
    <row r="930" spans="1:21" ht="15.75" customHeight="1" x14ac:dyDescent="0.25">
      <c r="A930" s="2"/>
      <c r="B930" s="19"/>
      <c r="C930" s="374"/>
      <c r="D930" s="2"/>
      <c r="E930" s="19"/>
      <c r="F930" s="19"/>
      <c r="G930" s="19"/>
      <c r="H930" s="19"/>
      <c r="I930" s="19"/>
      <c r="J930" s="19"/>
      <c r="K930" s="19"/>
      <c r="L930" s="2"/>
      <c r="M930" s="19"/>
      <c r="N930" s="19"/>
      <c r="O930" s="84"/>
      <c r="P930" s="19"/>
      <c r="Q930" s="91"/>
      <c r="R930" s="19"/>
      <c r="S930" s="91"/>
      <c r="T930" s="19"/>
      <c r="U930" s="375"/>
    </row>
    <row r="931" spans="1:21" ht="15.75" customHeight="1" x14ac:dyDescent="0.25">
      <c r="A931" s="2"/>
      <c r="B931" s="19"/>
      <c r="C931" s="374"/>
      <c r="D931" s="2"/>
      <c r="E931" s="19"/>
      <c r="F931" s="19"/>
      <c r="G931" s="19"/>
      <c r="H931" s="19"/>
      <c r="I931" s="19"/>
      <c r="J931" s="19"/>
      <c r="K931" s="19"/>
      <c r="L931" s="2"/>
      <c r="M931" s="19"/>
      <c r="N931" s="19"/>
      <c r="O931" s="84"/>
      <c r="P931" s="19"/>
      <c r="Q931" s="91"/>
      <c r="R931" s="19"/>
      <c r="S931" s="91"/>
      <c r="T931" s="19"/>
      <c r="U931" s="375"/>
    </row>
    <row r="932" spans="1:21" ht="15.75" customHeight="1" x14ac:dyDescent="0.25">
      <c r="A932" s="2"/>
      <c r="B932" s="19"/>
      <c r="C932" s="374"/>
      <c r="D932" s="2"/>
      <c r="E932" s="19"/>
      <c r="F932" s="19"/>
      <c r="G932" s="19"/>
      <c r="H932" s="19"/>
      <c r="I932" s="19"/>
      <c r="J932" s="19"/>
      <c r="K932" s="19"/>
      <c r="L932" s="2"/>
      <c r="M932" s="19"/>
      <c r="N932" s="19"/>
      <c r="O932" s="84"/>
      <c r="P932" s="19"/>
      <c r="Q932" s="91"/>
      <c r="R932" s="19"/>
      <c r="S932" s="91"/>
      <c r="T932" s="19"/>
      <c r="U932" s="375"/>
    </row>
    <row r="933" spans="1:21" ht="15.75" customHeight="1" x14ac:dyDescent="0.25">
      <c r="A933" s="2"/>
      <c r="B933" s="19"/>
      <c r="C933" s="374"/>
      <c r="D933" s="2"/>
      <c r="E933" s="19"/>
      <c r="F933" s="19"/>
      <c r="G933" s="19"/>
      <c r="H933" s="19"/>
      <c r="I933" s="19"/>
      <c r="J933" s="19"/>
      <c r="K933" s="19"/>
      <c r="L933" s="2"/>
      <c r="M933" s="19"/>
      <c r="N933" s="19"/>
      <c r="O933" s="84"/>
      <c r="P933" s="19"/>
      <c r="Q933" s="91"/>
      <c r="R933" s="19"/>
      <c r="S933" s="91"/>
      <c r="T933" s="19"/>
      <c r="U933" s="375"/>
    </row>
    <row r="934" spans="1:21" ht="15.75" customHeight="1" x14ac:dyDescent="0.25">
      <c r="A934" s="2"/>
      <c r="B934" s="19"/>
      <c r="C934" s="374"/>
      <c r="D934" s="2"/>
      <c r="E934" s="19"/>
      <c r="F934" s="19"/>
      <c r="G934" s="19"/>
      <c r="H934" s="19"/>
      <c r="I934" s="19"/>
      <c r="J934" s="19"/>
      <c r="K934" s="19"/>
      <c r="L934" s="2"/>
      <c r="M934" s="19"/>
      <c r="N934" s="19"/>
      <c r="O934" s="84"/>
      <c r="P934" s="19"/>
      <c r="Q934" s="91"/>
      <c r="R934" s="19"/>
      <c r="S934" s="91"/>
      <c r="T934" s="19"/>
      <c r="U934" s="375"/>
    </row>
    <row r="935" spans="1:21" ht="15.75" customHeight="1" x14ac:dyDescent="0.25">
      <c r="A935" s="2"/>
      <c r="B935" s="19"/>
      <c r="C935" s="374"/>
      <c r="D935" s="2"/>
      <c r="E935" s="19"/>
      <c r="F935" s="19"/>
      <c r="G935" s="19"/>
      <c r="H935" s="19"/>
      <c r="I935" s="19"/>
      <c r="J935" s="19"/>
      <c r="K935" s="19"/>
      <c r="L935" s="2"/>
      <c r="M935" s="19"/>
      <c r="N935" s="19"/>
      <c r="O935" s="84"/>
      <c r="P935" s="19"/>
      <c r="Q935" s="91"/>
      <c r="R935" s="19"/>
      <c r="S935" s="91"/>
      <c r="T935" s="19"/>
      <c r="U935" s="375"/>
    </row>
    <row r="936" spans="1:21" ht="15.75" customHeight="1" x14ac:dyDescent="0.25">
      <c r="A936" s="2"/>
      <c r="B936" s="19"/>
      <c r="C936" s="374"/>
      <c r="D936" s="2"/>
      <c r="E936" s="19"/>
      <c r="F936" s="19"/>
      <c r="G936" s="19"/>
      <c r="H936" s="19"/>
      <c r="I936" s="19"/>
      <c r="J936" s="19"/>
      <c r="K936" s="19"/>
      <c r="L936" s="2"/>
      <c r="M936" s="19"/>
      <c r="N936" s="19"/>
      <c r="O936" s="84"/>
      <c r="P936" s="19"/>
      <c r="Q936" s="91"/>
      <c r="R936" s="19"/>
      <c r="S936" s="91"/>
      <c r="T936" s="19"/>
      <c r="U936" s="375"/>
    </row>
    <row r="937" spans="1:21" ht="15.75" customHeight="1" x14ac:dyDescent="0.25">
      <c r="A937" s="2"/>
      <c r="B937" s="19"/>
      <c r="C937" s="374"/>
      <c r="D937" s="2"/>
      <c r="E937" s="19"/>
      <c r="F937" s="19"/>
      <c r="G937" s="19"/>
      <c r="H937" s="19"/>
      <c r="I937" s="19"/>
      <c r="J937" s="19"/>
      <c r="K937" s="19"/>
      <c r="L937" s="2"/>
      <c r="M937" s="19"/>
      <c r="N937" s="19"/>
      <c r="O937" s="84"/>
      <c r="P937" s="19"/>
      <c r="Q937" s="91"/>
      <c r="R937" s="19"/>
      <c r="S937" s="91"/>
      <c r="T937" s="19"/>
      <c r="U937" s="375"/>
    </row>
    <row r="938" spans="1:21" ht="15.75" customHeight="1" x14ac:dyDescent="0.25">
      <c r="A938" s="2"/>
      <c r="B938" s="19"/>
      <c r="C938" s="374"/>
      <c r="D938" s="2"/>
      <c r="E938" s="19"/>
      <c r="F938" s="19"/>
      <c r="G938" s="19"/>
      <c r="H938" s="19"/>
      <c r="I938" s="19"/>
      <c r="J938" s="19"/>
      <c r="K938" s="19"/>
      <c r="L938" s="2"/>
      <c r="M938" s="19"/>
      <c r="N938" s="19"/>
      <c r="O938" s="84"/>
      <c r="P938" s="19"/>
      <c r="Q938" s="91"/>
      <c r="R938" s="19"/>
      <c r="S938" s="91"/>
      <c r="T938" s="19"/>
      <c r="U938" s="375"/>
    </row>
    <row r="939" spans="1:21" ht="15.75" customHeight="1" x14ac:dyDescent="0.25">
      <c r="A939" s="2"/>
      <c r="B939" s="19"/>
      <c r="C939" s="374"/>
      <c r="D939" s="2"/>
      <c r="E939" s="19"/>
      <c r="F939" s="19"/>
      <c r="G939" s="19"/>
      <c r="H939" s="19"/>
      <c r="I939" s="19"/>
      <c r="J939" s="19"/>
      <c r="K939" s="19"/>
      <c r="L939" s="2"/>
      <c r="M939" s="19"/>
      <c r="N939" s="19"/>
      <c r="O939" s="84"/>
      <c r="P939" s="19"/>
      <c r="Q939" s="91"/>
      <c r="R939" s="19"/>
      <c r="S939" s="91"/>
      <c r="T939" s="19"/>
      <c r="U939" s="375"/>
    </row>
    <row r="940" spans="1:21" ht="15.75" customHeight="1" x14ac:dyDescent="0.25">
      <c r="A940" s="2"/>
      <c r="B940" s="19"/>
      <c r="C940" s="374"/>
      <c r="D940" s="2"/>
      <c r="E940" s="19"/>
      <c r="F940" s="19"/>
      <c r="G940" s="19"/>
      <c r="H940" s="19"/>
      <c r="I940" s="19"/>
      <c r="J940" s="19"/>
      <c r="K940" s="19"/>
      <c r="L940" s="2"/>
      <c r="M940" s="19"/>
      <c r="N940" s="19"/>
      <c r="O940" s="84"/>
      <c r="P940" s="19"/>
      <c r="Q940" s="91"/>
      <c r="R940" s="19"/>
      <c r="S940" s="91"/>
      <c r="T940" s="19"/>
      <c r="U940" s="375"/>
    </row>
    <row r="941" spans="1:21" ht="15.75" customHeight="1" x14ac:dyDescent="0.25">
      <c r="A941" s="2"/>
      <c r="B941" s="19"/>
      <c r="C941" s="374"/>
      <c r="D941" s="2"/>
      <c r="E941" s="19"/>
      <c r="F941" s="19"/>
      <c r="G941" s="19"/>
      <c r="H941" s="19"/>
      <c r="I941" s="19"/>
      <c r="J941" s="19"/>
      <c r="K941" s="19"/>
      <c r="L941" s="2"/>
      <c r="M941" s="19"/>
      <c r="N941" s="19"/>
      <c r="O941" s="84"/>
      <c r="P941" s="19"/>
      <c r="Q941" s="91"/>
      <c r="R941" s="19"/>
      <c r="S941" s="91"/>
      <c r="T941" s="19"/>
      <c r="U941" s="375"/>
    </row>
    <row r="942" spans="1:21" ht="15.75" customHeight="1" x14ac:dyDescent="0.25">
      <c r="A942" s="2"/>
      <c r="B942" s="19"/>
      <c r="C942" s="374"/>
      <c r="D942" s="2"/>
      <c r="E942" s="19"/>
      <c r="F942" s="19"/>
      <c r="G942" s="19"/>
      <c r="H942" s="19"/>
      <c r="I942" s="19"/>
      <c r="J942" s="19"/>
      <c r="K942" s="19"/>
      <c r="L942" s="2"/>
      <c r="M942" s="19"/>
      <c r="N942" s="19"/>
      <c r="O942" s="84"/>
      <c r="P942" s="19"/>
      <c r="Q942" s="91"/>
      <c r="R942" s="19"/>
      <c r="S942" s="91"/>
      <c r="T942" s="19"/>
      <c r="U942" s="375"/>
    </row>
    <row r="943" spans="1:21" ht="15.75" customHeight="1" x14ac:dyDescent="0.25">
      <c r="A943" s="2"/>
      <c r="B943" s="19"/>
      <c r="C943" s="374"/>
      <c r="D943" s="2"/>
      <c r="E943" s="19"/>
      <c r="F943" s="19"/>
      <c r="G943" s="19"/>
      <c r="H943" s="19"/>
      <c r="I943" s="19"/>
      <c r="J943" s="19"/>
      <c r="K943" s="19"/>
      <c r="L943" s="2"/>
      <c r="M943" s="19"/>
      <c r="N943" s="19"/>
      <c r="O943" s="84"/>
      <c r="P943" s="19"/>
      <c r="Q943" s="91"/>
      <c r="R943" s="19"/>
      <c r="S943" s="91"/>
      <c r="T943" s="19"/>
      <c r="U943" s="375"/>
    </row>
    <row r="944" spans="1:21" ht="15.75" customHeight="1" x14ac:dyDescent="0.25">
      <c r="A944" s="2"/>
      <c r="B944" s="19"/>
      <c r="C944" s="374"/>
      <c r="D944" s="2"/>
      <c r="E944" s="19"/>
      <c r="F944" s="19"/>
      <c r="G944" s="19"/>
      <c r="H944" s="19"/>
      <c r="I944" s="19"/>
      <c r="J944" s="19"/>
      <c r="K944" s="19"/>
      <c r="L944" s="2"/>
      <c r="M944" s="19"/>
      <c r="N944" s="19"/>
      <c r="O944" s="84"/>
      <c r="P944" s="19"/>
      <c r="Q944" s="91"/>
      <c r="R944" s="19"/>
      <c r="S944" s="91"/>
      <c r="T944" s="19"/>
      <c r="U944" s="375"/>
    </row>
    <row r="945" spans="1:21" ht="15.75" customHeight="1" x14ac:dyDescent="0.25">
      <c r="A945" s="2"/>
      <c r="B945" s="19"/>
      <c r="C945" s="374"/>
      <c r="D945" s="2"/>
      <c r="E945" s="19"/>
      <c r="F945" s="19"/>
      <c r="G945" s="19"/>
      <c r="H945" s="19"/>
      <c r="I945" s="19"/>
      <c r="J945" s="19"/>
      <c r="K945" s="19"/>
      <c r="L945" s="2"/>
      <c r="M945" s="19"/>
      <c r="N945" s="19"/>
      <c r="O945" s="84"/>
      <c r="P945" s="19"/>
      <c r="Q945" s="91"/>
      <c r="R945" s="19"/>
      <c r="S945" s="91"/>
      <c r="T945" s="19"/>
      <c r="U945" s="375"/>
    </row>
    <row r="946" spans="1:21" ht="15.75" customHeight="1" x14ac:dyDescent="0.25">
      <c r="A946" s="2"/>
      <c r="B946" s="19"/>
      <c r="C946" s="374"/>
      <c r="D946" s="2"/>
      <c r="E946" s="19"/>
      <c r="F946" s="19"/>
      <c r="G946" s="19"/>
      <c r="H946" s="19"/>
      <c r="I946" s="19"/>
      <c r="J946" s="19"/>
      <c r="K946" s="19"/>
      <c r="L946" s="2"/>
      <c r="M946" s="19"/>
      <c r="N946" s="19"/>
      <c r="O946" s="84"/>
      <c r="P946" s="19"/>
      <c r="Q946" s="91"/>
      <c r="R946" s="19"/>
      <c r="S946" s="91"/>
      <c r="T946" s="19"/>
      <c r="U946" s="375"/>
    </row>
    <row r="947" spans="1:21" ht="15.75" customHeight="1" x14ac:dyDescent="0.25">
      <c r="A947" s="2"/>
      <c r="B947" s="19"/>
      <c r="C947" s="374"/>
      <c r="D947" s="2"/>
      <c r="E947" s="19"/>
      <c r="F947" s="19"/>
      <c r="G947" s="19"/>
      <c r="H947" s="19"/>
      <c r="I947" s="19"/>
      <c r="J947" s="19"/>
      <c r="K947" s="19"/>
      <c r="L947" s="2"/>
      <c r="M947" s="19"/>
      <c r="N947" s="19"/>
      <c r="O947" s="84"/>
      <c r="P947" s="19"/>
      <c r="Q947" s="91"/>
      <c r="R947" s="19"/>
      <c r="S947" s="91"/>
      <c r="T947" s="19"/>
      <c r="U947" s="375"/>
    </row>
    <row r="948" spans="1:21" ht="15.75" customHeight="1" x14ac:dyDescent="0.25">
      <c r="A948" s="2"/>
      <c r="B948" s="19"/>
      <c r="C948" s="374"/>
      <c r="D948" s="2"/>
      <c r="E948" s="19"/>
      <c r="F948" s="19"/>
      <c r="G948" s="19"/>
      <c r="H948" s="19"/>
      <c r="I948" s="19"/>
      <c r="J948" s="19"/>
      <c r="K948" s="19"/>
      <c r="L948" s="2"/>
      <c r="M948" s="19"/>
      <c r="N948" s="19"/>
      <c r="O948" s="84"/>
      <c r="P948" s="19"/>
      <c r="Q948" s="91"/>
      <c r="R948" s="19"/>
      <c r="S948" s="91"/>
      <c r="T948" s="19"/>
      <c r="U948" s="375"/>
    </row>
    <row r="949" spans="1:21" ht="15.75" customHeight="1" x14ac:dyDescent="0.25">
      <c r="A949" s="2"/>
      <c r="B949" s="19"/>
      <c r="C949" s="374"/>
      <c r="D949" s="2"/>
      <c r="E949" s="19"/>
      <c r="F949" s="19"/>
      <c r="G949" s="19"/>
      <c r="H949" s="19"/>
      <c r="I949" s="19"/>
      <c r="J949" s="19"/>
      <c r="K949" s="19"/>
      <c r="L949" s="2"/>
      <c r="M949" s="19"/>
      <c r="N949" s="19"/>
      <c r="O949" s="84"/>
      <c r="P949" s="19"/>
      <c r="Q949" s="91"/>
      <c r="R949" s="19"/>
      <c r="S949" s="91"/>
      <c r="T949" s="19"/>
      <c r="U949" s="375"/>
    </row>
    <row r="950" spans="1:21" ht="15.75" customHeight="1" x14ac:dyDescent="0.25">
      <c r="A950" s="2"/>
      <c r="B950" s="19"/>
      <c r="C950" s="374"/>
      <c r="D950" s="2"/>
      <c r="E950" s="19"/>
      <c r="F950" s="19"/>
      <c r="G950" s="19"/>
      <c r="H950" s="19"/>
      <c r="I950" s="19"/>
      <c r="J950" s="19"/>
      <c r="K950" s="19"/>
      <c r="L950" s="2"/>
      <c r="M950" s="19"/>
      <c r="N950" s="19"/>
      <c r="O950" s="84"/>
      <c r="P950" s="19"/>
      <c r="Q950" s="91"/>
      <c r="R950" s="19"/>
      <c r="S950" s="91"/>
      <c r="T950" s="19"/>
      <c r="U950" s="375"/>
    </row>
    <row r="951" spans="1:21" ht="15.75" customHeight="1" x14ac:dyDescent="0.25">
      <c r="A951" s="2"/>
      <c r="B951" s="19"/>
      <c r="C951" s="374"/>
      <c r="D951" s="2"/>
      <c r="E951" s="19"/>
      <c r="F951" s="19"/>
      <c r="G951" s="19"/>
      <c r="H951" s="19"/>
      <c r="I951" s="19"/>
      <c r="J951" s="19"/>
      <c r="K951" s="19"/>
      <c r="L951" s="2"/>
      <c r="M951" s="19"/>
      <c r="N951" s="19"/>
      <c r="O951" s="84"/>
      <c r="P951" s="19"/>
      <c r="Q951" s="91"/>
      <c r="R951" s="19"/>
      <c r="S951" s="91"/>
      <c r="T951" s="19"/>
      <c r="U951" s="375"/>
    </row>
    <row r="952" spans="1:21" ht="15.75" customHeight="1" x14ac:dyDescent="0.25">
      <c r="A952" s="2"/>
      <c r="B952" s="19"/>
      <c r="C952" s="374"/>
      <c r="D952" s="2"/>
      <c r="E952" s="19"/>
      <c r="F952" s="19"/>
      <c r="G952" s="19"/>
      <c r="H952" s="19"/>
      <c r="I952" s="19"/>
      <c r="J952" s="19"/>
      <c r="K952" s="19"/>
      <c r="L952" s="2"/>
      <c r="M952" s="19"/>
      <c r="N952" s="19"/>
      <c r="O952" s="84"/>
      <c r="P952" s="19"/>
      <c r="Q952" s="91"/>
      <c r="R952" s="19"/>
      <c r="S952" s="91"/>
      <c r="T952" s="19"/>
      <c r="U952" s="375"/>
    </row>
    <row r="953" spans="1:21" ht="15.75" customHeight="1" x14ac:dyDescent="0.25">
      <c r="A953" s="2"/>
      <c r="B953" s="19"/>
      <c r="C953" s="374"/>
      <c r="D953" s="2"/>
      <c r="E953" s="19"/>
      <c r="F953" s="19"/>
      <c r="G953" s="19"/>
      <c r="H953" s="19"/>
      <c r="I953" s="19"/>
      <c r="J953" s="19"/>
      <c r="K953" s="19"/>
      <c r="L953" s="2"/>
      <c r="M953" s="19"/>
      <c r="N953" s="19"/>
      <c r="O953" s="84"/>
      <c r="P953" s="19"/>
      <c r="Q953" s="91"/>
      <c r="R953" s="19"/>
      <c r="S953" s="91"/>
      <c r="T953" s="19"/>
      <c r="U953" s="375"/>
    </row>
    <row r="954" spans="1:21" ht="15.75" customHeight="1" x14ac:dyDescent="0.25">
      <c r="A954" s="2"/>
      <c r="B954" s="19"/>
      <c r="C954" s="374"/>
      <c r="D954" s="2"/>
      <c r="E954" s="19"/>
      <c r="F954" s="19"/>
      <c r="G954" s="19"/>
      <c r="H954" s="19"/>
      <c r="I954" s="19"/>
      <c r="J954" s="19"/>
      <c r="K954" s="19"/>
      <c r="L954" s="2"/>
      <c r="M954" s="19"/>
      <c r="N954" s="19"/>
      <c r="O954" s="84"/>
      <c r="P954" s="19"/>
      <c r="Q954" s="91"/>
      <c r="R954" s="19"/>
      <c r="S954" s="91"/>
      <c r="T954" s="19"/>
      <c r="U954" s="375"/>
    </row>
    <row r="955" spans="1:21" ht="15.75" customHeight="1" x14ac:dyDescent="0.25">
      <c r="A955" s="2"/>
      <c r="B955" s="19"/>
      <c r="C955" s="374"/>
      <c r="D955" s="2"/>
      <c r="E955" s="19"/>
      <c r="F955" s="19"/>
      <c r="G955" s="19"/>
      <c r="H955" s="19"/>
      <c r="I955" s="19"/>
      <c r="J955" s="19"/>
      <c r="K955" s="19"/>
      <c r="L955" s="2"/>
      <c r="M955" s="19"/>
      <c r="N955" s="19"/>
      <c r="O955" s="84"/>
      <c r="P955" s="19"/>
      <c r="Q955" s="91"/>
      <c r="R955" s="19"/>
      <c r="S955" s="91"/>
      <c r="T955" s="19"/>
      <c r="U955" s="375"/>
    </row>
    <row r="956" spans="1:21" ht="15.75" customHeight="1" x14ac:dyDescent="0.25">
      <c r="A956" s="2"/>
      <c r="B956" s="19"/>
      <c r="C956" s="374"/>
      <c r="D956" s="2"/>
      <c r="E956" s="19"/>
      <c r="F956" s="19"/>
      <c r="G956" s="19"/>
      <c r="H956" s="19"/>
      <c r="I956" s="19"/>
      <c r="J956" s="19"/>
      <c r="K956" s="19"/>
      <c r="L956" s="2"/>
      <c r="M956" s="19"/>
      <c r="N956" s="19"/>
      <c r="O956" s="84"/>
      <c r="P956" s="19"/>
      <c r="Q956" s="91"/>
      <c r="R956" s="19"/>
      <c r="S956" s="91"/>
      <c r="T956" s="19"/>
      <c r="U956" s="375"/>
    </row>
    <row r="957" spans="1:21" ht="15.75" customHeight="1" x14ac:dyDescent="0.25">
      <c r="A957" s="2"/>
      <c r="B957" s="19"/>
      <c r="C957" s="374"/>
      <c r="D957" s="2"/>
      <c r="E957" s="19"/>
      <c r="F957" s="19"/>
      <c r="G957" s="19"/>
      <c r="H957" s="19"/>
      <c r="I957" s="19"/>
      <c r="J957" s="19"/>
      <c r="K957" s="19"/>
      <c r="L957" s="2"/>
      <c r="M957" s="19"/>
      <c r="N957" s="19"/>
      <c r="O957" s="84"/>
      <c r="P957" s="19"/>
      <c r="Q957" s="91"/>
      <c r="R957" s="19"/>
      <c r="S957" s="91"/>
      <c r="T957" s="19"/>
      <c r="U957" s="375"/>
    </row>
    <row r="958" spans="1:21" ht="15.75" customHeight="1" x14ac:dyDescent="0.25">
      <c r="A958" s="2"/>
      <c r="B958" s="19"/>
      <c r="C958" s="374"/>
      <c r="D958" s="2"/>
      <c r="E958" s="19"/>
      <c r="F958" s="19"/>
      <c r="G958" s="19"/>
      <c r="H958" s="19"/>
      <c r="I958" s="19"/>
      <c r="J958" s="19"/>
      <c r="K958" s="19"/>
      <c r="L958" s="2"/>
      <c r="M958" s="19"/>
      <c r="N958" s="19"/>
      <c r="O958" s="84"/>
      <c r="P958" s="19"/>
      <c r="Q958" s="91"/>
      <c r="R958" s="19"/>
      <c r="S958" s="91"/>
      <c r="T958" s="19"/>
      <c r="U958" s="375"/>
    </row>
    <row r="959" spans="1:21" ht="15.75" customHeight="1" x14ac:dyDescent="0.25">
      <c r="A959" s="2"/>
      <c r="B959" s="19"/>
      <c r="C959" s="374"/>
      <c r="D959" s="2"/>
      <c r="E959" s="19"/>
      <c r="F959" s="19"/>
      <c r="G959" s="19"/>
      <c r="H959" s="19"/>
      <c r="I959" s="19"/>
      <c r="J959" s="19"/>
      <c r="K959" s="19"/>
      <c r="L959" s="2"/>
      <c r="M959" s="19"/>
      <c r="N959" s="19"/>
      <c r="O959" s="84"/>
      <c r="P959" s="19"/>
      <c r="Q959" s="91"/>
      <c r="R959" s="19"/>
      <c r="S959" s="91"/>
      <c r="T959" s="19"/>
      <c r="U959" s="375"/>
    </row>
    <row r="960" spans="1:21" ht="15.75" customHeight="1" x14ac:dyDescent="0.25">
      <c r="A960" s="2"/>
      <c r="B960" s="19"/>
      <c r="C960" s="374"/>
      <c r="D960" s="2"/>
      <c r="E960" s="19"/>
      <c r="F960" s="19"/>
      <c r="G960" s="19"/>
      <c r="H960" s="19"/>
      <c r="I960" s="19"/>
      <c r="J960" s="19"/>
      <c r="K960" s="19"/>
      <c r="L960" s="2"/>
      <c r="M960" s="19"/>
      <c r="N960" s="19"/>
      <c r="O960" s="84"/>
      <c r="P960" s="19"/>
      <c r="Q960" s="91"/>
      <c r="R960" s="19"/>
      <c r="S960" s="91"/>
      <c r="T960" s="19"/>
      <c r="U960" s="375"/>
    </row>
    <row r="961" spans="1:21" ht="15.75" customHeight="1" x14ac:dyDescent="0.25">
      <c r="A961" s="2"/>
      <c r="B961" s="19"/>
      <c r="C961" s="374"/>
      <c r="D961" s="2"/>
      <c r="E961" s="19"/>
      <c r="F961" s="19"/>
      <c r="G961" s="19"/>
      <c r="H961" s="19"/>
      <c r="I961" s="19"/>
      <c r="J961" s="19"/>
      <c r="K961" s="19"/>
      <c r="L961" s="2"/>
      <c r="M961" s="19"/>
      <c r="N961" s="19"/>
      <c r="O961" s="84"/>
      <c r="P961" s="19"/>
      <c r="Q961" s="91"/>
      <c r="R961" s="19"/>
      <c r="S961" s="91"/>
      <c r="T961" s="19"/>
      <c r="U961" s="375"/>
    </row>
    <row r="962" spans="1:21" ht="15.75" customHeight="1" x14ac:dyDescent="0.25">
      <c r="A962" s="2"/>
      <c r="B962" s="19"/>
      <c r="C962" s="374"/>
      <c r="D962" s="2"/>
      <c r="E962" s="19"/>
      <c r="F962" s="19"/>
      <c r="G962" s="19"/>
      <c r="H962" s="19"/>
      <c r="I962" s="19"/>
      <c r="J962" s="19"/>
      <c r="K962" s="19"/>
      <c r="L962" s="2"/>
      <c r="M962" s="19"/>
      <c r="N962" s="19"/>
      <c r="O962" s="84"/>
      <c r="P962" s="19"/>
      <c r="Q962" s="91"/>
      <c r="R962" s="19"/>
      <c r="S962" s="91"/>
      <c r="T962" s="19"/>
      <c r="U962" s="375"/>
    </row>
    <row r="963" spans="1:21" ht="15.75" customHeight="1" x14ac:dyDescent="0.25">
      <c r="A963" s="2"/>
      <c r="B963" s="19"/>
      <c r="C963" s="374"/>
      <c r="D963" s="2"/>
      <c r="E963" s="19"/>
      <c r="F963" s="19"/>
      <c r="G963" s="19"/>
      <c r="H963" s="19"/>
      <c r="I963" s="19"/>
      <c r="J963" s="19"/>
      <c r="K963" s="19"/>
      <c r="L963" s="2"/>
      <c r="M963" s="19"/>
      <c r="N963" s="19"/>
      <c r="O963" s="84"/>
      <c r="P963" s="19"/>
      <c r="Q963" s="91"/>
      <c r="R963" s="19"/>
      <c r="S963" s="91"/>
      <c r="T963" s="19"/>
      <c r="U963" s="375"/>
    </row>
    <row r="964" spans="1:21" ht="15.75" customHeight="1" x14ac:dyDescent="0.25">
      <c r="A964" s="2"/>
      <c r="B964" s="19"/>
      <c r="C964" s="374"/>
      <c r="D964" s="2"/>
      <c r="E964" s="19"/>
      <c r="F964" s="19"/>
      <c r="G964" s="19"/>
      <c r="H964" s="19"/>
      <c r="I964" s="19"/>
      <c r="J964" s="19"/>
      <c r="K964" s="19"/>
      <c r="L964" s="2"/>
      <c r="M964" s="19"/>
      <c r="N964" s="19"/>
      <c r="O964" s="84"/>
      <c r="P964" s="19"/>
      <c r="Q964" s="91"/>
      <c r="R964" s="19"/>
      <c r="S964" s="91"/>
      <c r="T964" s="19"/>
      <c r="U964" s="375"/>
    </row>
    <row r="965" spans="1:21" ht="15.75" customHeight="1" x14ac:dyDescent="0.25">
      <c r="A965" s="2"/>
      <c r="B965" s="19"/>
      <c r="C965" s="374"/>
      <c r="D965" s="2"/>
      <c r="E965" s="19"/>
      <c r="F965" s="19"/>
      <c r="G965" s="19"/>
      <c r="H965" s="19"/>
      <c r="I965" s="19"/>
      <c r="J965" s="19"/>
      <c r="K965" s="19"/>
      <c r="L965" s="2"/>
      <c r="M965" s="19"/>
      <c r="N965" s="19"/>
      <c r="O965" s="84"/>
      <c r="P965" s="19"/>
      <c r="Q965" s="91"/>
      <c r="R965" s="19"/>
      <c r="S965" s="91"/>
      <c r="T965" s="19"/>
      <c r="U965" s="375"/>
    </row>
    <row r="966" spans="1:21" ht="15.75" customHeight="1" x14ac:dyDescent="0.25">
      <c r="A966" s="2"/>
      <c r="B966" s="19"/>
      <c r="C966" s="374"/>
      <c r="D966" s="2"/>
      <c r="E966" s="19"/>
      <c r="F966" s="19"/>
      <c r="G966" s="19"/>
      <c r="H966" s="19"/>
      <c r="I966" s="19"/>
      <c r="J966" s="19"/>
      <c r="K966" s="19"/>
      <c r="L966" s="2"/>
      <c r="M966" s="19"/>
      <c r="N966" s="19"/>
      <c r="O966" s="84"/>
      <c r="P966" s="19"/>
      <c r="Q966" s="91"/>
      <c r="R966" s="19"/>
      <c r="S966" s="91"/>
      <c r="T966" s="19"/>
      <c r="U966" s="375"/>
    </row>
    <row r="967" spans="1:21" ht="15.75" customHeight="1" x14ac:dyDescent="0.25">
      <c r="A967" s="2"/>
      <c r="B967" s="19"/>
      <c r="C967" s="374"/>
      <c r="D967" s="2"/>
      <c r="E967" s="19"/>
      <c r="F967" s="19"/>
      <c r="G967" s="19"/>
      <c r="H967" s="19"/>
      <c r="I967" s="19"/>
      <c r="J967" s="19"/>
      <c r="K967" s="19"/>
      <c r="L967" s="2"/>
      <c r="M967" s="19"/>
      <c r="N967" s="19"/>
      <c r="O967" s="84"/>
      <c r="P967" s="19"/>
      <c r="Q967" s="91"/>
      <c r="R967" s="19"/>
      <c r="S967" s="91"/>
      <c r="T967" s="19"/>
      <c r="U967" s="375"/>
    </row>
    <row r="968" spans="1:21" ht="15.75" customHeight="1" x14ac:dyDescent="0.25">
      <c r="A968" s="2"/>
      <c r="B968" s="19"/>
      <c r="C968" s="374"/>
      <c r="D968" s="2"/>
      <c r="E968" s="19"/>
      <c r="F968" s="19"/>
      <c r="G968" s="19"/>
      <c r="H968" s="19"/>
      <c r="I968" s="19"/>
      <c r="J968" s="19"/>
      <c r="K968" s="19"/>
      <c r="L968" s="2"/>
      <c r="M968" s="19"/>
      <c r="N968" s="19"/>
      <c r="O968" s="84"/>
      <c r="P968" s="19"/>
      <c r="Q968" s="91"/>
      <c r="R968" s="19"/>
      <c r="S968" s="91"/>
      <c r="T968" s="19"/>
      <c r="U968" s="375"/>
    </row>
    <row r="969" spans="1:21" ht="15.75" customHeight="1" x14ac:dyDescent="0.25">
      <c r="A969" s="2"/>
      <c r="B969" s="19"/>
      <c r="C969" s="374"/>
      <c r="D969" s="2"/>
      <c r="E969" s="19"/>
      <c r="F969" s="19"/>
      <c r="G969" s="19"/>
      <c r="H969" s="19"/>
      <c r="I969" s="19"/>
      <c r="J969" s="19"/>
      <c r="K969" s="19"/>
      <c r="L969" s="2"/>
      <c r="M969" s="19"/>
      <c r="N969" s="19"/>
      <c r="O969" s="84"/>
      <c r="P969" s="19"/>
      <c r="Q969" s="91"/>
      <c r="R969" s="19"/>
      <c r="S969" s="91"/>
      <c r="T969" s="19"/>
      <c r="U969" s="375"/>
    </row>
    <row r="970" spans="1:21" ht="15.75" customHeight="1" x14ac:dyDescent="0.25">
      <c r="A970" s="2"/>
      <c r="B970" s="19"/>
      <c r="C970" s="374"/>
      <c r="D970" s="2"/>
      <c r="E970" s="19"/>
      <c r="F970" s="19"/>
      <c r="G970" s="19"/>
      <c r="H970" s="19"/>
      <c r="I970" s="19"/>
      <c r="J970" s="19"/>
      <c r="K970" s="19"/>
      <c r="L970" s="2"/>
      <c r="M970" s="19"/>
      <c r="N970" s="19"/>
      <c r="O970" s="84"/>
      <c r="P970" s="19"/>
      <c r="Q970" s="91"/>
      <c r="R970" s="19"/>
      <c r="S970" s="91"/>
      <c r="T970" s="19"/>
      <c r="U970" s="375"/>
    </row>
    <row r="971" spans="1:21" ht="15.75" customHeight="1" x14ac:dyDescent="0.25">
      <c r="A971" s="2"/>
      <c r="B971" s="19"/>
      <c r="C971" s="374"/>
      <c r="D971" s="2"/>
      <c r="E971" s="19"/>
      <c r="F971" s="19"/>
      <c r="G971" s="19"/>
      <c r="H971" s="19"/>
      <c r="I971" s="19"/>
      <c r="J971" s="19"/>
      <c r="K971" s="19"/>
      <c r="L971" s="2"/>
      <c r="M971" s="19"/>
      <c r="N971" s="19"/>
      <c r="O971" s="84"/>
      <c r="P971" s="19"/>
      <c r="Q971" s="91"/>
      <c r="R971" s="19"/>
      <c r="S971" s="91"/>
      <c r="T971" s="19"/>
      <c r="U971" s="375"/>
    </row>
    <row r="972" spans="1:21" ht="15.75" customHeight="1" x14ac:dyDescent="0.25">
      <c r="A972" s="2"/>
      <c r="B972" s="19"/>
      <c r="C972" s="374"/>
      <c r="D972" s="2"/>
      <c r="E972" s="19"/>
      <c r="F972" s="19"/>
      <c r="G972" s="19"/>
      <c r="H972" s="19"/>
      <c r="I972" s="19"/>
      <c r="J972" s="19"/>
      <c r="K972" s="19"/>
      <c r="L972" s="2"/>
      <c r="M972" s="19"/>
      <c r="N972" s="19"/>
      <c r="O972" s="84"/>
      <c r="P972" s="19"/>
      <c r="Q972" s="91"/>
      <c r="R972" s="19"/>
      <c r="S972" s="91"/>
      <c r="T972" s="19"/>
      <c r="U972" s="375"/>
    </row>
    <row r="973" spans="1:21" ht="15.75" customHeight="1" x14ac:dyDescent="0.25">
      <c r="A973" s="2"/>
      <c r="B973" s="19"/>
      <c r="C973" s="374"/>
      <c r="D973" s="2"/>
      <c r="E973" s="19"/>
      <c r="F973" s="19"/>
      <c r="G973" s="19"/>
      <c r="H973" s="19"/>
      <c r="I973" s="19"/>
      <c r="J973" s="19"/>
      <c r="K973" s="19"/>
      <c r="L973" s="2"/>
      <c r="M973" s="19"/>
      <c r="N973" s="19"/>
      <c r="O973" s="84"/>
      <c r="P973" s="19"/>
      <c r="Q973" s="91"/>
      <c r="R973" s="19"/>
      <c r="S973" s="91"/>
      <c r="T973" s="19"/>
      <c r="U973" s="375"/>
    </row>
    <row r="974" spans="1:21" ht="15.75" customHeight="1" x14ac:dyDescent="0.25">
      <c r="A974" s="2"/>
      <c r="B974" s="19"/>
      <c r="C974" s="374"/>
      <c r="D974" s="2"/>
      <c r="E974" s="19"/>
      <c r="F974" s="19"/>
      <c r="G974" s="19"/>
      <c r="H974" s="19"/>
      <c r="I974" s="19"/>
      <c r="J974" s="19"/>
      <c r="K974" s="19"/>
      <c r="L974" s="2"/>
      <c r="M974" s="19"/>
      <c r="N974" s="19"/>
      <c r="O974" s="84"/>
      <c r="P974" s="19"/>
      <c r="Q974" s="91"/>
      <c r="R974" s="19"/>
      <c r="S974" s="91"/>
      <c r="T974" s="19"/>
      <c r="U974" s="375"/>
    </row>
    <row r="975" spans="1:21" ht="15.75" customHeight="1" x14ac:dyDescent="0.25">
      <c r="A975" s="2"/>
      <c r="B975" s="19"/>
      <c r="C975" s="374"/>
      <c r="D975" s="2"/>
      <c r="E975" s="19"/>
      <c r="F975" s="19"/>
      <c r="G975" s="19"/>
      <c r="H975" s="19"/>
      <c r="I975" s="19"/>
      <c r="J975" s="19"/>
      <c r="K975" s="19"/>
      <c r="L975" s="2"/>
      <c r="M975" s="19"/>
      <c r="N975" s="19"/>
      <c r="O975" s="84"/>
      <c r="P975" s="19"/>
      <c r="Q975" s="91"/>
      <c r="R975" s="19"/>
      <c r="S975" s="91"/>
      <c r="T975" s="19"/>
      <c r="U975" s="375"/>
    </row>
    <row r="976" spans="1:21" ht="15.75" customHeight="1" x14ac:dyDescent="0.25">
      <c r="A976" s="2"/>
      <c r="B976" s="19"/>
      <c r="C976" s="374"/>
      <c r="D976" s="2"/>
      <c r="E976" s="19"/>
      <c r="F976" s="19"/>
      <c r="G976" s="19"/>
      <c r="H976" s="19"/>
      <c r="I976" s="19"/>
      <c r="J976" s="19"/>
      <c r="K976" s="19"/>
      <c r="L976" s="2"/>
      <c r="M976" s="19"/>
      <c r="N976" s="19"/>
      <c r="O976" s="84"/>
      <c r="P976" s="19"/>
      <c r="Q976" s="91"/>
      <c r="R976" s="19"/>
      <c r="S976" s="91"/>
      <c r="T976" s="19"/>
      <c r="U976" s="375"/>
    </row>
    <row r="977" spans="1:21" ht="15.75" customHeight="1" x14ac:dyDescent="0.25">
      <c r="A977" s="2"/>
      <c r="B977" s="19"/>
      <c r="C977" s="374"/>
      <c r="D977" s="2"/>
      <c r="E977" s="19"/>
      <c r="F977" s="19"/>
      <c r="G977" s="19"/>
      <c r="H977" s="19"/>
      <c r="I977" s="19"/>
      <c r="J977" s="19"/>
      <c r="K977" s="19"/>
      <c r="L977" s="2"/>
      <c r="M977" s="19"/>
      <c r="N977" s="19"/>
      <c r="O977" s="84"/>
      <c r="P977" s="19"/>
      <c r="Q977" s="91"/>
      <c r="R977" s="19"/>
      <c r="S977" s="91"/>
      <c r="T977" s="19"/>
      <c r="U977" s="375"/>
    </row>
    <row r="978" spans="1:21" ht="15.75" customHeight="1" x14ac:dyDescent="0.25">
      <c r="A978" s="2"/>
      <c r="B978" s="19"/>
      <c r="C978" s="374"/>
      <c r="D978" s="2"/>
      <c r="E978" s="19"/>
      <c r="F978" s="19"/>
      <c r="G978" s="19"/>
      <c r="H978" s="19"/>
      <c r="I978" s="19"/>
      <c r="J978" s="19"/>
      <c r="K978" s="19"/>
      <c r="L978" s="2"/>
      <c r="M978" s="19"/>
      <c r="N978" s="19"/>
      <c r="O978" s="84"/>
      <c r="P978" s="19"/>
      <c r="Q978" s="91"/>
      <c r="R978" s="19"/>
      <c r="S978" s="91"/>
      <c r="T978" s="19"/>
      <c r="U978" s="375"/>
    </row>
    <row r="979" spans="1:21" ht="15.75" customHeight="1" x14ac:dyDescent="0.25">
      <c r="A979" s="2"/>
      <c r="B979" s="19"/>
      <c r="C979" s="374"/>
      <c r="D979" s="2"/>
      <c r="E979" s="19"/>
      <c r="F979" s="19"/>
      <c r="G979" s="19"/>
      <c r="H979" s="19"/>
      <c r="I979" s="19"/>
      <c r="J979" s="19"/>
      <c r="K979" s="19"/>
      <c r="L979" s="2"/>
      <c r="M979" s="19"/>
      <c r="N979" s="19"/>
      <c r="O979" s="84"/>
      <c r="P979" s="19"/>
      <c r="Q979" s="91"/>
      <c r="R979" s="19"/>
      <c r="S979" s="91"/>
      <c r="T979" s="19"/>
      <c r="U979" s="375"/>
    </row>
    <row r="980" spans="1:21" ht="15.75" customHeight="1" x14ac:dyDescent="0.25">
      <c r="A980" s="2"/>
      <c r="B980" s="19"/>
      <c r="C980" s="374"/>
      <c r="D980" s="2"/>
      <c r="E980" s="19"/>
      <c r="F980" s="19"/>
      <c r="G980" s="19"/>
      <c r="H980" s="19"/>
      <c r="I980" s="19"/>
      <c r="J980" s="19"/>
      <c r="K980" s="19"/>
      <c r="L980" s="2"/>
      <c r="M980" s="19"/>
      <c r="N980" s="19"/>
      <c r="O980" s="84"/>
      <c r="P980" s="19"/>
      <c r="Q980" s="91"/>
      <c r="R980" s="19"/>
      <c r="S980" s="91"/>
      <c r="T980" s="19"/>
      <c r="U980" s="375"/>
    </row>
    <row r="981" spans="1:21" ht="15.75" customHeight="1" x14ac:dyDescent="0.25">
      <c r="A981" s="2"/>
      <c r="B981" s="19"/>
      <c r="C981" s="374"/>
      <c r="D981" s="2"/>
      <c r="E981" s="19"/>
      <c r="F981" s="19"/>
      <c r="G981" s="19"/>
      <c r="H981" s="19"/>
      <c r="I981" s="19"/>
      <c r="J981" s="19"/>
      <c r="K981" s="19"/>
      <c r="L981" s="2"/>
      <c r="M981" s="19"/>
      <c r="N981" s="19"/>
      <c r="O981" s="84"/>
      <c r="P981" s="19"/>
      <c r="Q981" s="91"/>
      <c r="R981" s="19"/>
      <c r="S981" s="91"/>
      <c r="T981" s="19"/>
      <c r="U981" s="375"/>
    </row>
    <row r="982" spans="1:21" ht="15.75" customHeight="1" x14ac:dyDescent="0.25">
      <c r="A982" s="2"/>
      <c r="B982" s="19"/>
      <c r="C982" s="374"/>
      <c r="D982" s="2"/>
      <c r="E982" s="19"/>
      <c r="F982" s="19"/>
      <c r="G982" s="19"/>
      <c r="H982" s="19"/>
      <c r="I982" s="19"/>
      <c r="J982" s="19"/>
      <c r="K982" s="19"/>
      <c r="L982" s="2"/>
      <c r="M982" s="19"/>
      <c r="N982" s="19"/>
      <c r="O982" s="84"/>
      <c r="P982" s="19"/>
      <c r="Q982" s="91"/>
      <c r="R982" s="19"/>
      <c r="S982" s="91"/>
      <c r="T982" s="19"/>
      <c r="U982" s="375"/>
    </row>
    <row r="983" spans="1:21" ht="15.75" customHeight="1" x14ac:dyDescent="0.25">
      <c r="A983" s="2"/>
      <c r="B983" s="19"/>
      <c r="C983" s="374"/>
      <c r="D983" s="2"/>
      <c r="E983" s="19"/>
      <c r="F983" s="19"/>
      <c r="G983" s="19"/>
      <c r="H983" s="19"/>
      <c r="I983" s="19"/>
      <c r="J983" s="19"/>
      <c r="K983" s="19"/>
      <c r="L983" s="2"/>
      <c r="M983" s="19"/>
      <c r="N983" s="19"/>
      <c r="O983" s="84"/>
      <c r="P983" s="19"/>
      <c r="Q983" s="91"/>
      <c r="R983" s="19"/>
      <c r="S983" s="91"/>
      <c r="T983" s="19"/>
      <c r="U983" s="375"/>
    </row>
    <row r="984" spans="1:21" ht="15.75" customHeight="1" x14ac:dyDescent="0.25">
      <c r="A984" s="2"/>
      <c r="B984" s="19"/>
      <c r="C984" s="374"/>
      <c r="D984" s="2"/>
      <c r="E984" s="19"/>
      <c r="F984" s="19"/>
      <c r="G984" s="19"/>
      <c r="H984" s="19"/>
      <c r="I984" s="19"/>
      <c r="J984" s="19"/>
      <c r="K984" s="19"/>
      <c r="L984" s="2"/>
      <c r="M984" s="19"/>
      <c r="N984" s="19"/>
      <c r="O984" s="84"/>
      <c r="P984" s="19"/>
      <c r="Q984" s="91"/>
      <c r="R984" s="19"/>
      <c r="S984" s="91"/>
      <c r="T984" s="19"/>
      <c r="U984" s="375"/>
    </row>
    <row r="985" spans="1:21" ht="15.75" customHeight="1" x14ac:dyDescent="0.25">
      <c r="A985" s="2"/>
      <c r="B985" s="19"/>
      <c r="C985" s="374"/>
      <c r="D985" s="2"/>
      <c r="E985" s="19"/>
      <c r="F985" s="19"/>
      <c r="G985" s="19"/>
      <c r="H985" s="19"/>
      <c r="I985" s="19"/>
      <c r="J985" s="19"/>
      <c r="K985" s="19"/>
      <c r="L985" s="2"/>
      <c r="M985" s="19"/>
      <c r="N985" s="19"/>
      <c r="O985" s="84"/>
      <c r="P985" s="19"/>
      <c r="Q985" s="91"/>
      <c r="R985" s="19"/>
      <c r="S985" s="91"/>
      <c r="T985" s="19"/>
      <c r="U985" s="375"/>
    </row>
    <row r="986" spans="1:21" ht="15.75" customHeight="1" x14ac:dyDescent="0.25">
      <c r="A986" s="2"/>
      <c r="B986" s="19"/>
      <c r="C986" s="374"/>
      <c r="D986" s="2"/>
      <c r="E986" s="19"/>
      <c r="F986" s="19"/>
      <c r="G986" s="19"/>
      <c r="H986" s="19"/>
      <c r="I986" s="19"/>
      <c r="J986" s="19"/>
      <c r="K986" s="19"/>
      <c r="L986" s="2"/>
      <c r="M986" s="19"/>
      <c r="N986" s="19"/>
      <c r="O986" s="84"/>
      <c r="P986" s="19"/>
      <c r="Q986" s="91"/>
      <c r="R986" s="19"/>
      <c r="S986" s="91"/>
      <c r="T986" s="19"/>
      <c r="U986" s="375"/>
    </row>
    <row r="987" spans="1:21" ht="15.75" customHeight="1" x14ac:dyDescent="0.25">
      <c r="A987" s="2"/>
      <c r="B987" s="19"/>
      <c r="C987" s="374"/>
      <c r="D987" s="2"/>
      <c r="E987" s="19"/>
      <c r="F987" s="19"/>
      <c r="G987" s="19"/>
      <c r="H987" s="19"/>
      <c r="I987" s="19"/>
      <c r="J987" s="19"/>
      <c r="K987" s="19"/>
      <c r="L987" s="2"/>
      <c r="M987" s="19"/>
      <c r="N987" s="19"/>
      <c r="O987" s="84"/>
      <c r="P987" s="19"/>
      <c r="Q987" s="91"/>
      <c r="R987" s="19"/>
      <c r="S987" s="91"/>
      <c r="T987" s="19"/>
      <c r="U987" s="375"/>
    </row>
    <row r="988" spans="1:21" ht="15.75" customHeight="1" x14ac:dyDescent="0.25">
      <c r="A988" s="2"/>
      <c r="B988" s="19"/>
      <c r="C988" s="374"/>
      <c r="D988" s="2"/>
      <c r="E988" s="19"/>
      <c r="F988" s="19"/>
      <c r="G988" s="19"/>
      <c r="H988" s="19"/>
      <c r="I988" s="19"/>
      <c r="J988" s="19"/>
      <c r="K988" s="19"/>
      <c r="L988" s="2"/>
      <c r="M988" s="19"/>
      <c r="N988" s="19"/>
      <c r="O988" s="84"/>
      <c r="P988" s="19"/>
      <c r="Q988" s="91"/>
      <c r="R988" s="19"/>
      <c r="S988" s="91"/>
      <c r="T988" s="19"/>
      <c r="U988" s="375"/>
    </row>
    <row r="989" spans="1:21" ht="15.75" customHeight="1" x14ac:dyDescent="0.25">
      <c r="A989" s="2"/>
      <c r="B989" s="19"/>
      <c r="C989" s="374"/>
      <c r="D989" s="2"/>
      <c r="E989" s="19"/>
      <c r="F989" s="19"/>
      <c r="G989" s="19"/>
      <c r="H989" s="19"/>
      <c r="I989" s="19"/>
      <c r="J989" s="19"/>
      <c r="K989" s="19"/>
      <c r="L989" s="2"/>
      <c r="M989" s="19"/>
      <c r="N989" s="19"/>
      <c r="O989" s="84"/>
      <c r="P989" s="19"/>
      <c r="Q989" s="91"/>
      <c r="R989" s="19"/>
      <c r="S989" s="91"/>
      <c r="T989" s="19"/>
      <c r="U989" s="375"/>
    </row>
    <row r="990" spans="1:21" ht="15.75" customHeight="1" x14ac:dyDescent="0.25">
      <c r="A990" s="2"/>
      <c r="B990" s="19"/>
      <c r="C990" s="374"/>
      <c r="D990" s="2"/>
      <c r="E990" s="19"/>
      <c r="F990" s="19"/>
      <c r="G990" s="19"/>
      <c r="H990" s="19"/>
      <c r="I990" s="19"/>
      <c r="J990" s="19"/>
      <c r="K990" s="19"/>
      <c r="L990" s="2"/>
      <c r="M990" s="19"/>
      <c r="N990" s="19"/>
      <c r="O990" s="84"/>
      <c r="P990" s="19"/>
      <c r="Q990" s="91"/>
      <c r="R990" s="19"/>
      <c r="S990" s="91"/>
      <c r="T990" s="19"/>
      <c r="U990" s="375"/>
    </row>
    <row r="991" spans="1:21" ht="15.75" customHeight="1" x14ac:dyDescent="0.25">
      <c r="A991" s="2"/>
      <c r="B991" s="19"/>
      <c r="C991" s="374"/>
      <c r="D991" s="2"/>
      <c r="E991" s="19"/>
      <c r="F991" s="19"/>
      <c r="G991" s="19"/>
      <c r="H991" s="19"/>
      <c r="I991" s="19"/>
      <c r="J991" s="19"/>
      <c r="K991" s="19"/>
      <c r="L991" s="2"/>
      <c r="M991" s="19"/>
      <c r="N991" s="19"/>
      <c r="O991" s="84"/>
      <c r="P991" s="19"/>
      <c r="Q991" s="91"/>
      <c r="R991" s="19"/>
      <c r="S991" s="91"/>
      <c r="T991" s="19"/>
      <c r="U991" s="375"/>
    </row>
    <row r="992" spans="1:21" ht="15.75" customHeight="1" x14ac:dyDescent="0.25">
      <c r="A992" s="2"/>
      <c r="B992" s="19"/>
      <c r="C992" s="374"/>
      <c r="D992" s="2"/>
      <c r="E992" s="19"/>
      <c r="F992" s="19"/>
      <c r="G992" s="19"/>
      <c r="H992" s="19"/>
      <c r="I992" s="19"/>
      <c r="J992" s="19"/>
      <c r="K992" s="19"/>
      <c r="L992" s="2"/>
      <c r="M992" s="19"/>
      <c r="N992" s="19"/>
      <c r="O992" s="84"/>
      <c r="P992" s="19"/>
      <c r="Q992" s="91"/>
      <c r="R992" s="19"/>
      <c r="S992" s="91"/>
      <c r="T992" s="19"/>
      <c r="U992" s="375"/>
    </row>
    <row r="993" spans="1:21" ht="15.75" customHeight="1" x14ac:dyDescent="0.25">
      <c r="A993" s="2"/>
      <c r="B993" s="19"/>
      <c r="C993" s="374"/>
      <c r="D993" s="2"/>
      <c r="E993" s="19"/>
      <c r="F993" s="19"/>
      <c r="G993" s="19"/>
      <c r="H993" s="19"/>
      <c r="I993" s="19"/>
      <c r="J993" s="19"/>
      <c r="K993" s="19"/>
      <c r="L993" s="2"/>
      <c r="M993" s="19"/>
      <c r="N993" s="19"/>
      <c r="O993" s="84"/>
      <c r="P993" s="19"/>
      <c r="Q993" s="91"/>
      <c r="R993" s="19"/>
      <c r="S993" s="91"/>
      <c r="T993" s="19"/>
      <c r="U993" s="375"/>
    </row>
    <row r="994" spans="1:21" ht="15.75" customHeight="1" x14ac:dyDescent="0.25">
      <c r="A994" s="2"/>
      <c r="B994" s="19"/>
      <c r="C994" s="374"/>
      <c r="D994" s="2"/>
      <c r="E994" s="19"/>
      <c r="F994" s="19"/>
      <c r="G994" s="19"/>
      <c r="H994" s="19"/>
      <c r="I994" s="19"/>
      <c r="J994" s="19"/>
      <c r="K994" s="19"/>
      <c r="L994" s="2"/>
      <c r="M994" s="19"/>
      <c r="N994" s="19"/>
      <c r="O994" s="84"/>
      <c r="P994" s="19"/>
      <c r="Q994" s="91"/>
      <c r="R994" s="19"/>
      <c r="S994" s="91"/>
      <c r="T994" s="19"/>
      <c r="U994" s="375"/>
    </row>
    <row r="995" spans="1:21" ht="15.75" customHeight="1" x14ac:dyDescent="0.25">
      <c r="A995" s="2"/>
      <c r="B995" s="19"/>
      <c r="C995" s="374"/>
      <c r="D995" s="2"/>
      <c r="E995" s="19"/>
      <c r="F995" s="19"/>
      <c r="G995" s="19"/>
      <c r="H995" s="19"/>
      <c r="I995" s="19"/>
      <c r="J995" s="19"/>
      <c r="K995" s="19"/>
      <c r="L995" s="2"/>
      <c r="M995" s="19"/>
      <c r="N995" s="19"/>
      <c r="O995" s="84"/>
      <c r="P995" s="19"/>
      <c r="Q995" s="91"/>
      <c r="R995" s="19"/>
      <c r="S995" s="91"/>
      <c r="T995" s="19"/>
      <c r="U995" s="375"/>
    </row>
    <row r="996" spans="1:21" ht="15.75" customHeight="1" x14ac:dyDescent="0.25">
      <c r="A996" s="2"/>
      <c r="B996" s="19"/>
      <c r="C996" s="374"/>
      <c r="D996" s="2"/>
      <c r="E996" s="19"/>
      <c r="F996" s="19"/>
      <c r="G996" s="19"/>
      <c r="H996" s="19"/>
      <c r="I996" s="19"/>
      <c r="J996" s="19"/>
      <c r="K996" s="19"/>
      <c r="L996" s="2"/>
      <c r="M996" s="19"/>
      <c r="N996" s="19"/>
      <c r="O996" s="84"/>
      <c r="P996" s="19"/>
      <c r="Q996" s="91"/>
      <c r="R996" s="19"/>
      <c r="S996" s="91"/>
      <c r="T996" s="19"/>
      <c r="U996" s="375"/>
    </row>
    <row r="997" spans="1:21" ht="15.75" customHeight="1" x14ac:dyDescent="0.25">
      <c r="A997" s="2"/>
      <c r="B997" s="19"/>
      <c r="C997" s="374"/>
      <c r="D997" s="2"/>
      <c r="E997" s="19"/>
      <c r="F997" s="19"/>
      <c r="G997" s="19"/>
      <c r="H997" s="19"/>
      <c r="I997" s="19"/>
      <c r="J997" s="19"/>
      <c r="K997" s="19"/>
      <c r="L997" s="2"/>
      <c r="M997" s="19"/>
      <c r="N997" s="19"/>
      <c r="O997" s="84"/>
      <c r="P997" s="19"/>
      <c r="Q997" s="91"/>
      <c r="R997" s="19"/>
      <c r="S997" s="91"/>
      <c r="T997" s="19"/>
      <c r="U997" s="375"/>
    </row>
    <row r="998" spans="1:21" ht="15.75" customHeight="1" x14ac:dyDescent="0.25">
      <c r="A998" s="2"/>
      <c r="B998" s="19"/>
      <c r="C998" s="374"/>
      <c r="D998" s="2"/>
      <c r="E998" s="19"/>
      <c r="F998" s="19"/>
      <c r="G998" s="19"/>
      <c r="H998" s="19"/>
      <c r="I998" s="19"/>
      <c r="J998" s="19"/>
      <c r="K998" s="19"/>
      <c r="L998" s="2"/>
      <c r="M998" s="19"/>
      <c r="N998" s="19"/>
      <c r="O998" s="84"/>
      <c r="P998" s="19"/>
      <c r="Q998" s="91"/>
      <c r="R998" s="19"/>
      <c r="S998" s="91"/>
      <c r="T998" s="19"/>
      <c r="U998" s="375"/>
    </row>
    <row r="999" spans="1:21" ht="15.75" customHeight="1" x14ac:dyDescent="0.25">
      <c r="A999" s="2"/>
      <c r="B999" s="19"/>
      <c r="C999" s="374"/>
      <c r="D999" s="2"/>
      <c r="E999" s="19"/>
      <c r="F999" s="19"/>
      <c r="G999" s="19"/>
      <c r="H999" s="19"/>
      <c r="I999" s="19"/>
      <c r="J999" s="19"/>
      <c r="K999" s="19"/>
      <c r="L999" s="2"/>
      <c r="M999" s="19"/>
      <c r="N999" s="19"/>
      <c r="O999" s="84"/>
      <c r="P999" s="19"/>
      <c r="Q999" s="91"/>
      <c r="R999" s="19"/>
      <c r="S999" s="91"/>
      <c r="T999" s="19"/>
      <c r="U999" s="375"/>
    </row>
    <row r="1000" spans="1:21" ht="15.75" customHeight="1" x14ac:dyDescent="0.25">
      <c r="A1000" s="2"/>
      <c r="B1000" s="19"/>
      <c r="C1000" s="374"/>
      <c r="D1000" s="2"/>
      <c r="E1000" s="19"/>
      <c r="F1000" s="19"/>
      <c r="G1000" s="19"/>
      <c r="H1000" s="19"/>
      <c r="I1000" s="19"/>
      <c r="J1000" s="19"/>
      <c r="K1000" s="19"/>
      <c r="L1000" s="2"/>
      <c r="M1000" s="19"/>
      <c r="N1000" s="19"/>
      <c r="O1000" s="84"/>
      <c r="P1000" s="19"/>
      <c r="Q1000" s="91"/>
      <c r="R1000" s="19"/>
      <c r="S1000" s="91"/>
      <c r="T1000" s="19"/>
      <c r="U1000" s="375"/>
    </row>
  </sheetData>
  <dataValidations count="1">
    <dataValidation type="custom" allowBlank="1" showInputMessage="1" showErrorMessage="1" prompt="Petunjuk Pengisian - NIK/Nomor KTP harus terdiri dari 16 digit untuk e-KTP atau 17 digit untuk KTP biasa." sqref="P14 P24:P29" xr:uid="{00000000-0002-0000-0600-000000000000}">
      <formula1>AND(GTE(LEN(P14),MIN((16),(17))),LTE(LEN(P14),MAX((16),(17))))</formula1>
    </dataValidation>
  </dataValidations>
  <hyperlinks>
    <hyperlink ref="C30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M1000"/>
  <sheetViews>
    <sheetView workbookViewId="0"/>
  </sheetViews>
  <sheetFormatPr defaultColWidth="14.42578125" defaultRowHeight="15" customHeight="1" x14ac:dyDescent="0.25"/>
  <cols>
    <col min="1" max="1" width="34.85546875" customWidth="1"/>
    <col min="2" max="2" width="5.42578125" customWidth="1"/>
    <col min="3" max="3" width="29.28515625" customWidth="1"/>
    <col min="4" max="8" width="8" customWidth="1"/>
    <col min="9" max="9" width="38" customWidth="1"/>
    <col min="10" max="10" width="5.42578125" customWidth="1"/>
    <col min="11" max="13" width="8.140625" customWidth="1"/>
    <col min="14" max="26" width="8" customWidth="1"/>
  </cols>
  <sheetData>
    <row r="2" spans="1:13" x14ac:dyDescent="0.25">
      <c r="A2" s="383" t="s">
        <v>6</v>
      </c>
      <c r="B2" s="384" t="s">
        <v>8250</v>
      </c>
      <c r="D2" s="378" t="s">
        <v>18</v>
      </c>
      <c r="E2" s="378">
        <f t="shared" ref="E2:E3" si="0">SUM(B3,B9,B15,B21,B28,B35,B42)</f>
        <v>537</v>
      </c>
      <c r="I2" s="376" t="s">
        <v>8251</v>
      </c>
      <c r="J2" s="377"/>
      <c r="L2" s="378" t="s">
        <v>1028</v>
      </c>
      <c r="M2" s="378">
        <f>SUM(J5,J16,J34,J40)</f>
        <v>46</v>
      </c>
    </row>
    <row r="3" spans="1:13" x14ac:dyDescent="0.25">
      <c r="A3" s="385" t="s">
        <v>18</v>
      </c>
      <c r="B3" s="386">
        <v>26</v>
      </c>
      <c r="D3" s="378" t="s">
        <v>46</v>
      </c>
      <c r="E3" s="378">
        <f t="shared" si="0"/>
        <v>93</v>
      </c>
      <c r="I3" s="376" t="s">
        <v>362</v>
      </c>
      <c r="J3" s="377" t="s">
        <v>8252</v>
      </c>
    </row>
    <row r="4" spans="1:13" x14ac:dyDescent="0.25">
      <c r="A4" s="387" t="s">
        <v>46</v>
      </c>
      <c r="B4" s="388">
        <v>25</v>
      </c>
      <c r="D4" s="378"/>
      <c r="E4" s="378">
        <f>SUM(E2:E3)</f>
        <v>630</v>
      </c>
      <c r="I4" s="376" t="s">
        <v>982</v>
      </c>
      <c r="J4" s="377">
        <v>23</v>
      </c>
    </row>
    <row r="5" spans="1:13" x14ac:dyDescent="0.25">
      <c r="A5" s="389" t="s">
        <v>8253</v>
      </c>
      <c r="B5" s="390">
        <v>51</v>
      </c>
      <c r="I5" s="379" t="s">
        <v>1028</v>
      </c>
      <c r="J5" s="380">
        <v>6</v>
      </c>
    </row>
    <row r="6" spans="1:13" x14ac:dyDescent="0.25">
      <c r="A6" s="381"/>
      <c r="B6" s="382"/>
      <c r="I6" s="381" t="s">
        <v>8253</v>
      </c>
      <c r="J6" s="382">
        <v>29</v>
      </c>
    </row>
    <row r="8" spans="1:13" x14ac:dyDescent="0.25">
      <c r="A8" s="383" t="s">
        <v>358</v>
      </c>
      <c r="B8" s="384" t="s">
        <v>8254</v>
      </c>
      <c r="I8" s="383" t="s">
        <v>362</v>
      </c>
      <c r="J8" s="384" t="s">
        <v>8255</v>
      </c>
    </row>
    <row r="9" spans="1:13" x14ac:dyDescent="0.25">
      <c r="A9" s="385" t="s">
        <v>18</v>
      </c>
      <c r="B9" s="386">
        <v>83</v>
      </c>
      <c r="I9" s="385" t="s">
        <v>389</v>
      </c>
      <c r="J9" s="386">
        <v>10</v>
      </c>
    </row>
    <row r="10" spans="1:13" x14ac:dyDescent="0.25">
      <c r="A10" s="387" t="s">
        <v>46</v>
      </c>
      <c r="B10" s="388">
        <v>29</v>
      </c>
      <c r="I10" s="387" t="s">
        <v>7410</v>
      </c>
      <c r="J10" s="388">
        <v>1</v>
      </c>
    </row>
    <row r="11" spans="1:13" x14ac:dyDescent="0.25">
      <c r="A11" s="389" t="s">
        <v>8253</v>
      </c>
      <c r="B11" s="390">
        <v>112</v>
      </c>
      <c r="I11" s="387" t="s">
        <v>7557</v>
      </c>
      <c r="J11" s="388">
        <v>1</v>
      </c>
    </row>
    <row r="12" spans="1:13" x14ac:dyDescent="0.25">
      <c r="A12" s="381"/>
      <c r="B12" s="382"/>
      <c r="I12" s="387" t="s">
        <v>449</v>
      </c>
      <c r="J12" s="388">
        <v>16</v>
      </c>
    </row>
    <row r="13" spans="1:13" x14ac:dyDescent="0.25">
      <c r="I13" s="387" t="s">
        <v>376</v>
      </c>
      <c r="J13" s="388">
        <v>119</v>
      </c>
    </row>
    <row r="14" spans="1:13" x14ac:dyDescent="0.25">
      <c r="A14" s="383" t="s">
        <v>358</v>
      </c>
      <c r="B14" s="384" t="s">
        <v>8256</v>
      </c>
      <c r="I14" s="387" t="s">
        <v>982</v>
      </c>
      <c r="J14" s="388">
        <v>45</v>
      </c>
    </row>
    <row r="15" spans="1:13" x14ac:dyDescent="0.25">
      <c r="A15" s="385" t="s">
        <v>977</v>
      </c>
      <c r="B15" s="386">
        <v>9</v>
      </c>
      <c r="I15" s="387" t="s">
        <v>1028</v>
      </c>
      <c r="J15" s="388">
        <v>2</v>
      </c>
    </row>
    <row r="16" spans="1:13" x14ac:dyDescent="0.25">
      <c r="A16" s="387" t="s">
        <v>991</v>
      </c>
      <c r="B16" s="388">
        <v>6</v>
      </c>
      <c r="I16" s="387" t="s">
        <v>460</v>
      </c>
      <c r="J16" s="388">
        <v>34</v>
      </c>
    </row>
    <row r="17" spans="1:10" x14ac:dyDescent="0.25">
      <c r="A17" s="389" t="s">
        <v>8253</v>
      </c>
      <c r="B17" s="390">
        <v>15</v>
      </c>
      <c r="I17" s="387" t="s">
        <v>750</v>
      </c>
      <c r="J17" s="388">
        <v>7</v>
      </c>
    </row>
    <row r="18" spans="1:10" x14ac:dyDescent="0.25">
      <c r="A18" s="381"/>
      <c r="B18" s="382"/>
      <c r="I18" s="387" t="s">
        <v>6984</v>
      </c>
      <c r="J18" s="388">
        <v>1</v>
      </c>
    </row>
    <row r="19" spans="1:10" x14ac:dyDescent="0.25">
      <c r="I19" s="387" t="s">
        <v>437</v>
      </c>
      <c r="J19" s="388">
        <v>3</v>
      </c>
    </row>
    <row r="20" spans="1:10" x14ac:dyDescent="0.25">
      <c r="A20" s="383" t="s">
        <v>358</v>
      </c>
      <c r="B20" s="384" t="s">
        <v>8257</v>
      </c>
      <c r="I20" s="387" t="s">
        <v>552</v>
      </c>
      <c r="J20" s="388">
        <v>2</v>
      </c>
    </row>
    <row r="21" spans="1:10" ht="15.75" customHeight="1" x14ac:dyDescent="0.25">
      <c r="A21" s="385" t="s">
        <v>18</v>
      </c>
      <c r="B21" s="386">
        <v>16</v>
      </c>
      <c r="I21" s="387" t="s">
        <v>6890</v>
      </c>
      <c r="J21" s="388">
        <v>6</v>
      </c>
    </row>
    <row r="22" spans="1:10" ht="15.75" customHeight="1" x14ac:dyDescent="0.25">
      <c r="A22" s="387" t="s">
        <v>46</v>
      </c>
      <c r="B22" s="388">
        <v>23</v>
      </c>
      <c r="I22" s="387" t="s">
        <v>7007</v>
      </c>
      <c r="J22" s="388">
        <v>3</v>
      </c>
    </row>
    <row r="23" spans="1:10" ht="15.75" customHeight="1" x14ac:dyDescent="0.25">
      <c r="A23" s="389" t="s">
        <v>8253</v>
      </c>
      <c r="B23" s="390">
        <v>39</v>
      </c>
      <c r="I23" s="387" t="s">
        <v>430</v>
      </c>
      <c r="J23" s="388">
        <v>15</v>
      </c>
    </row>
    <row r="24" spans="1:10" ht="15.75" customHeight="1" x14ac:dyDescent="0.25">
      <c r="A24" s="381"/>
      <c r="B24" s="382"/>
      <c r="I24" s="387" t="s">
        <v>8263</v>
      </c>
      <c r="J24" s="388"/>
    </row>
    <row r="25" spans="1:10" ht="15.75" customHeight="1" x14ac:dyDescent="0.25">
      <c r="I25" s="389" t="s">
        <v>8253</v>
      </c>
      <c r="J25" s="390">
        <v>265</v>
      </c>
    </row>
    <row r="26" spans="1:10" ht="15.75" customHeight="1" x14ac:dyDescent="0.25">
      <c r="A26" s="383" t="s">
        <v>358</v>
      </c>
      <c r="B26" s="384" t="s">
        <v>8258</v>
      </c>
      <c r="I26" s="381"/>
      <c r="J26" s="382"/>
    </row>
    <row r="27" spans="1:10" ht="15.75" customHeight="1" x14ac:dyDescent="0.25">
      <c r="A27" s="385" t="s">
        <v>18</v>
      </c>
      <c r="B27" s="386">
        <v>404</v>
      </c>
    </row>
    <row r="28" spans="1:10" ht="15.75" customHeight="1" x14ac:dyDescent="0.25">
      <c r="A28" s="387" t="s">
        <v>46</v>
      </c>
      <c r="B28" s="388">
        <v>277</v>
      </c>
    </row>
    <row r="29" spans="1:10" ht="15.75" customHeight="1" x14ac:dyDescent="0.25">
      <c r="A29" s="387" t="s">
        <v>8263</v>
      </c>
      <c r="B29" s="388"/>
    </row>
    <row r="30" spans="1:10" ht="15.75" customHeight="1" x14ac:dyDescent="0.25">
      <c r="A30" s="389" t="s">
        <v>8253</v>
      </c>
      <c r="B30" s="390">
        <v>681</v>
      </c>
    </row>
    <row r="31" spans="1:10" ht="15.75" customHeight="1" x14ac:dyDescent="0.25">
      <c r="A31" s="381"/>
      <c r="B31" s="382"/>
      <c r="I31" s="383" t="s">
        <v>362</v>
      </c>
      <c r="J31" s="384" t="s">
        <v>8259</v>
      </c>
    </row>
    <row r="32" spans="1:10" ht="15.75" customHeight="1" x14ac:dyDescent="0.25">
      <c r="I32" s="385" t="s">
        <v>982</v>
      </c>
      <c r="J32" s="386">
        <v>390</v>
      </c>
    </row>
    <row r="33" spans="1:10" ht="15.75" customHeight="1" x14ac:dyDescent="0.25">
      <c r="A33" s="383" t="s">
        <v>358</v>
      </c>
      <c r="B33" s="384" t="s">
        <v>8260</v>
      </c>
      <c r="I33" s="387" t="s">
        <v>1028</v>
      </c>
      <c r="J33" s="388">
        <v>292</v>
      </c>
    </row>
    <row r="34" spans="1:10" ht="15.75" customHeight="1" x14ac:dyDescent="0.25">
      <c r="A34" s="385" t="s">
        <v>18</v>
      </c>
      <c r="B34" s="386">
        <v>158</v>
      </c>
      <c r="I34" s="387" t="s">
        <v>8263</v>
      </c>
      <c r="J34" s="388"/>
    </row>
    <row r="35" spans="1:10" ht="15.75" customHeight="1" x14ac:dyDescent="0.25">
      <c r="A35" s="387" t="s">
        <v>46</v>
      </c>
      <c r="B35" s="388">
        <v>107</v>
      </c>
      <c r="I35" s="389" t="s">
        <v>8253</v>
      </c>
      <c r="J35" s="390">
        <v>682</v>
      </c>
    </row>
    <row r="36" spans="1:10" ht="15.75" customHeight="1" x14ac:dyDescent="0.25">
      <c r="A36" s="387" t="s">
        <v>8263</v>
      </c>
      <c r="B36" s="388"/>
      <c r="I36" s="381"/>
      <c r="J36" s="382"/>
    </row>
    <row r="37" spans="1:10" ht="15.75" customHeight="1" x14ac:dyDescent="0.25">
      <c r="A37" s="389" t="s">
        <v>8253</v>
      </c>
      <c r="B37" s="390">
        <v>265</v>
      </c>
    </row>
    <row r="38" spans="1:10" ht="15.75" customHeight="1" x14ac:dyDescent="0.25">
      <c r="A38" s="381"/>
      <c r="B38" s="382"/>
      <c r="I38" s="383" t="s">
        <v>362</v>
      </c>
      <c r="J38" s="384" t="s">
        <v>8261</v>
      </c>
    </row>
    <row r="39" spans="1:10" ht="15.75" customHeight="1" x14ac:dyDescent="0.25">
      <c r="I39" s="385" t="s">
        <v>982</v>
      </c>
      <c r="J39" s="386">
        <v>9</v>
      </c>
    </row>
    <row r="40" spans="1:10" ht="15.75" customHeight="1" x14ac:dyDescent="0.25">
      <c r="A40" s="376" t="s">
        <v>8262</v>
      </c>
      <c r="B40" s="377"/>
      <c r="I40" s="387" t="s">
        <v>1028</v>
      </c>
      <c r="J40" s="388">
        <v>6</v>
      </c>
    </row>
    <row r="41" spans="1:10" ht="15.75" customHeight="1" x14ac:dyDescent="0.25">
      <c r="A41" s="376" t="s">
        <v>358</v>
      </c>
      <c r="B41" s="377" t="s">
        <v>8252</v>
      </c>
      <c r="I41" s="389" t="s">
        <v>8253</v>
      </c>
      <c r="J41" s="390">
        <v>15</v>
      </c>
    </row>
    <row r="42" spans="1:10" ht="15.75" customHeight="1" x14ac:dyDescent="0.25">
      <c r="A42" s="376" t="s">
        <v>977</v>
      </c>
      <c r="B42" s="377">
        <v>19</v>
      </c>
      <c r="I42" s="381"/>
      <c r="J42" s="382"/>
    </row>
    <row r="43" spans="1:10" ht="15.75" customHeight="1" x14ac:dyDescent="0.25">
      <c r="A43" s="379" t="s">
        <v>991</v>
      </c>
      <c r="B43" s="380">
        <v>10</v>
      </c>
    </row>
    <row r="44" spans="1:10" ht="15.75" customHeight="1" x14ac:dyDescent="0.25">
      <c r="A44" s="381" t="s">
        <v>8253</v>
      </c>
      <c r="B44" s="382">
        <v>29</v>
      </c>
    </row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PEGAWAI KONTRAK BLU BARU 2025</vt:lpstr>
      <vt:lpstr>PEGAWAI TETAP BLU</vt:lpstr>
      <vt:lpstr>DOSEN P3K</vt:lpstr>
      <vt:lpstr>PEGAWAI P3K</vt:lpstr>
      <vt:lpstr>DOSEN PNS</vt:lpstr>
      <vt:lpstr>DATA PEGAWAI</vt:lpstr>
      <vt:lpstr>DOSEN TETAP BUKAN PNS</vt:lpstr>
      <vt:lpstr>rekap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</dc:creator>
  <cp:lastModifiedBy>lppm lppm</cp:lastModifiedBy>
  <dcterms:created xsi:type="dcterms:W3CDTF">2021-02-14T22:41:00Z</dcterms:created>
  <dcterms:modified xsi:type="dcterms:W3CDTF">2025-02-05T03:37:11Z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1033-12.2.0.13359</vt:lpwstr>
  </property>
  <property fmtid="{D5CDD505-2E9C-101B-9397-08002B2CF9AE}" pid="3" name="ICV">
    <vt:lpwstr>9D2E23CBF3B746D5869326D3C3BCB392_13</vt:lpwstr>
  </property>
</Properties>
</file>